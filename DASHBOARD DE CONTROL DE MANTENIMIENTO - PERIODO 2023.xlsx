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D8612A4-1859-4337-91B1-B35E7F35090E}" xr6:coauthVersionLast="47" xr6:coauthVersionMax="47" xr10:uidLastSave="{00000000-0000-0000-0000-000000000000}"/>
  <bookViews>
    <workbookView xWindow="-120" yWindow="-120" windowWidth="29040" windowHeight="15840" xr2:uid="{6DBD34AE-C6B2-437A-9AD2-1C8A67B4EC11}"/>
  </bookViews>
  <sheets>
    <sheet name="Dashboard" sheetId="4" r:id="rId1"/>
    <sheet name="Analisis" sheetId="1" r:id="rId2"/>
    <sheet name="Datos" sheetId="2" r:id="rId3"/>
  </sheets>
  <externalReferences>
    <externalReference r:id="rId4"/>
  </externalReferences>
  <definedNames>
    <definedName name="SegmentaciónDeDatos_Estatus">#N/A</definedName>
    <definedName name="SegmentaciónDeDatos_Máquinas">#N/A</definedName>
    <definedName name="SegmentaciónDeDatos_Marca">#N/A</definedName>
    <definedName name="SegmentaciónDeDatos_Mes_Texto">#N/A</definedName>
    <definedName name="SegmentaciónDeDatos_Semestre">#N/A</definedName>
    <definedName name="SegmentaciónDeDatos_Tipo_Equipo">#N/A</definedName>
    <definedName name="SegmentaciónDeDatos_Trimestr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1" l="1"/>
  <c r="C8" i="1"/>
  <c r="Q1052" i="2"/>
  <c r="F1052" i="2"/>
  <c r="E1052" i="2"/>
  <c r="Q1051" i="2"/>
  <c r="F1051" i="2"/>
  <c r="E1051" i="2"/>
  <c r="Q1050" i="2"/>
  <c r="F1050" i="2"/>
  <c r="E1050" i="2"/>
  <c r="Q1049" i="2"/>
  <c r="F1049" i="2"/>
  <c r="E1049" i="2"/>
  <c r="Q1048" i="2"/>
  <c r="F1048" i="2"/>
  <c r="E1048" i="2"/>
  <c r="Q1047" i="2"/>
  <c r="F1047" i="2"/>
  <c r="E1047" i="2"/>
  <c r="Q1046" i="2"/>
  <c r="F1046" i="2"/>
  <c r="E1046" i="2"/>
  <c r="Q1045" i="2"/>
  <c r="F1045" i="2"/>
  <c r="E1045" i="2"/>
  <c r="Q1044" i="2"/>
  <c r="F1044" i="2"/>
  <c r="E1044" i="2"/>
  <c r="Q1043" i="2"/>
  <c r="F1043" i="2"/>
  <c r="E1043" i="2"/>
  <c r="Q1042" i="2"/>
  <c r="F1042" i="2"/>
  <c r="E1042" i="2"/>
  <c r="Q1041" i="2"/>
  <c r="F1041" i="2"/>
  <c r="E1041" i="2"/>
  <c r="Q1040" i="2"/>
  <c r="F1040" i="2"/>
  <c r="E1040" i="2"/>
  <c r="Q1039" i="2"/>
  <c r="F1039" i="2"/>
  <c r="E1039" i="2"/>
  <c r="Q1038" i="2"/>
  <c r="F1038" i="2"/>
  <c r="E1038" i="2"/>
  <c r="Q1037" i="2"/>
  <c r="F1037" i="2"/>
  <c r="E1037" i="2"/>
  <c r="Q1036" i="2"/>
  <c r="F1036" i="2"/>
  <c r="E1036" i="2"/>
  <c r="Q1035" i="2"/>
  <c r="F1035" i="2"/>
  <c r="E1035" i="2"/>
  <c r="Q1034" i="2"/>
  <c r="F1034" i="2"/>
  <c r="E1034" i="2"/>
  <c r="Q1033" i="2"/>
  <c r="F1033" i="2"/>
  <c r="E1033" i="2"/>
  <c r="Q1032" i="2"/>
  <c r="F1032" i="2"/>
  <c r="E1032" i="2"/>
  <c r="Q1031" i="2"/>
  <c r="F1031" i="2"/>
  <c r="E1031" i="2"/>
  <c r="Q1030" i="2"/>
  <c r="F1030" i="2"/>
  <c r="E1030" i="2"/>
  <c r="Q1029" i="2"/>
  <c r="F1029" i="2"/>
  <c r="E1029" i="2"/>
  <c r="Q1028" i="2"/>
  <c r="F1028" i="2"/>
  <c r="E1028" i="2"/>
  <c r="Q1027" i="2"/>
  <c r="F1027" i="2"/>
  <c r="E1027" i="2"/>
  <c r="Q1026" i="2"/>
  <c r="F1026" i="2"/>
  <c r="E1026" i="2"/>
  <c r="Q1025" i="2"/>
  <c r="F1025" i="2"/>
  <c r="E1025" i="2"/>
  <c r="Q1024" i="2"/>
  <c r="F1024" i="2"/>
  <c r="E1024" i="2"/>
  <c r="Q1023" i="2"/>
  <c r="F1023" i="2"/>
  <c r="E1023" i="2"/>
  <c r="Q1022" i="2"/>
  <c r="F1022" i="2"/>
  <c r="E1022" i="2"/>
  <c r="Q1021" i="2"/>
  <c r="F1021" i="2"/>
  <c r="E1021" i="2"/>
  <c r="Q1020" i="2"/>
  <c r="F1020" i="2"/>
  <c r="E1020" i="2"/>
  <c r="Q1019" i="2"/>
  <c r="F1019" i="2"/>
  <c r="E1019" i="2"/>
  <c r="Q1018" i="2"/>
  <c r="F1018" i="2"/>
  <c r="E1018" i="2"/>
  <c r="Q1017" i="2"/>
  <c r="F1017" i="2"/>
  <c r="E1017" i="2"/>
  <c r="Q1016" i="2"/>
  <c r="F1016" i="2"/>
  <c r="E1016" i="2"/>
  <c r="Q1015" i="2"/>
  <c r="F1015" i="2"/>
  <c r="E1015" i="2"/>
  <c r="Q1014" i="2"/>
  <c r="F1014" i="2"/>
  <c r="E1014" i="2"/>
  <c r="Q1013" i="2"/>
  <c r="F1013" i="2"/>
  <c r="E1013" i="2"/>
  <c r="Q1012" i="2"/>
  <c r="F1012" i="2"/>
  <c r="E1012" i="2"/>
  <c r="Q1011" i="2"/>
  <c r="F1011" i="2"/>
  <c r="E1011" i="2"/>
  <c r="Q1010" i="2"/>
  <c r="F1010" i="2"/>
  <c r="E1010" i="2"/>
  <c r="Q1009" i="2"/>
  <c r="F1009" i="2"/>
  <c r="E1009" i="2"/>
  <c r="Q1008" i="2"/>
  <c r="F1008" i="2"/>
  <c r="E1008" i="2"/>
  <c r="Q1007" i="2"/>
  <c r="F1007" i="2"/>
  <c r="E1007" i="2"/>
  <c r="Q1006" i="2"/>
  <c r="F1006" i="2"/>
  <c r="E1006" i="2"/>
  <c r="Q1005" i="2"/>
  <c r="F1005" i="2"/>
  <c r="E1005" i="2"/>
  <c r="Q1004" i="2"/>
  <c r="F1004" i="2"/>
  <c r="E1004" i="2"/>
  <c r="Q1003" i="2"/>
  <c r="F1003" i="2"/>
  <c r="E1003" i="2"/>
  <c r="Q1002" i="2"/>
  <c r="F1002" i="2"/>
  <c r="E1002" i="2"/>
  <c r="Q1001" i="2"/>
  <c r="F1001" i="2"/>
  <c r="E1001" i="2"/>
  <c r="Q1000" i="2"/>
  <c r="F1000" i="2"/>
  <c r="E1000" i="2"/>
  <c r="Q999" i="2"/>
  <c r="F999" i="2"/>
  <c r="E999" i="2"/>
  <c r="Q998" i="2"/>
  <c r="F998" i="2"/>
  <c r="E998" i="2"/>
  <c r="Q997" i="2"/>
  <c r="F997" i="2"/>
  <c r="E997" i="2"/>
  <c r="Q996" i="2"/>
  <c r="F996" i="2"/>
  <c r="E996" i="2"/>
  <c r="Q995" i="2"/>
  <c r="F995" i="2"/>
  <c r="E995" i="2"/>
  <c r="Q994" i="2"/>
  <c r="F994" i="2"/>
  <c r="E994" i="2"/>
  <c r="Q993" i="2"/>
  <c r="F993" i="2"/>
  <c r="E993" i="2"/>
  <c r="Q992" i="2"/>
  <c r="F992" i="2"/>
  <c r="E992" i="2"/>
  <c r="Q991" i="2"/>
  <c r="F991" i="2"/>
  <c r="E991" i="2"/>
  <c r="Q990" i="2"/>
  <c r="F990" i="2"/>
  <c r="E990" i="2"/>
  <c r="Q989" i="2"/>
  <c r="F989" i="2"/>
  <c r="E989" i="2"/>
  <c r="Q988" i="2"/>
  <c r="F988" i="2"/>
  <c r="E988" i="2"/>
  <c r="Q987" i="2"/>
  <c r="F987" i="2"/>
  <c r="E987" i="2"/>
  <c r="Q986" i="2"/>
  <c r="F986" i="2"/>
  <c r="E986" i="2"/>
  <c r="Q985" i="2"/>
  <c r="F985" i="2"/>
  <c r="E985" i="2"/>
  <c r="Q984" i="2"/>
  <c r="F984" i="2"/>
  <c r="E984" i="2"/>
  <c r="Q983" i="2"/>
  <c r="F983" i="2"/>
  <c r="E983" i="2"/>
  <c r="Q982" i="2"/>
  <c r="F982" i="2"/>
  <c r="E982" i="2"/>
  <c r="Q981" i="2"/>
  <c r="F981" i="2"/>
  <c r="E981" i="2"/>
  <c r="Q980" i="2"/>
  <c r="F980" i="2"/>
  <c r="E980" i="2"/>
  <c r="Q979" i="2"/>
  <c r="F979" i="2"/>
  <c r="E979" i="2"/>
  <c r="Q978" i="2"/>
  <c r="F978" i="2"/>
  <c r="E978" i="2"/>
  <c r="Q977" i="2"/>
  <c r="F977" i="2"/>
  <c r="E977" i="2"/>
  <c r="Q976" i="2"/>
  <c r="F976" i="2"/>
  <c r="E976" i="2"/>
  <c r="Q975" i="2"/>
  <c r="F975" i="2"/>
  <c r="E975" i="2"/>
  <c r="Q974" i="2"/>
  <c r="F974" i="2"/>
  <c r="E974" i="2"/>
  <c r="Q973" i="2"/>
  <c r="F973" i="2"/>
  <c r="E973" i="2"/>
  <c r="Q972" i="2"/>
  <c r="F972" i="2"/>
  <c r="E972" i="2"/>
  <c r="Q971" i="2"/>
  <c r="F971" i="2"/>
  <c r="E971" i="2"/>
  <c r="Q970" i="2"/>
  <c r="F970" i="2"/>
  <c r="E970" i="2"/>
  <c r="Q969" i="2"/>
  <c r="F969" i="2"/>
  <c r="E969" i="2"/>
  <c r="Q968" i="2"/>
  <c r="F968" i="2"/>
  <c r="E968" i="2"/>
  <c r="Q967" i="2"/>
  <c r="F967" i="2"/>
  <c r="E967" i="2"/>
  <c r="Q966" i="2"/>
  <c r="F966" i="2"/>
  <c r="E966" i="2"/>
  <c r="Q965" i="2"/>
  <c r="F965" i="2"/>
  <c r="E965" i="2"/>
  <c r="Q964" i="2"/>
  <c r="F964" i="2"/>
  <c r="E964" i="2"/>
  <c r="Q963" i="2"/>
  <c r="F963" i="2"/>
  <c r="E963" i="2"/>
  <c r="Q962" i="2"/>
  <c r="F962" i="2"/>
  <c r="E962" i="2"/>
  <c r="Q961" i="2"/>
  <c r="F961" i="2"/>
  <c r="E961" i="2"/>
  <c r="Q960" i="2"/>
  <c r="F960" i="2"/>
  <c r="E960" i="2"/>
  <c r="Q959" i="2"/>
  <c r="F959" i="2"/>
  <c r="E959" i="2"/>
  <c r="Q958" i="2"/>
  <c r="F958" i="2"/>
  <c r="E958" i="2"/>
  <c r="Q957" i="2"/>
  <c r="F957" i="2"/>
  <c r="E957" i="2"/>
  <c r="Q956" i="2"/>
  <c r="F956" i="2"/>
  <c r="E956" i="2"/>
  <c r="Q955" i="2"/>
  <c r="F955" i="2"/>
  <c r="E955" i="2"/>
  <c r="Q954" i="2"/>
  <c r="F954" i="2"/>
  <c r="E954" i="2"/>
  <c r="Q953" i="2"/>
  <c r="F953" i="2"/>
  <c r="E953" i="2"/>
  <c r="Q952" i="2"/>
  <c r="F952" i="2"/>
  <c r="E952" i="2"/>
  <c r="Q951" i="2"/>
  <c r="F951" i="2"/>
  <c r="E951" i="2"/>
  <c r="Q950" i="2"/>
  <c r="F950" i="2"/>
  <c r="E950" i="2"/>
  <c r="Q949" i="2"/>
  <c r="F949" i="2"/>
  <c r="E949" i="2"/>
  <c r="Q948" i="2"/>
  <c r="F948" i="2"/>
  <c r="E948" i="2"/>
  <c r="Q947" i="2"/>
  <c r="F947" i="2"/>
  <c r="E947" i="2"/>
  <c r="Q946" i="2"/>
  <c r="F946" i="2"/>
  <c r="E946" i="2"/>
  <c r="Q945" i="2"/>
  <c r="F945" i="2"/>
  <c r="E945" i="2"/>
  <c r="Q944" i="2"/>
  <c r="F944" i="2"/>
  <c r="E944" i="2"/>
  <c r="Q943" i="2"/>
  <c r="F943" i="2"/>
  <c r="E943" i="2"/>
  <c r="Q942" i="2"/>
  <c r="F942" i="2"/>
  <c r="E942" i="2"/>
  <c r="Q941" i="2"/>
  <c r="F941" i="2"/>
  <c r="E941" i="2"/>
  <c r="Q940" i="2"/>
  <c r="F940" i="2"/>
  <c r="E940" i="2"/>
  <c r="Q939" i="2"/>
  <c r="F939" i="2"/>
  <c r="E939" i="2"/>
  <c r="Q938" i="2"/>
  <c r="F938" i="2"/>
  <c r="E938" i="2"/>
  <c r="Q937" i="2"/>
  <c r="F937" i="2"/>
  <c r="E937" i="2"/>
  <c r="Q936" i="2"/>
  <c r="F936" i="2"/>
  <c r="E936" i="2"/>
  <c r="Q935" i="2"/>
  <c r="F935" i="2"/>
  <c r="E935" i="2"/>
  <c r="Q934" i="2"/>
  <c r="F934" i="2"/>
  <c r="E934" i="2"/>
  <c r="Q933" i="2"/>
  <c r="F933" i="2"/>
  <c r="E933" i="2"/>
  <c r="Q932" i="2"/>
  <c r="F932" i="2"/>
  <c r="E932" i="2"/>
  <c r="Q931" i="2"/>
  <c r="F931" i="2"/>
  <c r="E931" i="2"/>
  <c r="Q930" i="2"/>
  <c r="F930" i="2"/>
  <c r="E930" i="2"/>
  <c r="Q929" i="2"/>
  <c r="F929" i="2"/>
  <c r="E929" i="2"/>
  <c r="Q928" i="2"/>
  <c r="F928" i="2"/>
  <c r="E928" i="2"/>
  <c r="Q927" i="2"/>
  <c r="F927" i="2"/>
  <c r="E927" i="2"/>
  <c r="Q926" i="2"/>
  <c r="F926" i="2"/>
  <c r="E926" i="2"/>
  <c r="Q925" i="2"/>
  <c r="F925" i="2"/>
  <c r="E925" i="2"/>
  <c r="Q924" i="2"/>
  <c r="F924" i="2"/>
  <c r="E924" i="2"/>
  <c r="Q923" i="2"/>
  <c r="F923" i="2"/>
  <c r="E923" i="2"/>
  <c r="Q922" i="2"/>
  <c r="F922" i="2"/>
  <c r="E922" i="2"/>
  <c r="Q921" i="2"/>
  <c r="F921" i="2"/>
  <c r="E921" i="2"/>
  <c r="Q920" i="2"/>
  <c r="F920" i="2"/>
  <c r="E920" i="2"/>
  <c r="Q919" i="2"/>
  <c r="F919" i="2"/>
  <c r="E919" i="2"/>
  <c r="Q918" i="2"/>
  <c r="F918" i="2"/>
  <c r="E918" i="2"/>
  <c r="Q917" i="2"/>
  <c r="F917" i="2"/>
  <c r="E917" i="2"/>
  <c r="Q916" i="2"/>
  <c r="F916" i="2"/>
  <c r="E916" i="2"/>
  <c r="Q915" i="2"/>
  <c r="F915" i="2"/>
  <c r="E915" i="2"/>
  <c r="Q914" i="2"/>
  <c r="F914" i="2"/>
  <c r="E914" i="2"/>
  <c r="Q913" i="2"/>
  <c r="F913" i="2"/>
  <c r="E913" i="2"/>
  <c r="Q912" i="2"/>
  <c r="F912" i="2"/>
  <c r="E912" i="2"/>
  <c r="Q911" i="2"/>
  <c r="F911" i="2"/>
  <c r="E911" i="2"/>
  <c r="Q910" i="2"/>
  <c r="F910" i="2"/>
  <c r="E910" i="2"/>
  <c r="Q909" i="2"/>
  <c r="F909" i="2"/>
  <c r="E909" i="2"/>
  <c r="Q908" i="2"/>
  <c r="F908" i="2"/>
  <c r="E908" i="2"/>
  <c r="Q907" i="2"/>
  <c r="F907" i="2"/>
  <c r="E907" i="2"/>
  <c r="Q906" i="2"/>
  <c r="F906" i="2"/>
  <c r="E906" i="2"/>
  <c r="Q905" i="2"/>
  <c r="F905" i="2"/>
  <c r="E905" i="2"/>
  <c r="Q904" i="2"/>
  <c r="F904" i="2"/>
  <c r="E904" i="2"/>
  <c r="Q903" i="2"/>
  <c r="F903" i="2"/>
  <c r="E903" i="2"/>
  <c r="Q902" i="2"/>
  <c r="F902" i="2"/>
  <c r="E902" i="2"/>
  <c r="Q901" i="2"/>
  <c r="F901" i="2"/>
  <c r="E901" i="2"/>
  <c r="Q900" i="2"/>
  <c r="F900" i="2"/>
  <c r="E900" i="2"/>
  <c r="Q899" i="2"/>
  <c r="F899" i="2"/>
  <c r="E899" i="2"/>
  <c r="Q898" i="2"/>
  <c r="F898" i="2"/>
  <c r="E898" i="2"/>
  <c r="Q897" i="2"/>
  <c r="F897" i="2"/>
  <c r="E897" i="2"/>
  <c r="Q896" i="2"/>
  <c r="F896" i="2"/>
  <c r="E896" i="2"/>
  <c r="Q895" i="2"/>
  <c r="F895" i="2"/>
  <c r="E895" i="2"/>
  <c r="Q894" i="2"/>
  <c r="F894" i="2"/>
  <c r="E894" i="2"/>
  <c r="Q893" i="2"/>
  <c r="F893" i="2"/>
  <c r="E893" i="2"/>
  <c r="Q892" i="2"/>
  <c r="F892" i="2"/>
  <c r="E892" i="2"/>
  <c r="Q891" i="2"/>
  <c r="F891" i="2"/>
  <c r="E891" i="2"/>
  <c r="Q890" i="2"/>
  <c r="F890" i="2"/>
  <c r="E890" i="2"/>
  <c r="Q889" i="2"/>
  <c r="F889" i="2"/>
  <c r="E889" i="2"/>
  <c r="Q888" i="2"/>
  <c r="F888" i="2"/>
  <c r="E888" i="2"/>
  <c r="Q887" i="2"/>
  <c r="F887" i="2"/>
  <c r="E887" i="2"/>
  <c r="Q886" i="2"/>
  <c r="F886" i="2"/>
  <c r="E886" i="2"/>
  <c r="Q885" i="2"/>
  <c r="F885" i="2"/>
  <c r="E885" i="2"/>
  <c r="Q884" i="2"/>
  <c r="F884" i="2"/>
  <c r="E884" i="2"/>
  <c r="Q883" i="2"/>
  <c r="F883" i="2"/>
  <c r="E883" i="2"/>
  <c r="Q882" i="2"/>
  <c r="F882" i="2"/>
  <c r="E882" i="2"/>
  <c r="Q881" i="2"/>
  <c r="F881" i="2"/>
  <c r="E881" i="2"/>
  <c r="Q880" i="2"/>
  <c r="F880" i="2"/>
  <c r="E880" i="2"/>
  <c r="Q879" i="2"/>
  <c r="F879" i="2"/>
  <c r="E879" i="2"/>
  <c r="Q878" i="2"/>
  <c r="F878" i="2"/>
  <c r="E878" i="2"/>
  <c r="Q877" i="2"/>
  <c r="F877" i="2"/>
  <c r="E877" i="2"/>
  <c r="Q876" i="2"/>
  <c r="F876" i="2"/>
  <c r="E876" i="2"/>
  <c r="Q875" i="2"/>
  <c r="F875" i="2"/>
  <c r="E875" i="2"/>
  <c r="Q874" i="2"/>
  <c r="F874" i="2"/>
  <c r="E874" i="2"/>
  <c r="Q873" i="2"/>
  <c r="F873" i="2"/>
  <c r="E873" i="2"/>
  <c r="Q872" i="2"/>
  <c r="F872" i="2"/>
  <c r="E872" i="2"/>
  <c r="Q871" i="2"/>
  <c r="F871" i="2"/>
  <c r="E871" i="2"/>
  <c r="Q870" i="2"/>
  <c r="F870" i="2"/>
  <c r="E870" i="2"/>
  <c r="Q869" i="2"/>
  <c r="F869" i="2"/>
  <c r="E869" i="2"/>
  <c r="Q868" i="2"/>
  <c r="F868" i="2"/>
  <c r="E868" i="2"/>
  <c r="Q867" i="2"/>
  <c r="F867" i="2"/>
  <c r="E867" i="2"/>
  <c r="Q866" i="2"/>
  <c r="F866" i="2"/>
  <c r="E866" i="2"/>
  <c r="Q865" i="2"/>
  <c r="F865" i="2"/>
  <c r="E865" i="2"/>
  <c r="Q864" i="2"/>
  <c r="F864" i="2"/>
  <c r="E864" i="2"/>
  <c r="Q863" i="2"/>
  <c r="F863" i="2"/>
  <c r="E863" i="2"/>
  <c r="Q862" i="2"/>
  <c r="F862" i="2"/>
  <c r="E862" i="2"/>
  <c r="Q861" i="2"/>
  <c r="F861" i="2"/>
  <c r="E861" i="2"/>
  <c r="Q860" i="2"/>
  <c r="F860" i="2"/>
  <c r="E860" i="2"/>
  <c r="Q859" i="2"/>
  <c r="F859" i="2"/>
  <c r="E859" i="2"/>
  <c r="Q858" i="2"/>
  <c r="F858" i="2"/>
  <c r="E858" i="2"/>
  <c r="Q857" i="2"/>
  <c r="F857" i="2"/>
  <c r="E857" i="2"/>
  <c r="Q856" i="2"/>
  <c r="F856" i="2"/>
  <c r="E856" i="2"/>
  <c r="Q855" i="2"/>
  <c r="F855" i="2"/>
  <c r="E855" i="2"/>
  <c r="Q854" i="2"/>
  <c r="F854" i="2"/>
  <c r="E854" i="2"/>
  <c r="Q853" i="2"/>
  <c r="F853" i="2"/>
  <c r="E853" i="2"/>
  <c r="Q852" i="2"/>
  <c r="F852" i="2"/>
  <c r="E852" i="2"/>
  <c r="Q851" i="2"/>
  <c r="F851" i="2"/>
  <c r="E851" i="2"/>
  <c r="Q850" i="2"/>
  <c r="F850" i="2"/>
  <c r="E850" i="2"/>
  <c r="Q849" i="2"/>
  <c r="F849" i="2"/>
  <c r="E849" i="2"/>
  <c r="Q848" i="2"/>
  <c r="F848" i="2"/>
  <c r="E848" i="2"/>
  <c r="Q847" i="2"/>
  <c r="F847" i="2"/>
  <c r="E847" i="2"/>
  <c r="Q846" i="2"/>
  <c r="F846" i="2"/>
  <c r="E846" i="2"/>
  <c r="Q845" i="2"/>
  <c r="F845" i="2"/>
  <c r="E845" i="2"/>
  <c r="Q844" i="2"/>
  <c r="F844" i="2"/>
  <c r="E844" i="2"/>
  <c r="Q843" i="2"/>
  <c r="F843" i="2"/>
  <c r="E843" i="2"/>
  <c r="Q842" i="2"/>
  <c r="F842" i="2"/>
  <c r="E842" i="2"/>
  <c r="Q841" i="2"/>
  <c r="F841" i="2"/>
  <c r="E841" i="2"/>
  <c r="Q840" i="2"/>
  <c r="F840" i="2"/>
  <c r="E840" i="2"/>
  <c r="Q839" i="2"/>
  <c r="F839" i="2"/>
  <c r="E839" i="2"/>
  <c r="Q838" i="2"/>
  <c r="F838" i="2"/>
  <c r="E838" i="2"/>
  <c r="Q837" i="2"/>
  <c r="F837" i="2"/>
  <c r="E837" i="2"/>
  <c r="Q836" i="2"/>
  <c r="F836" i="2"/>
  <c r="E836" i="2"/>
  <c r="Q835" i="2"/>
  <c r="F835" i="2"/>
  <c r="E835" i="2"/>
  <c r="Q834" i="2"/>
  <c r="F834" i="2"/>
  <c r="E834" i="2"/>
  <c r="Q833" i="2"/>
  <c r="F833" i="2"/>
  <c r="E833" i="2"/>
  <c r="Q832" i="2"/>
  <c r="F832" i="2"/>
  <c r="E832" i="2"/>
  <c r="Q831" i="2"/>
  <c r="F831" i="2"/>
  <c r="E831" i="2"/>
  <c r="Q830" i="2"/>
  <c r="F830" i="2"/>
  <c r="E830" i="2"/>
  <c r="Q829" i="2"/>
  <c r="F829" i="2"/>
  <c r="E829" i="2"/>
  <c r="Q828" i="2"/>
  <c r="F828" i="2"/>
  <c r="E828" i="2"/>
  <c r="Q827" i="2"/>
  <c r="F827" i="2"/>
  <c r="E827" i="2"/>
  <c r="Q826" i="2"/>
  <c r="F826" i="2"/>
  <c r="E826" i="2"/>
  <c r="Q825" i="2"/>
  <c r="F825" i="2"/>
  <c r="E825" i="2"/>
  <c r="Q824" i="2"/>
  <c r="F824" i="2"/>
  <c r="E824" i="2"/>
  <c r="Q823" i="2"/>
  <c r="F823" i="2"/>
  <c r="E823" i="2"/>
  <c r="Q822" i="2"/>
  <c r="F822" i="2"/>
  <c r="E822" i="2"/>
  <c r="Q821" i="2"/>
  <c r="F821" i="2"/>
  <c r="E821" i="2"/>
  <c r="Q820" i="2"/>
  <c r="F820" i="2"/>
  <c r="E820" i="2"/>
  <c r="Q819" i="2"/>
  <c r="F819" i="2"/>
  <c r="E819" i="2"/>
  <c r="Q818" i="2"/>
  <c r="F818" i="2"/>
  <c r="E818" i="2"/>
  <c r="Q817" i="2"/>
  <c r="F817" i="2"/>
  <c r="E817" i="2"/>
  <c r="Q816" i="2"/>
  <c r="F816" i="2"/>
  <c r="E816" i="2"/>
  <c r="Q815" i="2"/>
  <c r="F815" i="2"/>
  <c r="E815" i="2"/>
  <c r="Q814" i="2"/>
  <c r="F814" i="2"/>
  <c r="E814" i="2"/>
  <c r="Q813" i="2"/>
  <c r="F813" i="2"/>
  <c r="E813" i="2"/>
  <c r="Q812" i="2"/>
  <c r="F812" i="2"/>
  <c r="E812" i="2"/>
  <c r="Q811" i="2"/>
  <c r="F811" i="2"/>
  <c r="E811" i="2"/>
  <c r="Q810" i="2"/>
  <c r="F810" i="2"/>
  <c r="E810" i="2"/>
  <c r="Q809" i="2"/>
  <c r="F809" i="2"/>
  <c r="E809" i="2"/>
  <c r="Q808" i="2"/>
  <c r="F808" i="2"/>
  <c r="E808" i="2"/>
  <c r="Q807" i="2"/>
  <c r="F807" i="2"/>
  <c r="E807" i="2"/>
  <c r="Q806" i="2"/>
  <c r="F806" i="2"/>
  <c r="E806" i="2"/>
  <c r="Q805" i="2"/>
  <c r="F805" i="2"/>
  <c r="E805" i="2"/>
  <c r="Q804" i="2"/>
  <c r="F804" i="2"/>
  <c r="E804" i="2"/>
  <c r="Q803" i="2"/>
  <c r="F803" i="2"/>
  <c r="E803" i="2"/>
  <c r="Q802" i="2"/>
  <c r="F802" i="2"/>
  <c r="E802" i="2"/>
  <c r="Q801" i="2"/>
  <c r="F801" i="2"/>
  <c r="E801" i="2"/>
  <c r="Q800" i="2"/>
  <c r="F800" i="2"/>
  <c r="E800" i="2"/>
  <c r="Q799" i="2"/>
  <c r="F799" i="2"/>
  <c r="E799" i="2"/>
  <c r="Q798" i="2"/>
  <c r="F798" i="2"/>
  <c r="E798" i="2"/>
  <c r="Q797" i="2"/>
  <c r="F797" i="2"/>
  <c r="E797" i="2"/>
  <c r="Q796" i="2"/>
  <c r="F796" i="2"/>
  <c r="E796" i="2"/>
  <c r="Q795" i="2"/>
  <c r="F795" i="2"/>
  <c r="E795" i="2"/>
  <c r="Q794" i="2"/>
  <c r="F794" i="2"/>
  <c r="E794" i="2"/>
  <c r="Q793" i="2"/>
  <c r="F793" i="2"/>
  <c r="E793" i="2"/>
  <c r="Q792" i="2"/>
  <c r="F792" i="2"/>
  <c r="E792" i="2"/>
  <c r="Q791" i="2"/>
  <c r="F791" i="2"/>
  <c r="E791" i="2"/>
  <c r="Q790" i="2"/>
  <c r="F790" i="2"/>
  <c r="E790" i="2"/>
  <c r="Q789" i="2"/>
  <c r="F789" i="2"/>
  <c r="E789" i="2"/>
  <c r="Q788" i="2"/>
  <c r="F788" i="2"/>
  <c r="E788" i="2"/>
  <c r="Q787" i="2"/>
  <c r="F787" i="2"/>
  <c r="E787" i="2"/>
  <c r="Q786" i="2"/>
  <c r="F786" i="2"/>
  <c r="E786" i="2"/>
  <c r="Q785" i="2"/>
  <c r="F785" i="2"/>
  <c r="E785" i="2"/>
  <c r="Q784" i="2"/>
  <c r="F784" i="2"/>
  <c r="E784" i="2"/>
  <c r="Q783" i="2"/>
  <c r="F783" i="2"/>
  <c r="E783" i="2"/>
  <c r="Q782" i="2"/>
  <c r="F782" i="2"/>
  <c r="E782" i="2"/>
  <c r="Q781" i="2"/>
  <c r="F781" i="2"/>
  <c r="E781" i="2"/>
  <c r="Q780" i="2"/>
  <c r="F780" i="2"/>
  <c r="E780" i="2"/>
  <c r="Q779" i="2"/>
  <c r="F779" i="2"/>
  <c r="E779" i="2"/>
  <c r="Q778" i="2"/>
  <c r="F778" i="2"/>
  <c r="E778" i="2"/>
  <c r="Q777" i="2"/>
  <c r="F777" i="2"/>
  <c r="E777" i="2"/>
  <c r="Q776" i="2"/>
  <c r="F776" i="2"/>
  <c r="E776" i="2"/>
  <c r="Q775" i="2"/>
  <c r="F775" i="2"/>
  <c r="E775" i="2"/>
  <c r="Q774" i="2"/>
  <c r="F774" i="2"/>
  <c r="E774" i="2"/>
  <c r="Q773" i="2"/>
  <c r="F773" i="2"/>
  <c r="E773" i="2"/>
  <c r="Q772" i="2"/>
  <c r="F772" i="2"/>
  <c r="E772" i="2"/>
  <c r="Q771" i="2"/>
  <c r="F771" i="2"/>
  <c r="E771" i="2"/>
  <c r="Q770" i="2"/>
  <c r="F770" i="2"/>
  <c r="E770" i="2"/>
  <c r="Q769" i="2"/>
  <c r="F769" i="2"/>
  <c r="E769" i="2"/>
  <c r="Q768" i="2"/>
  <c r="F768" i="2"/>
  <c r="E768" i="2"/>
  <c r="Q767" i="2"/>
  <c r="F767" i="2"/>
  <c r="E767" i="2"/>
  <c r="Q766" i="2"/>
  <c r="F766" i="2"/>
  <c r="E766" i="2"/>
  <c r="Q765" i="2"/>
  <c r="F765" i="2"/>
  <c r="E765" i="2"/>
  <c r="Q764" i="2"/>
  <c r="F764" i="2"/>
  <c r="E764" i="2"/>
  <c r="Q763" i="2"/>
  <c r="F763" i="2"/>
  <c r="E763" i="2"/>
  <c r="Q762" i="2"/>
  <c r="F762" i="2"/>
  <c r="E762" i="2"/>
  <c r="Q761" i="2"/>
  <c r="F761" i="2"/>
  <c r="E761" i="2"/>
  <c r="Q760" i="2"/>
  <c r="F760" i="2"/>
  <c r="E760" i="2"/>
  <c r="Q759" i="2"/>
  <c r="F759" i="2"/>
  <c r="E759" i="2"/>
  <c r="Q758" i="2"/>
  <c r="F758" i="2"/>
  <c r="E758" i="2"/>
  <c r="Q757" i="2"/>
  <c r="F757" i="2"/>
  <c r="E757" i="2"/>
  <c r="Q756" i="2"/>
  <c r="F756" i="2"/>
  <c r="E756" i="2"/>
  <c r="Q755" i="2"/>
  <c r="F755" i="2"/>
  <c r="E755" i="2"/>
  <c r="Q754" i="2"/>
  <c r="F754" i="2"/>
  <c r="E754" i="2"/>
  <c r="Q753" i="2"/>
  <c r="F753" i="2"/>
  <c r="E753" i="2"/>
  <c r="Q752" i="2"/>
  <c r="F752" i="2"/>
  <c r="E752" i="2"/>
  <c r="Q751" i="2"/>
  <c r="F751" i="2"/>
  <c r="E751" i="2"/>
  <c r="Q750" i="2"/>
  <c r="F750" i="2"/>
  <c r="E750" i="2"/>
  <c r="Q749" i="2"/>
  <c r="F749" i="2"/>
  <c r="E749" i="2"/>
  <c r="Q748" i="2"/>
  <c r="F748" i="2"/>
  <c r="E748" i="2"/>
  <c r="Q747" i="2"/>
  <c r="F747" i="2"/>
  <c r="E747" i="2"/>
  <c r="Q746" i="2"/>
  <c r="F746" i="2"/>
  <c r="E746" i="2"/>
  <c r="Q745" i="2"/>
  <c r="F745" i="2"/>
  <c r="E745" i="2"/>
  <c r="Q744" i="2"/>
  <c r="F744" i="2"/>
  <c r="E744" i="2"/>
  <c r="Q743" i="2"/>
  <c r="F743" i="2"/>
  <c r="E743" i="2"/>
  <c r="Q742" i="2"/>
  <c r="F742" i="2"/>
  <c r="E742" i="2"/>
  <c r="Q741" i="2"/>
  <c r="F741" i="2"/>
  <c r="E741" i="2"/>
  <c r="Q740" i="2"/>
  <c r="F740" i="2"/>
  <c r="E740" i="2"/>
  <c r="Q739" i="2"/>
  <c r="F739" i="2"/>
  <c r="E739" i="2"/>
  <c r="Q738" i="2"/>
  <c r="F738" i="2"/>
  <c r="E738" i="2"/>
  <c r="Q737" i="2"/>
  <c r="F737" i="2"/>
  <c r="E737" i="2"/>
  <c r="Q736" i="2"/>
  <c r="F736" i="2"/>
  <c r="E736" i="2"/>
  <c r="Q735" i="2"/>
  <c r="F735" i="2"/>
  <c r="E735" i="2"/>
  <c r="Q734" i="2"/>
  <c r="F734" i="2"/>
  <c r="E734" i="2"/>
  <c r="Q733" i="2"/>
  <c r="F733" i="2"/>
  <c r="E733" i="2"/>
  <c r="Q732" i="2"/>
  <c r="F732" i="2"/>
  <c r="E732" i="2"/>
  <c r="Q731" i="2"/>
  <c r="F731" i="2"/>
  <c r="E731" i="2"/>
  <c r="Q730" i="2"/>
  <c r="F730" i="2"/>
  <c r="E730" i="2"/>
  <c r="Q729" i="2"/>
  <c r="F729" i="2"/>
  <c r="E729" i="2"/>
  <c r="Q728" i="2"/>
  <c r="F728" i="2"/>
  <c r="E728" i="2"/>
  <c r="Q727" i="2"/>
  <c r="F727" i="2"/>
  <c r="E727" i="2"/>
  <c r="Q726" i="2"/>
  <c r="F726" i="2"/>
  <c r="E726" i="2"/>
  <c r="Q725" i="2"/>
  <c r="F725" i="2"/>
  <c r="E725" i="2"/>
  <c r="Q724" i="2"/>
  <c r="F724" i="2"/>
  <c r="E724" i="2"/>
  <c r="Q723" i="2"/>
  <c r="F723" i="2"/>
  <c r="E723" i="2"/>
  <c r="Q722" i="2"/>
  <c r="F722" i="2"/>
  <c r="E722" i="2"/>
  <c r="Q721" i="2"/>
  <c r="F721" i="2"/>
  <c r="E721" i="2"/>
  <c r="Q720" i="2"/>
  <c r="F720" i="2"/>
  <c r="E720" i="2"/>
  <c r="Q719" i="2"/>
  <c r="F719" i="2"/>
  <c r="E719" i="2"/>
  <c r="Q718" i="2"/>
  <c r="F718" i="2"/>
  <c r="E718" i="2"/>
  <c r="Q717" i="2"/>
  <c r="F717" i="2"/>
  <c r="E717" i="2"/>
  <c r="Q716" i="2"/>
  <c r="F716" i="2"/>
  <c r="E716" i="2"/>
  <c r="Q715" i="2"/>
  <c r="F715" i="2"/>
  <c r="E715" i="2"/>
  <c r="Q714" i="2"/>
  <c r="F714" i="2"/>
  <c r="E714" i="2"/>
  <c r="Q713" i="2"/>
  <c r="F713" i="2"/>
  <c r="E713" i="2"/>
  <c r="Q712" i="2"/>
  <c r="F712" i="2"/>
  <c r="E712" i="2"/>
  <c r="Q711" i="2"/>
  <c r="F711" i="2"/>
  <c r="E711" i="2"/>
  <c r="Q710" i="2"/>
  <c r="F710" i="2"/>
  <c r="E710" i="2"/>
  <c r="Q709" i="2"/>
  <c r="F709" i="2"/>
  <c r="E709" i="2"/>
  <c r="Q708" i="2"/>
  <c r="F708" i="2"/>
  <c r="E708" i="2"/>
  <c r="Q707" i="2"/>
  <c r="F707" i="2"/>
  <c r="E707" i="2"/>
  <c r="Q706" i="2"/>
  <c r="F706" i="2"/>
  <c r="E706" i="2"/>
  <c r="Q705" i="2"/>
  <c r="F705" i="2"/>
  <c r="E705" i="2"/>
  <c r="Q704" i="2"/>
  <c r="F704" i="2"/>
  <c r="E704" i="2"/>
  <c r="Q703" i="2"/>
  <c r="F703" i="2"/>
  <c r="E703" i="2"/>
  <c r="Q702" i="2"/>
  <c r="F702" i="2"/>
  <c r="E702" i="2"/>
  <c r="Q701" i="2"/>
  <c r="F701" i="2"/>
  <c r="E701" i="2"/>
  <c r="Q700" i="2"/>
  <c r="F700" i="2"/>
  <c r="E700" i="2"/>
  <c r="Q699" i="2"/>
  <c r="F699" i="2"/>
  <c r="E699" i="2"/>
  <c r="Q698" i="2"/>
  <c r="F698" i="2"/>
  <c r="E698" i="2"/>
  <c r="Q697" i="2"/>
  <c r="F697" i="2"/>
  <c r="E697" i="2"/>
  <c r="Q696" i="2"/>
  <c r="F696" i="2"/>
  <c r="E696" i="2"/>
  <c r="Q695" i="2"/>
  <c r="F695" i="2"/>
  <c r="E695" i="2"/>
  <c r="Q694" i="2"/>
  <c r="F694" i="2"/>
  <c r="E694" i="2"/>
  <c r="Q693" i="2"/>
  <c r="F693" i="2"/>
  <c r="E693" i="2"/>
  <c r="Q692" i="2"/>
  <c r="F692" i="2"/>
  <c r="E692" i="2"/>
  <c r="Q691" i="2"/>
  <c r="F691" i="2"/>
  <c r="E691" i="2"/>
  <c r="Q690" i="2"/>
  <c r="F690" i="2"/>
  <c r="E690" i="2"/>
  <c r="Q689" i="2"/>
  <c r="F689" i="2"/>
  <c r="E689" i="2"/>
  <c r="Q688" i="2"/>
  <c r="F688" i="2"/>
  <c r="E688" i="2"/>
  <c r="Q687" i="2"/>
  <c r="F687" i="2"/>
  <c r="E687" i="2"/>
  <c r="Q686" i="2"/>
  <c r="F686" i="2"/>
  <c r="E686" i="2"/>
  <c r="Q685" i="2"/>
  <c r="F685" i="2"/>
  <c r="E685" i="2"/>
  <c r="Q684" i="2"/>
  <c r="F684" i="2"/>
  <c r="E684" i="2"/>
  <c r="Q683" i="2"/>
  <c r="F683" i="2"/>
  <c r="E683" i="2"/>
  <c r="Q682" i="2"/>
  <c r="F682" i="2"/>
  <c r="E682" i="2"/>
  <c r="Q681" i="2"/>
  <c r="F681" i="2"/>
  <c r="E681" i="2"/>
  <c r="Q680" i="2"/>
  <c r="F680" i="2"/>
  <c r="E680" i="2"/>
  <c r="Q679" i="2"/>
  <c r="F679" i="2"/>
  <c r="E679" i="2"/>
  <c r="Q678" i="2"/>
  <c r="F678" i="2"/>
  <c r="E678" i="2"/>
  <c r="Q677" i="2"/>
  <c r="F677" i="2"/>
  <c r="E677" i="2"/>
  <c r="Q676" i="2"/>
  <c r="F676" i="2"/>
  <c r="E676" i="2"/>
  <c r="Q675" i="2"/>
  <c r="F675" i="2"/>
  <c r="E675" i="2"/>
  <c r="Q674" i="2"/>
  <c r="F674" i="2"/>
  <c r="E674" i="2"/>
  <c r="Q673" i="2"/>
  <c r="F673" i="2"/>
  <c r="E673" i="2"/>
  <c r="Q672" i="2"/>
  <c r="F672" i="2"/>
  <c r="E672" i="2"/>
  <c r="Q671" i="2"/>
  <c r="F671" i="2"/>
  <c r="E671" i="2"/>
  <c r="Q670" i="2"/>
  <c r="F670" i="2"/>
  <c r="E670" i="2"/>
  <c r="Q669" i="2"/>
  <c r="F669" i="2"/>
  <c r="E669" i="2"/>
  <c r="Q668" i="2"/>
  <c r="F668" i="2"/>
  <c r="E668" i="2"/>
  <c r="Q667" i="2"/>
  <c r="F667" i="2"/>
  <c r="E667" i="2"/>
  <c r="Q666" i="2"/>
  <c r="F666" i="2"/>
  <c r="E666" i="2"/>
  <c r="Q665" i="2"/>
  <c r="F665" i="2"/>
  <c r="E665" i="2"/>
  <c r="Q664" i="2"/>
  <c r="F664" i="2"/>
  <c r="E664" i="2"/>
  <c r="Q663" i="2"/>
  <c r="F663" i="2"/>
  <c r="E663" i="2"/>
  <c r="Q662" i="2"/>
  <c r="F662" i="2"/>
  <c r="E662" i="2"/>
  <c r="Q661" i="2"/>
  <c r="F661" i="2"/>
  <c r="E661" i="2"/>
  <c r="Q660" i="2"/>
  <c r="F660" i="2"/>
  <c r="E660" i="2"/>
  <c r="Q659" i="2"/>
  <c r="F659" i="2"/>
  <c r="E659" i="2"/>
  <c r="Q658" i="2"/>
  <c r="F658" i="2"/>
  <c r="E658" i="2"/>
  <c r="Q657" i="2"/>
  <c r="F657" i="2"/>
  <c r="E657" i="2"/>
  <c r="Q656" i="2"/>
  <c r="F656" i="2"/>
  <c r="E656" i="2"/>
  <c r="Q655" i="2"/>
  <c r="F655" i="2"/>
  <c r="E655" i="2"/>
  <c r="Q654" i="2"/>
  <c r="F654" i="2"/>
  <c r="E654" i="2"/>
  <c r="Q653" i="2"/>
  <c r="F653" i="2"/>
  <c r="E653" i="2"/>
  <c r="Q652" i="2"/>
  <c r="F652" i="2"/>
  <c r="E652" i="2"/>
  <c r="Q651" i="2"/>
  <c r="F651" i="2"/>
  <c r="E651" i="2"/>
  <c r="Q650" i="2"/>
  <c r="F650" i="2"/>
  <c r="E650" i="2"/>
  <c r="Q649" i="2"/>
  <c r="F649" i="2"/>
  <c r="E649" i="2"/>
  <c r="Q648" i="2"/>
  <c r="F648" i="2"/>
  <c r="E648" i="2"/>
  <c r="Q647" i="2"/>
  <c r="F647" i="2"/>
  <c r="E647" i="2"/>
  <c r="Q646" i="2"/>
  <c r="F646" i="2"/>
  <c r="E646" i="2"/>
  <c r="Q645" i="2"/>
  <c r="F645" i="2"/>
  <c r="E645" i="2"/>
  <c r="Q644" i="2"/>
  <c r="F644" i="2"/>
  <c r="E644" i="2"/>
  <c r="Q643" i="2"/>
  <c r="F643" i="2"/>
  <c r="E643" i="2"/>
  <c r="Q642" i="2"/>
  <c r="F642" i="2"/>
  <c r="E642" i="2"/>
  <c r="Q641" i="2"/>
  <c r="F641" i="2"/>
  <c r="E641" i="2"/>
  <c r="Q640" i="2"/>
  <c r="F640" i="2"/>
  <c r="E640" i="2"/>
  <c r="Q639" i="2"/>
  <c r="F639" i="2"/>
  <c r="E639" i="2"/>
  <c r="Q638" i="2"/>
  <c r="F638" i="2"/>
  <c r="E638" i="2"/>
  <c r="Q637" i="2"/>
  <c r="F637" i="2"/>
  <c r="E637" i="2"/>
  <c r="Q636" i="2"/>
  <c r="F636" i="2"/>
  <c r="E636" i="2"/>
  <c r="Q635" i="2"/>
  <c r="F635" i="2"/>
  <c r="E635" i="2"/>
  <c r="Q634" i="2"/>
  <c r="F634" i="2"/>
  <c r="E634" i="2"/>
  <c r="Q633" i="2"/>
  <c r="F633" i="2"/>
  <c r="E633" i="2"/>
  <c r="Q632" i="2"/>
  <c r="F632" i="2"/>
  <c r="E632" i="2"/>
  <c r="Q631" i="2"/>
  <c r="F631" i="2"/>
  <c r="E631" i="2"/>
  <c r="Q630" i="2"/>
  <c r="F630" i="2"/>
  <c r="E630" i="2"/>
  <c r="Q629" i="2"/>
  <c r="F629" i="2"/>
  <c r="E629" i="2"/>
  <c r="Q628" i="2"/>
  <c r="F628" i="2"/>
  <c r="E628" i="2"/>
  <c r="Q627" i="2"/>
  <c r="F627" i="2"/>
  <c r="E627" i="2"/>
  <c r="Q626" i="2"/>
  <c r="F626" i="2"/>
  <c r="E626" i="2"/>
  <c r="Q625" i="2"/>
  <c r="F625" i="2"/>
  <c r="E625" i="2"/>
  <c r="Q624" i="2"/>
  <c r="F624" i="2"/>
  <c r="E624" i="2"/>
  <c r="Q623" i="2"/>
  <c r="F623" i="2"/>
  <c r="E623" i="2"/>
  <c r="Q622" i="2"/>
  <c r="F622" i="2"/>
  <c r="E622" i="2"/>
  <c r="Q621" i="2"/>
  <c r="F621" i="2"/>
  <c r="E621" i="2"/>
  <c r="Q620" i="2"/>
  <c r="F620" i="2"/>
  <c r="E620" i="2"/>
  <c r="Q619" i="2"/>
  <c r="F619" i="2"/>
  <c r="E619" i="2"/>
  <c r="Q618" i="2"/>
  <c r="F618" i="2"/>
  <c r="E618" i="2"/>
  <c r="Q617" i="2"/>
  <c r="F617" i="2"/>
  <c r="E617" i="2"/>
  <c r="Q616" i="2"/>
  <c r="F616" i="2"/>
  <c r="E616" i="2"/>
  <c r="Q615" i="2"/>
  <c r="F615" i="2"/>
  <c r="E615" i="2"/>
  <c r="Q614" i="2"/>
  <c r="F614" i="2"/>
  <c r="E614" i="2"/>
  <c r="Q613" i="2"/>
  <c r="F613" i="2"/>
  <c r="E613" i="2"/>
  <c r="Q612" i="2"/>
  <c r="F612" i="2"/>
  <c r="E612" i="2"/>
  <c r="Q611" i="2"/>
  <c r="F611" i="2"/>
  <c r="E611" i="2"/>
  <c r="Q610" i="2"/>
  <c r="F610" i="2"/>
  <c r="E610" i="2"/>
  <c r="Q609" i="2"/>
  <c r="F609" i="2"/>
  <c r="E609" i="2"/>
  <c r="Q608" i="2"/>
  <c r="F608" i="2"/>
  <c r="E608" i="2"/>
  <c r="Q607" i="2"/>
  <c r="F607" i="2"/>
  <c r="E607" i="2"/>
  <c r="Q606" i="2"/>
  <c r="F606" i="2"/>
  <c r="E606" i="2"/>
  <c r="Q605" i="2"/>
  <c r="F605" i="2"/>
  <c r="E605" i="2"/>
  <c r="Q604" i="2"/>
  <c r="F604" i="2"/>
  <c r="E604" i="2"/>
  <c r="Q603" i="2"/>
  <c r="F603" i="2"/>
  <c r="E603" i="2"/>
  <c r="Q602" i="2"/>
  <c r="F602" i="2"/>
  <c r="E602" i="2"/>
  <c r="Q601" i="2"/>
  <c r="F601" i="2"/>
  <c r="E601" i="2"/>
  <c r="Q600" i="2"/>
  <c r="F600" i="2"/>
  <c r="E600" i="2"/>
  <c r="Q599" i="2"/>
  <c r="F599" i="2"/>
  <c r="E599" i="2"/>
  <c r="Q598" i="2"/>
  <c r="F598" i="2"/>
  <c r="E598" i="2"/>
  <c r="Q597" i="2"/>
  <c r="F597" i="2"/>
  <c r="E597" i="2"/>
  <c r="Q596" i="2"/>
  <c r="F596" i="2"/>
  <c r="E596" i="2"/>
  <c r="Q595" i="2"/>
  <c r="F595" i="2"/>
  <c r="E595" i="2"/>
  <c r="Q594" i="2"/>
  <c r="F594" i="2"/>
  <c r="E594" i="2"/>
  <c r="Q593" i="2"/>
  <c r="F593" i="2"/>
  <c r="E593" i="2"/>
  <c r="Q592" i="2"/>
  <c r="F592" i="2"/>
  <c r="E592" i="2"/>
  <c r="Q591" i="2"/>
  <c r="F591" i="2"/>
  <c r="E591" i="2"/>
  <c r="Q590" i="2"/>
  <c r="F590" i="2"/>
  <c r="E590" i="2"/>
  <c r="Q589" i="2"/>
  <c r="F589" i="2"/>
  <c r="E589" i="2"/>
  <c r="Q588" i="2"/>
  <c r="F588" i="2"/>
  <c r="E588" i="2"/>
  <c r="Q587" i="2"/>
  <c r="F587" i="2"/>
  <c r="E587" i="2"/>
  <c r="Q586" i="2"/>
  <c r="F586" i="2"/>
  <c r="E586" i="2"/>
  <c r="Q585" i="2"/>
  <c r="F585" i="2"/>
  <c r="E585" i="2"/>
  <c r="Q584" i="2"/>
  <c r="F584" i="2"/>
  <c r="E584" i="2"/>
  <c r="Q583" i="2"/>
  <c r="F583" i="2"/>
  <c r="E583" i="2"/>
  <c r="Q582" i="2"/>
  <c r="F582" i="2"/>
  <c r="E582" i="2"/>
  <c r="Q581" i="2"/>
  <c r="F581" i="2"/>
  <c r="E581" i="2"/>
  <c r="Q580" i="2"/>
  <c r="F580" i="2"/>
  <c r="E580" i="2"/>
  <c r="Q579" i="2"/>
  <c r="F579" i="2"/>
  <c r="E579" i="2"/>
  <c r="Q578" i="2"/>
  <c r="F578" i="2"/>
  <c r="E578" i="2"/>
  <c r="Q577" i="2"/>
  <c r="F577" i="2"/>
  <c r="E577" i="2"/>
  <c r="Q576" i="2"/>
  <c r="F576" i="2"/>
  <c r="E576" i="2"/>
  <c r="Q575" i="2"/>
  <c r="F575" i="2"/>
  <c r="E575" i="2"/>
  <c r="Q574" i="2"/>
  <c r="F574" i="2"/>
  <c r="E574" i="2"/>
  <c r="Q573" i="2"/>
  <c r="F573" i="2"/>
  <c r="E573" i="2"/>
  <c r="Q572" i="2"/>
  <c r="F572" i="2"/>
  <c r="E572" i="2"/>
  <c r="Q571" i="2"/>
  <c r="F571" i="2"/>
  <c r="E571" i="2"/>
  <c r="Q570" i="2"/>
  <c r="F570" i="2"/>
  <c r="E570" i="2"/>
  <c r="Q569" i="2"/>
  <c r="F569" i="2"/>
  <c r="E569" i="2"/>
  <c r="Q568" i="2"/>
  <c r="F568" i="2"/>
  <c r="E568" i="2"/>
  <c r="Q567" i="2"/>
  <c r="F567" i="2"/>
  <c r="E567" i="2"/>
  <c r="Q566" i="2"/>
  <c r="F566" i="2"/>
  <c r="E566" i="2"/>
  <c r="Q565" i="2"/>
  <c r="F565" i="2"/>
  <c r="E565" i="2"/>
  <c r="Q564" i="2"/>
  <c r="F564" i="2"/>
  <c r="E564" i="2"/>
  <c r="Q563" i="2"/>
  <c r="F563" i="2"/>
  <c r="E563" i="2"/>
  <c r="Q562" i="2"/>
  <c r="F562" i="2"/>
  <c r="E562" i="2"/>
  <c r="Q561" i="2"/>
  <c r="F561" i="2"/>
  <c r="E561" i="2"/>
  <c r="Q560" i="2"/>
  <c r="F560" i="2"/>
  <c r="E560" i="2"/>
  <c r="Q559" i="2"/>
  <c r="F559" i="2"/>
  <c r="E559" i="2"/>
  <c r="Q558" i="2"/>
  <c r="F558" i="2"/>
  <c r="E558" i="2"/>
  <c r="Q557" i="2"/>
  <c r="F557" i="2"/>
  <c r="E557" i="2"/>
  <c r="Q556" i="2"/>
  <c r="F556" i="2"/>
  <c r="E556" i="2"/>
  <c r="Q555" i="2"/>
  <c r="F555" i="2"/>
  <c r="E555" i="2"/>
  <c r="Q554" i="2"/>
  <c r="F554" i="2"/>
  <c r="E554" i="2"/>
  <c r="Q553" i="2"/>
  <c r="F553" i="2"/>
  <c r="E553" i="2"/>
  <c r="Q552" i="2"/>
  <c r="F552" i="2"/>
  <c r="E552" i="2"/>
  <c r="Q551" i="2"/>
  <c r="F551" i="2"/>
  <c r="E551" i="2"/>
  <c r="Q550" i="2"/>
  <c r="F550" i="2"/>
  <c r="E550" i="2"/>
  <c r="Q549" i="2"/>
  <c r="F549" i="2"/>
  <c r="E549" i="2"/>
  <c r="Q548" i="2"/>
  <c r="F548" i="2"/>
  <c r="E548" i="2"/>
  <c r="Q547" i="2"/>
  <c r="F547" i="2"/>
  <c r="E547" i="2"/>
  <c r="Q546" i="2"/>
  <c r="F546" i="2"/>
  <c r="E546" i="2"/>
  <c r="Q545" i="2"/>
  <c r="F545" i="2"/>
  <c r="E545" i="2"/>
  <c r="Q544" i="2"/>
  <c r="F544" i="2"/>
  <c r="E544" i="2"/>
  <c r="Q543" i="2"/>
  <c r="F543" i="2"/>
  <c r="E543" i="2"/>
  <c r="Q542" i="2"/>
  <c r="F542" i="2"/>
  <c r="E542" i="2"/>
  <c r="Q541" i="2"/>
  <c r="F541" i="2"/>
  <c r="E541" i="2"/>
  <c r="Q540" i="2"/>
  <c r="F540" i="2"/>
  <c r="E540" i="2"/>
  <c r="Q539" i="2"/>
  <c r="F539" i="2"/>
  <c r="E539" i="2"/>
  <c r="Q538" i="2"/>
  <c r="F538" i="2"/>
  <c r="E538" i="2"/>
  <c r="Q537" i="2"/>
  <c r="F537" i="2"/>
  <c r="E537" i="2"/>
  <c r="Q536" i="2"/>
  <c r="F536" i="2"/>
  <c r="E536" i="2"/>
  <c r="Q535" i="2"/>
  <c r="F535" i="2"/>
  <c r="E535" i="2"/>
  <c r="Q534" i="2"/>
  <c r="F534" i="2"/>
  <c r="E534" i="2"/>
  <c r="Q533" i="2"/>
  <c r="F533" i="2"/>
  <c r="E533" i="2"/>
  <c r="Q532" i="2"/>
  <c r="F532" i="2"/>
  <c r="E532" i="2"/>
  <c r="Q531" i="2"/>
  <c r="F531" i="2"/>
  <c r="E531" i="2"/>
  <c r="Q530" i="2"/>
  <c r="F530" i="2"/>
  <c r="E530" i="2"/>
  <c r="Q529" i="2"/>
  <c r="F529" i="2"/>
  <c r="E529" i="2"/>
  <c r="Q528" i="2"/>
  <c r="F528" i="2"/>
  <c r="E528" i="2"/>
  <c r="Q527" i="2"/>
  <c r="F527" i="2"/>
  <c r="E527" i="2"/>
  <c r="Q526" i="2"/>
  <c r="F526" i="2"/>
  <c r="E526" i="2"/>
  <c r="Q525" i="2"/>
  <c r="F525" i="2"/>
  <c r="E525" i="2"/>
  <c r="Q524" i="2"/>
  <c r="F524" i="2"/>
  <c r="E524" i="2"/>
  <c r="Q523" i="2"/>
  <c r="F523" i="2"/>
  <c r="E523" i="2"/>
  <c r="Q522" i="2"/>
  <c r="F522" i="2"/>
  <c r="E522" i="2"/>
  <c r="Q521" i="2"/>
  <c r="F521" i="2"/>
  <c r="E521" i="2"/>
  <c r="Q520" i="2"/>
  <c r="F520" i="2"/>
  <c r="E520" i="2"/>
  <c r="Q519" i="2"/>
  <c r="F519" i="2"/>
  <c r="E519" i="2"/>
  <c r="Q518" i="2"/>
  <c r="F518" i="2"/>
  <c r="E518" i="2"/>
  <c r="Q517" i="2"/>
  <c r="F517" i="2"/>
  <c r="E517" i="2"/>
  <c r="Q516" i="2"/>
  <c r="F516" i="2"/>
  <c r="E516" i="2"/>
  <c r="Q515" i="2"/>
  <c r="F515" i="2"/>
  <c r="E515" i="2"/>
  <c r="Q514" i="2"/>
  <c r="F514" i="2"/>
  <c r="E514" i="2"/>
  <c r="Q513" i="2"/>
  <c r="F513" i="2"/>
  <c r="E513" i="2"/>
  <c r="Q512" i="2"/>
  <c r="F512" i="2"/>
  <c r="E512" i="2"/>
  <c r="Q511" i="2"/>
  <c r="F511" i="2"/>
  <c r="E511" i="2"/>
  <c r="Q510" i="2"/>
  <c r="F510" i="2"/>
  <c r="E510" i="2"/>
  <c r="Q509" i="2"/>
  <c r="F509" i="2"/>
  <c r="E509" i="2"/>
  <c r="Q508" i="2"/>
  <c r="F508" i="2"/>
  <c r="E508" i="2"/>
  <c r="Q507" i="2"/>
  <c r="F507" i="2"/>
  <c r="E507" i="2"/>
  <c r="Q506" i="2"/>
  <c r="F506" i="2"/>
  <c r="E506" i="2"/>
  <c r="Q505" i="2"/>
  <c r="F505" i="2"/>
  <c r="E505" i="2"/>
  <c r="Q504" i="2"/>
  <c r="F504" i="2"/>
  <c r="E504" i="2"/>
  <c r="Q503" i="2"/>
  <c r="F503" i="2"/>
  <c r="E503" i="2"/>
  <c r="Q502" i="2"/>
  <c r="F502" i="2"/>
  <c r="E502" i="2"/>
  <c r="Q501" i="2"/>
  <c r="F501" i="2"/>
  <c r="E501" i="2"/>
  <c r="Q500" i="2"/>
  <c r="F500" i="2"/>
  <c r="E500" i="2"/>
  <c r="Q499" i="2"/>
  <c r="F499" i="2"/>
  <c r="E499" i="2"/>
  <c r="Q498" i="2"/>
  <c r="F498" i="2"/>
  <c r="E498" i="2"/>
  <c r="Q497" i="2"/>
  <c r="F497" i="2"/>
  <c r="E497" i="2"/>
  <c r="Q496" i="2"/>
  <c r="F496" i="2"/>
  <c r="E496" i="2"/>
  <c r="Q495" i="2"/>
  <c r="F495" i="2"/>
  <c r="E495" i="2"/>
  <c r="Q494" i="2"/>
  <c r="F494" i="2"/>
  <c r="E494" i="2"/>
  <c r="Q493" i="2"/>
  <c r="F493" i="2"/>
  <c r="E493" i="2"/>
  <c r="Q492" i="2"/>
  <c r="F492" i="2"/>
  <c r="E492" i="2"/>
  <c r="Q491" i="2"/>
  <c r="F491" i="2"/>
  <c r="E491" i="2"/>
  <c r="Q490" i="2"/>
  <c r="F490" i="2"/>
  <c r="E490" i="2"/>
  <c r="Q489" i="2"/>
  <c r="F489" i="2"/>
  <c r="E489" i="2"/>
  <c r="Q488" i="2"/>
  <c r="F488" i="2"/>
  <c r="E488" i="2"/>
  <c r="Q487" i="2"/>
  <c r="F487" i="2"/>
  <c r="E487" i="2"/>
  <c r="Q486" i="2"/>
  <c r="F486" i="2"/>
  <c r="E486" i="2"/>
  <c r="Q485" i="2"/>
  <c r="F485" i="2"/>
  <c r="E485" i="2"/>
  <c r="Q484" i="2"/>
  <c r="F484" i="2"/>
  <c r="E484" i="2"/>
  <c r="Q483" i="2"/>
  <c r="F483" i="2"/>
  <c r="E483" i="2"/>
  <c r="Q482" i="2"/>
  <c r="F482" i="2"/>
  <c r="E482" i="2"/>
  <c r="Q481" i="2"/>
  <c r="F481" i="2"/>
  <c r="E481" i="2"/>
  <c r="Q480" i="2"/>
  <c r="F480" i="2"/>
  <c r="E480" i="2"/>
  <c r="Q479" i="2"/>
  <c r="F479" i="2"/>
  <c r="E479" i="2"/>
  <c r="Q478" i="2"/>
  <c r="F478" i="2"/>
  <c r="E478" i="2"/>
  <c r="Q477" i="2"/>
  <c r="F477" i="2"/>
  <c r="E477" i="2"/>
  <c r="Q476" i="2"/>
  <c r="F476" i="2"/>
  <c r="E476" i="2"/>
  <c r="Q475" i="2"/>
  <c r="F475" i="2"/>
  <c r="E475" i="2"/>
  <c r="Q474" i="2"/>
  <c r="F474" i="2"/>
  <c r="E474" i="2"/>
  <c r="Q473" i="2"/>
  <c r="F473" i="2"/>
  <c r="E473" i="2"/>
  <c r="Q472" i="2"/>
  <c r="F472" i="2"/>
  <c r="E472" i="2"/>
  <c r="Q471" i="2"/>
  <c r="F471" i="2"/>
  <c r="E471" i="2"/>
  <c r="Q470" i="2"/>
  <c r="F470" i="2"/>
  <c r="E470" i="2"/>
  <c r="Q469" i="2"/>
  <c r="F469" i="2"/>
  <c r="E469" i="2"/>
  <c r="Q468" i="2"/>
  <c r="F468" i="2"/>
  <c r="E468" i="2"/>
  <c r="Q467" i="2"/>
  <c r="F467" i="2"/>
  <c r="E467" i="2"/>
  <c r="Q466" i="2"/>
  <c r="F466" i="2"/>
  <c r="E466" i="2"/>
  <c r="Q465" i="2"/>
  <c r="F465" i="2"/>
  <c r="E465" i="2"/>
  <c r="Q464" i="2"/>
  <c r="F464" i="2"/>
  <c r="E464" i="2"/>
  <c r="Q463" i="2"/>
  <c r="F463" i="2"/>
  <c r="E463" i="2"/>
  <c r="Q462" i="2"/>
  <c r="F462" i="2"/>
  <c r="E462" i="2"/>
  <c r="Q461" i="2"/>
  <c r="F461" i="2"/>
  <c r="E461" i="2"/>
  <c r="Q460" i="2"/>
  <c r="F460" i="2"/>
  <c r="E460" i="2"/>
  <c r="Q459" i="2"/>
  <c r="F459" i="2"/>
  <c r="E459" i="2"/>
  <c r="Q458" i="2"/>
  <c r="F458" i="2"/>
  <c r="E458" i="2"/>
  <c r="Q457" i="2"/>
  <c r="F457" i="2"/>
  <c r="E457" i="2"/>
  <c r="Q456" i="2"/>
  <c r="F456" i="2"/>
  <c r="E456" i="2"/>
  <c r="Q455" i="2"/>
  <c r="F455" i="2"/>
  <c r="E455" i="2"/>
  <c r="Q454" i="2"/>
  <c r="F454" i="2"/>
  <c r="E454" i="2"/>
  <c r="Q453" i="2"/>
  <c r="F453" i="2"/>
  <c r="E453" i="2"/>
  <c r="Q452" i="2"/>
  <c r="F452" i="2"/>
  <c r="E452" i="2"/>
  <c r="Q451" i="2"/>
  <c r="F451" i="2"/>
  <c r="E451" i="2"/>
  <c r="Q450" i="2"/>
  <c r="F450" i="2"/>
  <c r="E450" i="2"/>
  <c r="Q449" i="2"/>
  <c r="F449" i="2"/>
  <c r="E449" i="2"/>
  <c r="Q448" i="2"/>
  <c r="F448" i="2"/>
  <c r="E448" i="2"/>
  <c r="Q447" i="2"/>
  <c r="F447" i="2"/>
  <c r="E447" i="2"/>
  <c r="Q446" i="2"/>
  <c r="F446" i="2"/>
  <c r="E446" i="2"/>
  <c r="Q445" i="2"/>
  <c r="F445" i="2"/>
  <c r="E445" i="2"/>
  <c r="Q444" i="2"/>
  <c r="F444" i="2"/>
  <c r="E444" i="2"/>
  <c r="Q443" i="2"/>
  <c r="F443" i="2"/>
  <c r="E443" i="2"/>
  <c r="Q442" i="2"/>
  <c r="F442" i="2"/>
  <c r="E442" i="2"/>
  <c r="Q441" i="2"/>
  <c r="F441" i="2"/>
  <c r="E441" i="2"/>
  <c r="Q440" i="2"/>
  <c r="F440" i="2"/>
  <c r="E440" i="2"/>
  <c r="Q439" i="2"/>
  <c r="F439" i="2"/>
  <c r="E439" i="2"/>
  <c r="Q438" i="2"/>
  <c r="F438" i="2"/>
  <c r="E438" i="2"/>
  <c r="Q437" i="2"/>
  <c r="F437" i="2"/>
  <c r="E437" i="2"/>
  <c r="Q436" i="2"/>
  <c r="F436" i="2"/>
  <c r="E436" i="2"/>
  <c r="Q435" i="2"/>
  <c r="F435" i="2"/>
  <c r="E435" i="2"/>
  <c r="Q434" i="2"/>
  <c r="F434" i="2"/>
  <c r="E434" i="2"/>
  <c r="Q433" i="2"/>
  <c r="F433" i="2"/>
  <c r="E433" i="2"/>
  <c r="Q432" i="2"/>
  <c r="F432" i="2"/>
  <c r="E432" i="2"/>
  <c r="Q431" i="2"/>
  <c r="F431" i="2"/>
  <c r="E431" i="2"/>
  <c r="Q430" i="2"/>
  <c r="F430" i="2"/>
  <c r="E430" i="2"/>
  <c r="Q429" i="2"/>
  <c r="F429" i="2"/>
  <c r="E429" i="2"/>
  <c r="Q428" i="2"/>
  <c r="F428" i="2"/>
  <c r="E428" i="2"/>
  <c r="Q427" i="2"/>
  <c r="F427" i="2"/>
  <c r="E427" i="2"/>
  <c r="Q426" i="2"/>
  <c r="F426" i="2"/>
  <c r="E426" i="2"/>
  <c r="Q425" i="2"/>
  <c r="F425" i="2"/>
  <c r="E425" i="2"/>
  <c r="Q424" i="2"/>
  <c r="F424" i="2"/>
  <c r="E424" i="2"/>
  <c r="Q423" i="2"/>
  <c r="F423" i="2"/>
  <c r="E423" i="2"/>
  <c r="Q422" i="2"/>
  <c r="F422" i="2"/>
  <c r="E422" i="2"/>
  <c r="Q421" i="2"/>
  <c r="F421" i="2"/>
  <c r="E421" i="2"/>
  <c r="Q420" i="2"/>
  <c r="F420" i="2"/>
  <c r="E420" i="2"/>
  <c r="Q419" i="2"/>
  <c r="F419" i="2"/>
  <c r="E419" i="2"/>
  <c r="Q418" i="2"/>
  <c r="F418" i="2"/>
  <c r="E418" i="2"/>
  <c r="Q417" i="2"/>
  <c r="F417" i="2"/>
  <c r="E417" i="2"/>
  <c r="Q416" i="2"/>
  <c r="F416" i="2"/>
  <c r="E416" i="2"/>
  <c r="Q415" i="2"/>
  <c r="F415" i="2"/>
  <c r="E415" i="2"/>
  <c r="Q414" i="2"/>
  <c r="F414" i="2"/>
  <c r="E414" i="2"/>
  <c r="Q413" i="2"/>
  <c r="F413" i="2"/>
  <c r="E413" i="2"/>
  <c r="Q412" i="2"/>
  <c r="F412" i="2"/>
  <c r="E412" i="2"/>
  <c r="Q411" i="2"/>
  <c r="F411" i="2"/>
  <c r="E411" i="2"/>
  <c r="Q410" i="2"/>
  <c r="F410" i="2"/>
  <c r="E410" i="2"/>
  <c r="Q409" i="2"/>
  <c r="F409" i="2"/>
  <c r="E409" i="2"/>
  <c r="Q408" i="2"/>
  <c r="F408" i="2"/>
  <c r="E408" i="2"/>
  <c r="Q407" i="2"/>
  <c r="F407" i="2"/>
  <c r="E407" i="2"/>
  <c r="Q406" i="2"/>
  <c r="F406" i="2"/>
  <c r="E406" i="2"/>
  <c r="Q405" i="2"/>
  <c r="F405" i="2"/>
  <c r="E405" i="2"/>
  <c r="Q404" i="2"/>
  <c r="F404" i="2"/>
  <c r="E404" i="2"/>
  <c r="Q403" i="2"/>
  <c r="F403" i="2"/>
  <c r="E403" i="2"/>
  <c r="Q402" i="2"/>
  <c r="F402" i="2"/>
  <c r="E402" i="2"/>
  <c r="Q401" i="2"/>
  <c r="F401" i="2"/>
  <c r="E401" i="2"/>
  <c r="Q400" i="2"/>
  <c r="F400" i="2"/>
  <c r="E400" i="2"/>
  <c r="Q399" i="2"/>
  <c r="F399" i="2"/>
  <c r="E399" i="2"/>
  <c r="Q398" i="2"/>
  <c r="F398" i="2"/>
  <c r="E398" i="2"/>
  <c r="Q397" i="2"/>
  <c r="F397" i="2"/>
  <c r="E397" i="2"/>
  <c r="Q396" i="2"/>
  <c r="F396" i="2"/>
  <c r="E396" i="2"/>
  <c r="Q395" i="2"/>
  <c r="F395" i="2"/>
  <c r="E395" i="2"/>
  <c r="Q394" i="2"/>
  <c r="F394" i="2"/>
  <c r="E394" i="2"/>
  <c r="Q393" i="2"/>
  <c r="F393" i="2"/>
  <c r="E393" i="2"/>
  <c r="Q392" i="2"/>
  <c r="F392" i="2"/>
  <c r="E392" i="2"/>
  <c r="Q391" i="2"/>
  <c r="F391" i="2"/>
  <c r="E391" i="2"/>
  <c r="Q390" i="2"/>
  <c r="F390" i="2"/>
  <c r="E390" i="2"/>
  <c r="Q389" i="2"/>
  <c r="F389" i="2"/>
  <c r="E389" i="2"/>
  <c r="Q388" i="2"/>
  <c r="F388" i="2"/>
  <c r="E388" i="2"/>
  <c r="Q387" i="2"/>
  <c r="F387" i="2"/>
  <c r="E387" i="2"/>
  <c r="Q386" i="2"/>
  <c r="F386" i="2"/>
  <c r="E386" i="2"/>
  <c r="Q385" i="2"/>
  <c r="F385" i="2"/>
  <c r="E385" i="2"/>
  <c r="Q384" i="2"/>
  <c r="F384" i="2"/>
  <c r="E384" i="2"/>
  <c r="Q383" i="2"/>
  <c r="F383" i="2"/>
  <c r="E383" i="2"/>
  <c r="Q382" i="2"/>
  <c r="F382" i="2"/>
  <c r="E382" i="2"/>
  <c r="Q381" i="2"/>
  <c r="F381" i="2"/>
  <c r="E381" i="2"/>
  <c r="Q380" i="2"/>
  <c r="F380" i="2"/>
  <c r="E380" i="2"/>
  <c r="Q379" i="2"/>
  <c r="F379" i="2"/>
  <c r="E379" i="2"/>
  <c r="Q378" i="2"/>
  <c r="F378" i="2"/>
  <c r="E378" i="2"/>
  <c r="Q377" i="2"/>
  <c r="F377" i="2"/>
  <c r="E377" i="2"/>
  <c r="Q376" i="2"/>
  <c r="F376" i="2"/>
  <c r="E376" i="2"/>
  <c r="Q375" i="2"/>
  <c r="F375" i="2"/>
  <c r="E375" i="2"/>
  <c r="Q374" i="2"/>
  <c r="F374" i="2"/>
  <c r="E374" i="2"/>
  <c r="Q373" i="2"/>
  <c r="F373" i="2"/>
  <c r="E373" i="2"/>
  <c r="Q372" i="2"/>
  <c r="F372" i="2"/>
  <c r="E372" i="2"/>
  <c r="Q371" i="2"/>
  <c r="F371" i="2"/>
  <c r="E371" i="2"/>
  <c r="Q370" i="2"/>
  <c r="F370" i="2"/>
  <c r="E370" i="2"/>
  <c r="Q369" i="2"/>
  <c r="F369" i="2"/>
  <c r="E369" i="2"/>
  <c r="Q368" i="2"/>
  <c r="F368" i="2"/>
  <c r="E368" i="2"/>
  <c r="Q367" i="2"/>
  <c r="F367" i="2"/>
  <c r="E367" i="2"/>
  <c r="Q366" i="2"/>
  <c r="F366" i="2"/>
  <c r="E366" i="2"/>
  <c r="Q365" i="2"/>
  <c r="F365" i="2"/>
  <c r="E365" i="2"/>
  <c r="Q364" i="2"/>
  <c r="F364" i="2"/>
  <c r="E364" i="2"/>
  <c r="Q363" i="2"/>
  <c r="F363" i="2"/>
  <c r="E363" i="2"/>
  <c r="Q362" i="2"/>
  <c r="F362" i="2"/>
  <c r="E362" i="2"/>
  <c r="Q361" i="2"/>
  <c r="F361" i="2"/>
  <c r="E361" i="2"/>
  <c r="Q360" i="2"/>
  <c r="F360" i="2"/>
  <c r="E360" i="2"/>
  <c r="Q359" i="2"/>
  <c r="F359" i="2"/>
  <c r="E359" i="2"/>
  <c r="Q358" i="2"/>
  <c r="F358" i="2"/>
  <c r="E358" i="2"/>
  <c r="Q357" i="2"/>
  <c r="F357" i="2"/>
  <c r="E357" i="2"/>
  <c r="Q356" i="2"/>
  <c r="F356" i="2"/>
  <c r="E356" i="2"/>
  <c r="Q355" i="2"/>
  <c r="F355" i="2"/>
  <c r="E355" i="2"/>
  <c r="Q354" i="2"/>
  <c r="F354" i="2"/>
  <c r="E354" i="2"/>
  <c r="Q353" i="2"/>
  <c r="F353" i="2"/>
  <c r="E353" i="2"/>
  <c r="Q352" i="2"/>
  <c r="F352" i="2"/>
  <c r="E352" i="2"/>
  <c r="Q351" i="2"/>
  <c r="F351" i="2"/>
  <c r="E351" i="2"/>
  <c r="Q350" i="2"/>
  <c r="F350" i="2"/>
  <c r="E350" i="2"/>
  <c r="Q349" i="2"/>
  <c r="F349" i="2"/>
  <c r="E349" i="2"/>
  <c r="Q348" i="2"/>
  <c r="F348" i="2"/>
  <c r="E348" i="2"/>
  <c r="Q347" i="2"/>
  <c r="F347" i="2"/>
  <c r="E347" i="2"/>
  <c r="Q346" i="2"/>
  <c r="F346" i="2"/>
  <c r="E346" i="2"/>
  <c r="Q345" i="2"/>
  <c r="F345" i="2"/>
  <c r="E345" i="2"/>
  <c r="Q344" i="2"/>
  <c r="F344" i="2"/>
  <c r="E344" i="2"/>
  <c r="Q343" i="2"/>
  <c r="F343" i="2"/>
  <c r="E343" i="2"/>
  <c r="Q342" i="2"/>
  <c r="F342" i="2"/>
  <c r="E342" i="2"/>
  <c r="Q341" i="2"/>
  <c r="F341" i="2"/>
  <c r="E341" i="2"/>
  <c r="Q340" i="2"/>
  <c r="F340" i="2"/>
  <c r="E340" i="2"/>
  <c r="Q339" i="2"/>
  <c r="F339" i="2"/>
  <c r="E339" i="2"/>
  <c r="Q338" i="2"/>
  <c r="F338" i="2"/>
  <c r="E338" i="2"/>
  <c r="Q337" i="2"/>
  <c r="F337" i="2"/>
  <c r="E337" i="2"/>
  <c r="Q336" i="2"/>
  <c r="F336" i="2"/>
  <c r="E336" i="2"/>
  <c r="Q335" i="2"/>
  <c r="F335" i="2"/>
  <c r="E335" i="2"/>
  <c r="Q334" i="2"/>
  <c r="F334" i="2"/>
  <c r="E334" i="2"/>
  <c r="Q333" i="2"/>
  <c r="F333" i="2"/>
  <c r="E333" i="2"/>
  <c r="Q332" i="2"/>
  <c r="F332" i="2"/>
  <c r="E332" i="2"/>
  <c r="Q331" i="2"/>
  <c r="F331" i="2"/>
  <c r="E331" i="2"/>
  <c r="Q330" i="2"/>
  <c r="F330" i="2"/>
  <c r="E330" i="2"/>
  <c r="Q329" i="2"/>
  <c r="F329" i="2"/>
  <c r="E329" i="2"/>
  <c r="Q328" i="2"/>
  <c r="F328" i="2"/>
  <c r="E328" i="2"/>
  <c r="Q327" i="2"/>
  <c r="F327" i="2"/>
  <c r="E327" i="2"/>
  <c r="Q326" i="2"/>
  <c r="F326" i="2"/>
  <c r="E326" i="2"/>
  <c r="Q325" i="2"/>
  <c r="F325" i="2"/>
  <c r="E325" i="2"/>
  <c r="Q324" i="2"/>
  <c r="F324" i="2"/>
  <c r="E324" i="2"/>
  <c r="Q323" i="2"/>
  <c r="F323" i="2"/>
  <c r="E323" i="2"/>
  <c r="Q322" i="2"/>
  <c r="F322" i="2"/>
  <c r="E322" i="2"/>
  <c r="Q321" i="2"/>
  <c r="F321" i="2"/>
  <c r="E321" i="2"/>
  <c r="Q320" i="2"/>
  <c r="F320" i="2"/>
  <c r="E320" i="2"/>
  <c r="Q319" i="2"/>
  <c r="F319" i="2"/>
  <c r="E319" i="2"/>
  <c r="Q318" i="2"/>
  <c r="F318" i="2"/>
  <c r="E318" i="2"/>
  <c r="Q317" i="2"/>
  <c r="F317" i="2"/>
  <c r="E317" i="2"/>
  <c r="Q316" i="2"/>
  <c r="F316" i="2"/>
  <c r="E316" i="2"/>
  <c r="Q315" i="2"/>
  <c r="F315" i="2"/>
  <c r="E315" i="2"/>
  <c r="Q314" i="2"/>
  <c r="F314" i="2"/>
  <c r="E314" i="2"/>
  <c r="Q313" i="2"/>
  <c r="F313" i="2"/>
  <c r="E313" i="2"/>
  <c r="Q312" i="2"/>
  <c r="F312" i="2"/>
  <c r="E312" i="2"/>
  <c r="Q311" i="2"/>
  <c r="F311" i="2"/>
  <c r="E311" i="2"/>
  <c r="Q310" i="2"/>
  <c r="F310" i="2"/>
  <c r="E310" i="2"/>
  <c r="Q309" i="2"/>
  <c r="F309" i="2"/>
  <c r="E309" i="2"/>
  <c r="Q308" i="2"/>
  <c r="F308" i="2"/>
  <c r="E308" i="2"/>
  <c r="Q307" i="2"/>
  <c r="F307" i="2"/>
  <c r="E307" i="2"/>
  <c r="Q306" i="2"/>
  <c r="F306" i="2"/>
  <c r="E306" i="2"/>
  <c r="Q305" i="2"/>
  <c r="F305" i="2"/>
  <c r="E305" i="2"/>
  <c r="Q304" i="2"/>
  <c r="F304" i="2"/>
  <c r="E304" i="2"/>
  <c r="Q303" i="2"/>
  <c r="F303" i="2"/>
  <c r="E303" i="2"/>
  <c r="Q302" i="2"/>
  <c r="F302" i="2"/>
  <c r="E302" i="2"/>
  <c r="Q301" i="2"/>
  <c r="F301" i="2"/>
  <c r="E301" i="2"/>
  <c r="Q300" i="2"/>
  <c r="F300" i="2"/>
  <c r="E300" i="2"/>
  <c r="Q299" i="2"/>
  <c r="F299" i="2"/>
  <c r="E299" i="2"/>
  <c r="Q298" i="2"/>
  <c r="F298" i="2"/>
  <c r="E298" i="2"/>
  <c r="Q297" i="2"/>
  <c r="F297" i="2"/>
  <c r="E297" i="2"/>
  <c r="Q296" i="2"/>
  <c r="F296" i="2"/>
  <c r="E296" i="2"/>
  <c r="Q295" i="2"/>
  <c r="F295" i="2"/>
  <c r="E295" i="2"/>
  <c r="Q294" i="2"/>
  <c r="F294" i="2"/>
  <c r="E294" i="2"/>
  <c r="Q293" i="2"/>
  <c r="F293" i="2"/>
  <c r="E293" i="2"/>
  <c r="Q292" i="2"/>
  <c r="F292" i="2"/>
  <c r="E292" i="2"/>
  <c r="Q291" i="2"/>
  <c r="F291" i="2"/>
  <c r="E291" i="2"/>
  <c r="Q290" i="2"/>
  <c r="F290" i="2"/>
  <c r="E290" i="2"/>
  <c r="Q289" i="2"/>
  <c r="F289" i="2"/>
  <c r="E289" i="2"/>
  <c r="Q288" i="2"/>
  <c r="F288" i="2"/>
  <c r="E288" i="2"/>
  <c r="Q287" i="2"/>
  <c r="F287" i="2"/>
  <c r="E287" i="2"/>
  <c r="Q286" i="2"/>
  <c r="F286" i="2"/>
  <c r="E286" i="2"/>
  <c r="Q285" i="2"/>
  <c r="F285" i="2"/>
  <c r="E285" i="2"/>
  <c r="Q284" i="2"/>
  <c r="F284" i="2"/>
  <c r="E284" i="2"/>
  <c r="Q283" i="2"/>
  <c r="F283" i="2"/>
  <c r="E283" i="2"/>
  <c r="Q282" i="2"/>
  <c r="F282" i="2"/>
  <c r="E282" i="2"/>
  <c r="Q281" i="2"/>
  <c r="F281" i="2"/>
  <c r="E281" i="2"/>
  <c r="Q280" i="2"/>
  <c r="F280" i="2"/>
  <c r="E280" i="2"/>
  <c r="Q279" i="2"/>
  <c r="F279" i="2"/>
  <c r="E279" i="2"/>
  <c r="Q278" i="2"/>
  <c r="F278" i="2"/>
  <c r="E278" i="2"/>
  <c r="Q277" i="2"/>
  <c r="F277" i="2"/>
  <c r="E277" i="2"/>
  <c r="Q276" i="2"/>
  <c r="F276" i="2"/>
  <c r="E276" i="2"/>
  <c r="Q275" i="2"/>
  <c r="F275" i="2"/>
  <c r="E275" i="2"/>
  <c r="Q274" i="2"/>
  <c r="F274" i="2"/>
  <c r="E274" i="2"/>
  <c r="Q273" i="2"/>
  <c r="F273" i="2"/>
  <c r="E273" i="2"/>
  <c r="Q272" i="2"/>
  <c r="F272" i="2"/>
  <c r="E272" i="2"/>
  <c r="Q271" i="2"/>
  <c r="F271" i="2"/>
  <c r="E271" i="2"/>
  <c r="Q270" i="2"/>
  <c r="F270" i="2"/>
  <c r="E270" i="2"/>
  <c r="Q269" i="2"/>
  <c r="F269" i="2"/>
  <c r="E269" i="2"/>
  <c r="Q268" i="2"/>
  <c r="F268" i="2"/>
  <c r="E268" i="2"/>
  <c r="Q267" i="2"/>
  <c r="F267" i="2"/>
  <c r="E267" i="2"/>
  <c r="Q266" i="2"/>
  <c r="F266" i="2"/>
  <c r="E266" i="2"/>
  <c r="Q265" i="2"/>
  <c r="F265" i="2"/>
  <c r="E265" i="2"/>
  <c r="Q264" i="2"/>
  <c r="F264" i="2"/>
  <c r="E264" i="2"/>
  <c r="Q263" i="2"/>
  <c r="F263" i="2"/>
  <c r="E263" i="2"/>
  <c r="Q262" i="2"/>
  <c r="F262" i="2"/>
  <c r="E262" i="2"/>
  <c r="Q261" i="2"/>
  <c r="F261" i="2"/>
  <c r="E261" i="2"/>
  <c r="Q260" i="2"/>
  <c r="F260" i="2"/>
  <c r="E260" i="2"/>
  <c r="Q259" i="2"/>
  <c r="F259" i="2"/>
  <c r="E259" i="2"/>
  <c r="Q258" i="2"/>
  <c r="F258" i="2"/>
  <c r="E258" i="2"/>
  <c r="Q257" i="2"/>
  <c r="F257" i="2"/>
  <c r="E257" i="2"/>
  <c r="Q256" i="2"/>
  <c r="F256" i="2"/>
  <c r="E256" i="2"/>
  <c r="Q255" i="2"/>
  <c r="F255" i="2"/>
  <c r="E255" i="2"/>
  <c r="Q254" i="2"/>
  <c r="F254" i="2"/>
  <c r="E254" i="2"/>
  <c r="Q253" i="2"/>
  <c r="F253" i="2"/>
  <c r="E253" i="2"/>
  <c r="Q252" i="2"/>
  <c r="F252" i="2"/>
  <c r="E252" i="2"/>
  <c r="Q251" i="2"/>
  <c r="F251" i="2"/>
  <c r="E251" i="2"/>
  <c r="Q250" i="2"/>
  <c r="F250" i="2"/>
  <c r="E250" i="2"/>
  <c r="Q249" i="2"/>
  <c r="F249" i="2"/>
  <c r="E249" i="2"/>
  <c r="Q248" i="2"/>
  <c r="F248" i="2"/>
  <c r="E248" i="2"/>
  <c r="Q247" i="2"/>
  <c r="F247" i="2"/>
  <c r="E247" i="2"/>
  <c r="Q246" i="2"/>
  <c r="F246" i="2"/>
  <c r="E246" i="2"/>
  <c r="Q245" i="2"/>
  <c r="F245" i="2"/>
  <c r="E245" i="2"/>
  <c r="Q244" i="2"/>
  <c r="F244" i="2"/>
  <c r="E244" i="2"/>
  <c r="Q243" i="2"/>
  <c r="F243" i="2"/>
  <c r="E243" i="2"/>
  <c r="Q242" i="2"/>
  <c r="F242" i="2"/>
  <c r="E242" i="2"/>
  <c r="Q241" i="2"/>
  <c r="F241" i="2"/>
  <c r="E241" i="2"/>
  <c r="Q240" i="2"/>
  <c r="F240" i="2"/>
  <c r="E240" i="2"/>
  <c r="Q239" i="2"/>
  <c r="F239" i="2"/>
  <c r="E239" i="2"/>
  <c r="Q238" i="2"/>
  <c r="F238" i="2"/>
  <c r="E238" i="2"/>
  <c r="Q237" i="2"/>
  <c r="F237" i="2"/>
  <c r="E237" i="2"/>
  <c r="Q236" i="2"/>
  <c r="F236" i="2"/>
  <c r="E236" i="2"/>
  <c r="Q235" i="2"/>
  <c r="F235" i="2"/>
  <c r="E235" i="2"/>
  <c r="Q234" i="2"/>
  <c r="F234" i="2"/>
  <c r="E234" i="2"/>
  <c r="Q233" i="2"/>
  <c r="F233" i="2"/>
  <c r="E233" i="2"/>
  <c r="Q232" i="2"/>
  <c r="F232" i="2"/>
  <c r="E232" i="2"/>
  <c r="Q231" i="2"/>
  <c r="F231" i="2"/>
  <c r="E231" i="2"/>
  <c r="Q230" i="2"/>
  <c r="F230" i="2"/>
  <c r="E230" i="2"/>
  <c r="Q229" i="2"/>
  <c r="F229" i="2"/>
  <c r="E229" i="2"/>
  <c r="Q228" i="2"/>
  <c r="F228" i="2"/>
  <c r="E228" i="2"/>
  <c r="Q227" i="2"/>
  <c r="F227" i="2"/>
  <c r="E227" i="2"/>
  <c r="Q226" i="2"/>
  <c r="F226" i="2"/>
  <c r="E226" i="2"/>
  <c r="Q225" i="2"/>
  <c r="F225" i="2"/>
  <c r="E225" i="2"/>
  <c r="Q224" i="2"/>
  <c r="F224" i="2"/>
  <c r="E224" i="2"/>
  <c r="Q223" i="2"/>
  <c r="F223" i="2"/>
  <c r="E223" i="2"/>
  <c r="Q222" i="2"/>
  <c r="F222" i="2"/>
  <c r="E222" i="2"/>
  <c r="Q221" i="2"/>
  <c r="F221" i="2"/>
  <c r="E221" i="2"/>
  <c r="Q220" i="2"/>
  <c r="F220" i="2"/>
  <c r="E220" i="2"/>
  <c r="Q219" i="2"/>
  <c r="F219" i="2"/>
  <c r="E219" i="2"/>
  <c r="Q218" i="2"/>
  <c r="F218" i="2"/>
  <c r="E218" i="2"/>
  <c r="Q217" i="2"/>
  <c r="F217" i="2"/>
  <c r="E217" i="2"/>
  <c r="Q216" i="2"/>
  <c r="F216" i="2"/>
  <c r="E216" i="2"/>
  <c r="Q215" i="2"/>
  <c r="F215" i="2"/>
  <c r="E215" i="2"/>
  <c r="Q214" i="2"/>
  <c r="F214" i="2"/>
  <c r="E214" i="2"/>
  <c r="Q213" i="2"/>
  <c r="F213" i="2"/>
  <c r="E213" i="2"/>
  <c r="Q212" i="2"/>
  <c r="F212" i="2"/>
  <c r="E212" i="2"/>
  <c r="Q211" i="2"/>
  <c r="F211" i="2"/>
  <c r="E211" i="2"/>
  <c r="Q210" i="2"/>
  <c r="F210" i="2"/>
  <c r="E210" i="2"/>
  <c r="Q209" i="2"/>
  <c r="F209" i="2"/>
  <c r="E209" i="2"/>
  <c r="Q208" i="2"/>
  <c r="F208" i="2"/>
  <c r="E208" i="2"/>
  <c r="Q207" i="2"/>
  <c r="F207" i="2"/>
  <c r="E207" i="2"/>
  <c r="Q206" i="2"/>
  <c r="F206" i="2"/>
  <c r="E206" i="2"/>
  <c r="Q205" i="2"/>
  <c r="F205" i="2"/>
  <c r="E205" i="2"/>
  <c r="Q204" i="2"/>
  <c r="F204" i="2"/>
  <c r="E204" i="2"/>
  <c r="Q203" i="2"/>
  <c r="F203" i="2"/>
  <c r="E203" i="2"/>
  <c r="Q202" i="2"/>
  <c r="F202" i="2"/>
  <c r="E202" i="2"/>
  <c r="Q201" i="2"/>
  <c r="F201" i="2"/>
  <c r="E201" i="2"/>
  <c r="Q200" i="2"/>
  <c r="F200" i="2"/>
  <c r="E200" i="2"/>
  <c r="Q199" i="2"/>
  <c r="F199" i="2"/>
  <c r="E199" i="2"/>
  <c r="Q198" i="2"/>
  <c r="F198" i="2"/>
  <c r="E198" i="2"/>
  <c r="Q197" i="2"/>
  <c r="F197" i="2"/>
  <c r="E197" i="2"/>
  <c r="Q196" i="2"/>
  <c r="F196" i="2"/>
  <c r="E196" i="2"/>
  <c r="Q195" i="2"/>
  <c r="F195" i="2"/>
  <c r="E195" i="2"/>
  <c r="Q194" i="2"/>
  <c r="F194" i="2"/>
  <c r="E194" i="2"/>
  <c r="Q193" i="2"/>
  <c r="F193" i="2"/>
  <c r="E193" i="2"/>
  <c r="Q192" i="2"/>
  <c r="F192" i="2"/>
  <c r="E192" i="2"/>
  <c r="Q191" i="2"/>
  <c r="F191" i="2"/>
  <c r="E191" i="2"/>
  <c r="Q190" i="2"/>
  <c r="F190" i="2"/>
  <c r="E190" i="2"/>
  <c r="Q189" i="2"/>
  <c r="F189" i="2"/>
  <c r="E189" i="2"/>
  <c r="Q188" i="2"/>
  <c r="F188" i="2"/>
  <c r="E188" i="2"/>
  <c r="Q187" i="2"/>
  <c r="F187" i="2"/>
  <c r="E187" i="2"/>
  <c r="Q186" i="2"/>
  <c r="F186" i="2"/>
  <c r="E186" i="2"/>
  <c r="Q185" i="2"/>
  <c r="F185" i="2"/>
  <c r="E185" i="2"/>
  <c r="Q184" i="2"/>
  <c r="F184" i="2"/>
  <c r="E184" i="2"/>
  <c r="Q183" i="2"/>
  <c r="F183" i="2"/>
  <c r="E183" i="2"/>
  <c r="Q182" i="2"/>
  <c r="F182" i="2"/>
  <c r="E182" i="2"/>
  <c r="Q181" i="2"/>
  <c r="F181" i="2"/>
  <c r="E181" i="2"/>
  <c r="Q180" i="2"/>
  <c r="F180" i="2"/>
  <c r="E180" i="2"/>
  <c r="Q179" i="2"/>
  <c r="F179" i="2"/>
  <c r="E179" i="2"/>
  <c r="Q178" i="2"/>
  <c r="F178" i="2"/>
  <c r="E178" i="2"/>
  <c r="Q177" i="2"/>
  <c r="F177" i="2"/>
  <c r="E177" i="2"/>
  <c r="Q176" i="2"/>
  <c r="F176" i="2"/>
  <c r="E176" i="2"/>
  <c r="Q175" i="2"/>
  <c r="F175" i="2"/>
  <c r="E175" i="2"/>
  <c r="Q174" i="2"/>
  <c r="F174" i="2"/>
  <c r="E174" i="2"/>
  <c r="Q173" i="2"/>
  <c r="F173" i="2"/>
  <c r="E173" i="2"/>
  <c r="Q172" i="2"/>
  <c r="F172" i="2"/>
  <c r="E172" i="2"/>
  <c r="Q171" i="2"/>
  <c r="F171" i="2"/>
  <c r="E171" i="2"/>
  <c r="Q170" i="2"/>
  <c r="F170" i="2"/>
  <c r="E170" i="2"/>
  <c r="Q169" i="2"/>
  <c r="F169" i="2"/>
  <c r="E169" i="2"/>
  <c r="Q168" i="2"/>
  <c r="F168" i="2"/>
  <c r="E168" i="2"/>
  <c r="Q167" i="2"/>
  <c r="F167" i="2"/>
  <c r="E167" i="2"/>
  <c r="Q166" i="2"/>
  <c r="F166" i="2"/>
  <c r="E166" i="2"/>
  <c r="Q165" i="2"/>
  <c r="F165" i="2"/>
  <c r="E165" i="2"/>
  <c r="Q164" i="2"/>
  <c r="F164" i="2"/>
  <c r="E164" i="2"/>
  <c r="Q163" i="2"/>
  <c r="F163" i="2"/>
  <c r="E163" i="2"/>
  <c r="Q162" i="2"/>
  <c r="F162" i="2"/>
  <c r="E162" i="2"/>
  <c r="Q161" i="2"/>
  <c r="F161" i="2"/>
  <c r="E161" i="2"/>
  <c r="Q160" i="2"/>
  <c r="F160" i="2"/>
  <c r="E160" i="2"/>
  <c r="Q159" i="2"/>
  <c r="F159" i="2"/>
  <c r="E159" i="2"/>
  <c r="Q158" i="2"/>
  <c r="F158" i="2"/>
  <c r="E158" i="2"/>
  <c r="Q157" i="2"/>
  <c r="F157" i="2"/>
  <c r="E157" i="2"/>
  <c r="Q156" i="2"/>
  <c r="F156" i="2"/>
  <c r="E156" i="2"/>
  <c r="Q155" i="2"/>
  <c r="F155" i="2"/>
  <c r="E155" i="2"/>
  <c r="Q154" i="2"/>
  <c r="F154" i="2"/>
  <c r="E154" i="2"/>
  <c r="Q153" i="2"/>
  <c r="F153" i="2"/>
  <c r="E153" i="2"/>
  <c r="Q152" i="2"/>
  <c r="F152" i="2"/>
  <c r="E152" i="2"/>
  <c r="Q151" i="2"/>
  <c r="F151" i="2"/>
  <c r="E151" i="2"/>
  <c r="Q150" i="2"/>
  <c r="F150" i="2"/>
  <c r="E150" i="2"/>
  <c r="Q149" i="2"/>
  <c r="F149" i="2"/>
  <c r="E149" i="2"/>
  <c r="Q148" i="2"/>
  <c r="F148" i="2"/>
  <c r="E148" i="2"/>
  <c r="Q147" i="2"/>
  <c r="F147" i="2"/>
  <c r="E147" i="2"/>
  <c r="Q146" i="2"/>
  <c r="F146" i="2"/>
  <c r="E146" i="2"/>
  <c r="Q145" i="2"/>
  <c r="F145" i="2"/>
  <c r="E145" i="2"/>
  <c r="Q144" i="2"/>
  <c r="F144" i="2"/>
  <c r="E144" i="2"/>
  <c r="Q143" i="2"/>
  <c r="F143" i="2"/>
  <c r="E143" i="2"/>
  <c r="Q142" i="2"/>
  <c r="F142" i="2"/>
  <c r="E142" i="2"/>
  <c r="Q141" i="2"/>
  <c r="F141" i="2"/>
  <c r="E141" i="2"/>
  <c r="Q140" i="2"/>
  <c r="F140" i="2"/>
  <c r="E140" i="2"/>
  <c r="Q139" i="2"/>
  <c r="F139" i="2"/>
  <c r="E139" i="2"/>
  <c r="Q138" i="2"/>
  <c r="F138" i="2"/>
  <c r="E138" i="2"/>
  <c r="Q137" i="2"/>
  <c r="F137" i="2"/>
  <c r="E137" i="2"/>
  <c r="Q136" i="2"/>
  <c r="F136" i="2"/>
  <c r="E136" i="2"/>
  <c r="Q135" i="2"/>
  <c r="F135" i="2"/>
  <c r="E135" i="2"/>
  <c r="Q134" i="2"/>
  <c r="F134" i="2"/>
  <c r="E134" i="2"/>
  <c r="Q133" i="2"/>
  <c r="F133" i="2"/>
  <c r="E133" i="2"/>
  <c r="Q132" i="2"/>
  <c r="F132" i="2"/>
  <c r="E132" i="2"/>
  <c r="Q131" i="2"/>
  <c r="F131" i="2"/>
  <c r="E131" i="2"/>
  <c r="Q130" i="2"/>
  <c r="F130" i="2"/>
  <c r="E130" i="2"/>
  <c r="Q129" i="2"/>
  <c r="F129" i="2"/>
  <c r="E129" i="2"/>
  <c r="Q128" i="2"/>
  <c r="F128" i="2"/>
  <c r="E128" i="2"/>
  <c r="Q127" i="2"/>
  <c r="F127" i="2"/>
  <c r="E127" i="2"/>
  <c r="Q126" i="2"/>
  <c r="F126" i="2"/>
  <c r="E126" i="2"/>
  <c r="Q125" i="2"/>
  <c r="F125" i="2"/>
  <c r="E125" i="2"/>
  <c r="Q124" i="2"/>
  <c r="F124" i="2"/>
  <c r="E124" i="2"/>
  <c r="Q123" i="2"/>
  <c r="F123" i="2"/>
  <c r="E123" i="2"/>
  <c r="Q122" i="2"/>
  <c r="F122" i="2"/>
  <c r="E122" i="2"/>
  <c r="Q121" i="2"/>
  <c r="F121" i="2"/>
  <c r="E121" i="2"/>
  <c r="Q120" i="2"/>
  <c r="F120" i="2"/>
  <c r="E120" i="2"/>
  <c r="Q119" i="2"/>
  <c r="F119" i="2"/>
  <c r="E119" i="2"/>
  <c r="Q118" i="2"/>
  <c r="F118" i="2"/>
  <c r="E118" i="2"/>
  <c r="Q117" i="2"/>
  <c r="F117" i="2"/>
  <c r="E117" i="2"/>
  <c r="Q116" i="2"/>
  <c r="F116" i="2"/>
  <c r="E116" i="2"/>
  <c r="Q115" i="2"/>
  <c r="F115" i="2"/>
  <c r="E115" i="2"/>
  <c r="Q114" i="2"/>
  <c r="F114" i="2"/>
  <c r="E114" i="2"/>
  <c r="Q113" i="2"/>
  <c r="F113" i="2"/>
  <c r="E113" i="2"/>
  <c r="Q112" i="2"/>
  <c r="F112" i="2"/>
  <c r="E112" i="2"/>
  <c r="Q111" i="2"/>
  <c r="F111" i="2"/>
  <c r="E111" i="2"/>
  <c r="Q110" i="2"/>
  <c r="F110" i="2"/>
  <c r="E110" i="2"/>
  <c r="Q109" i="2"/>
  <c r="F109" i="2"/>
  <c r="E109" i="2"/>
  <c r="Q108" i="2"/>
  <c r="F108" i="2"/>
  <c r="E108" i="2"/>
  <c r="Q107" i="2"/>
  <c r="F107" i="2"/>
  <c r="E107" i="2"/>
  <c r="Q106" i="2"/>
  <c r="F106" i="2"/>
  <c r="E106" i="2"/>
  <c r="Q105" i="2"/>
  <c r="F105" i="2"/>
  <c r="E105" i="2"/>
  <c r="Q104" i="2"/>
  <c r="F104" i="2"/>
  <c r="E104" i="2"/>
  <c r="Q103" i="2"/>
  <c r="F103" i="2"/>
  <c r="E103" i="2"/>
  <c r="Q102" i="2"/>
  <c r="F102" i="2"/>
  <c r="E102" i="2"/>
  <c r="Q101" i="2"/>
  <c r="F101" i="2"/>
  <c r="E101" i="2"/>
  <c r="Q100" i="2"/>
  <c r="F100" i="2"/>
  <c r="E100" i="2"/>
  <c r="Q99" i="2"/>
  <c r="F99" i="2"/>
  <c r="E99" i="2"/>
  <c r="Q98" i="2"/>
  <c r="F98" i="2"/>
  <c r="E98" i="2"/>
  <c r="Q97" i="2"/>
  <c r="F97" i="2"/>
  <c r="E97" i="2"/>
  <c r="Q96" i="2"/>
  <c r="F96" i="2"/>
  <c r="E96" i="2"/>
  <c r="Q95" i="2"/>
  <c r="F95" i="2"/>
  <c r="E95" i="2"/>
  <c r="Q94" i="2"/>
  <c r="F94" i="2"/>
  <c r="E94" i="2"/>
  <c r="Q93" i="2"/>
  <c r="F93" i="2"/>
  <c r="E93" i="2"/>
  <c r="Q92" i="2"/>
  <c r="F92" i="2"/>
  <c r="E92" i="2"/>
  <c r="Q91" i="2"/>
  <c r="F91" i="2"/>
  <c r="E91" i="2"/>
  <c r="Q90" i="2"/>
  <c r="F90" i="2"/>
  <c r="E90" i="2"/>
  <c r="Q89" i="2"/>
  <c r="F89" i="2"/>
  <c r="E89" i="2"/>
  <c r="Q88" i="2"/>
  <c r="F88" i="2"/>
  <c r="E88" i="2"/>
  <c r="Q87" i="2"/>
  <c r="F87" i="2"/>
  <c r="E87" i="2"/>
  <c r="Q86" i="2"/>
  <c r="F86" i="2"/>
  <c r="E86" i="2"/>
  <c r="Q85" i="2"/>
  <c r="F85" i="2"/>
  <c r="E85" i="2"/>
  <c r="Q84" i="2"/>
  <c r="F84" i="2"/>
  <c r="E84" i="2"/>
  <c r="Q83" i="2"/>
  <c r="F83" i="2"/>
  <c r="E83" i="2"/>
  <c r="Q82" i="2"/>
  <c r="F82" i="2"/>
  <c r="E82" i="2"/>
  <c r="Q81" i="2"/>
  <c r="F81" i="2"/>
  <c r="E81" i="2"/>
  <c r="Q80" i="2"/>
  <c r="F80" i="2"/>
  <c r="E80" i="2"/>
  <c r="Q79" i="2"/>
  <c r="F79" i="2"/>
  <c r="E79" i="2"/>
  <c r="Q78" i="2"/>
  <c r="F78" i="2"/>
  <c r="E78" i="2"/>
  <c r="Q77" i="2"/>
  <c r="F77" i="2"/>
  <c r="E77" i="2"/>
  <c r="Q76" i="2"/>
  <c r="F76" i="2"/>
  <c r="E76" i="2"/>
  <c r="Q75" i="2"/>
  <c r="F75" i="2"/>
  <c r="E75" i="2"/>
  <c r="Q74" i="2"/>
  <c r="F74" i="2"/>
  <c r="E74" i="2"/>
  <c r="Q73" i="2"/>
  <c r="F73" i="2"/>
  <c r="E73" i="2"/>
  <c r="Q72" i="2"/>
  <c r="F72" i="2"/>
  <c r="E72" i="2"/>
  <c r="Q71" i="2"/>
  <c r="F71" i="2"/>
  <c r="E71" i="2"/>
  <c r="Q70" i="2"/>
  <c r="F70" i="2"/>
  <c r="E70" i="2"/>
  <c r="Q69" i="2"/>
  <c r="F69" i="2"/>
  <c r="E69" i="2"/>
  <c r="Q68" i="2"/>
  <c r="F68" i="2"/>
  <c r="E68" i="2"/>
  <c r="Q67" i="2"/>
  <c r="F67" i="2"/>
  <c r="E67" i="2"/>
  <c r="Q66" i="2"/>
  <c r="F66" i="2"/>
  <c r="E66" i="2"/>
  <c r="Q65" i="2"/>
  <c r="F65" i="2"/>
  <c r="E65" i="2"/>
  <c r="Q64" i="2"/>
  <c r="F64" i="2"/>
  <c r="E64" i="2"/>
  <c r="Q63" i="2"/>
  <c r="F63" i="2"/>
  <c r="E63" i="2"/>
  <c r="Q62" i="2"/>
  <c r="F62" i="2"/>
  <c r="E62" i="2"/>
  <c r="Q61" i="2"/>
  <c r="F61" i="2"/>
  <c r="E61" i="2"/>
  <c r="Q60" i="2"/>
  <c r="F60" i="2"/>
  <c r="E60" i="2"/>
  <c r="Q59" i="2"/>
  <c r="F59" i="2"/>
  <c r="E59" i="2"/>
  <c r="Q58" i="2"/>
  <c r="F58" i="2"/>
  <c r="E58" i="2"/>
  <c r="Q57" i="2"/>
  <c r="F57" i="2"/>
  <c r="E57" i="2"/>
  <c r="Q56" i="2"/>
  <c r="F56" i="2"/>
  <c r="E56" i="2"/>
  <c r="Q55" i="2"/>
  <c r="F55" i="2"/>
  <c r="E55" i="2"/>
  <c r="Q54" i="2"/>
  <c r="F54" i="2"/>
  <c r="E54" i="2"/>
  <c r="Q53" i="2"/>
  <c r="F53" i="2"/>
  <c r="E53" i="2"/>
  <c r="Q52" i="2"/>
  <c r="F52" i="2"/>
  <c r="E52" i="2"/>
  <c r="Q51" i="2"/>
  <c r="F51" i="2"/>
  <c r="E51" i="2"/>
  <c r="Q50" i="2"/>
  <c r="F50" i="2"/>
  <c r="E50" i="2"/>
  <c r="Q49" i="2"/>
  <c r="F49" i="2"/>
  <c r="E49" i="2"/>
  <c r="Q48" i="2"/>
  <c r="F48" i="2"/>
  <c r="E48" i="2"/>
  <c r="Q47" i="2"/>
  <c r="F47" i="2"/>
  <c r="E47" i="2"/>
  <c r="Q46" i="2"/>
  <c r="F46" i="2"/>
  <c r="E46" i="2"/>
  <c r="Q45" i="2"/>
  <c r="F45" i="2"/>
  <c r="E45" i="2"/>
  <c r="Q44" i="2"/>
  <c r="F44" i="2"/>
  <c r="E44" i="2"/>
  <c r="Q43" i="2"/>
  <c r="F43" i="2"/>
  <c r="E43" i="2"/>
  <c r="Q42" i="2"/>
  <c r="F42" i="2"/>
  <c r="E42" i="2"/>
  <c r="Q41" i="2"/>
  <c r="F41" i="2"/>
  <c r="E41" i="2"/>
  <c r="Q40" i="2"/>
  <c r="F40" i="2"/>
  <c r="E40" i="2"/>
  <c r="Q39" i="2"/>
  <c r="F39" i="2"/>
  <c r="E39" i="2"/>
  <c r="Q38" i="2"/>
  <c r="F38" i="2"/>
  <c r="E38" i="2"/>
  <c r="Q37" i="2"/>
  <c r="F37" i="2"/>
  <c r="E37" i="2"/>
  <c r="Q36" i="2"/>
  <c r="F36" i="2"/>
  <c r="E36" i="2"/>
  <c r="Q35" i="2"/>
  <c r="F35" i="2"/>
  <c r="E35" i="2"/>
  <c r="Q34" i="2"/>
  <c r="F34" i="2"/>
  <c r="E34" i="2"/>
  <c r="Q33" i="2"/>
  <c r="F33" i="2"/>
  <c r="E33" i="2"/>
  <c r="Q32" i="2"/>
  <c r="F32" i="2"/>
  <c r="E32" i="2"/>
  <c r="Q31" i="2"/>
  <c r="F31" i="2"/>
  <c r="E31" i="2"/>
  <c r="Q30" i="2"/>
  <c r="F30" i="2"/>
  <c r="E30" i="2"/>
  <c r="Q29" i="2"/>
  <c r="F29" i="2"/>
  <c r="E29" i="2"/>
  <c r="Q28" i="2"/>
  <c r="F28" i="2"/>
  <c r="E28" i="2"/>
  <c r="Q27" i="2"/>
  <c r="F27" i="2"/>
  <c r="E27" i="2"/>
  <c r="Q26" i="2"/>
  <c r="F26" i="2"/>
  <c r="E26" i="2"/>
  <c r="Q25" i="2"/>
  <c r="F25" i="2"/>
  <c r="E25" i="2"/>
  <c r="Q24" i="2"/>
  <c r="F24" i="2"/>
  <c r="E24" i="2"/>
  <c r="Q23" i="2"/>
  <c r="F23" i="2"/>
  <c r="E23" i="2"/>
  <c r="Q22" i="2"/>
  <c r="F22" i="2"/>
  <c r="E22" i="2"/>
  <c r="Q21" i="2"/>
  <c r="F21" i="2"/>
  <c r="E21" i="2"/>
  <c r="Q20" i="2"/>
  <c r="F20" i="2"/>
  <c r="E20" i="2"/>
  <c r="Q19" i="2"/>
  <c r="F19" i="2"/>
  <c r="E19" i="2"/>
  <c r="Q18" i="2"/>
  <c r="F18" i="2"/>
  <c r="E18" i="2"/>
  <c r="Q17" i="2"/>
  <c r="F17" i="2"/>
  <c r="E17" i="2"/>
  <c r="Q16" i="2"/>
  <c r="F16" i="2"/>
  <c r="E16" i="2"/>
  <c r="Q15" i="2"/>
  <c r="F15" i="2"/>
  <c r="E15" i="2"/>
  <c r="Q14" i="2"/>
  <c r="F14" i="2"/>
  <c r="E14" i="2"/>
  <c r="Q13" i="2"/>
  <c r="F13" i="2"/>
  <c r="E13" i="2"/>
  <c r="Q12" i="2"/>
  <c r="F12" i="2"/>
  <c r="E12" i="2"/>
  <c r="Q11" i="2"/>
  <c r="F11" i="2"/>
  <c r="E11" i="2"/>
  <c r="Q10" i="2"/>
  <c r="F10" i="2"/>
  <c r="E10" i="2"/>
  <c r="Q9" i="2"/>
  <c r="F9" i="2"/>
  <c r="E9" i="2"/>
  <c r="Q8" i="2"/>
  <c r="F8" i="2"/>
  <c r="E8" i="2"/>
  <c r="Q7" i="2"/>
  <c r="F7" i="2"/>
  <c r="E7" i="2"/>
  <c r="Q6" i="2"/>
  <c r="F6" i="2"/>
  <c r="E6" i="2"/>
  <c r="Q5" i="2"/>
  <c r="F5" i="2"/>
  <c r="E5" i="2"/>
  <c r="Q4" i="2"/>
  <c r="F4" i="2"/>
  <c r="E4" i="2"/>
  <c r="Q3" i="2"/>
  <c r="F3" i="2"/>
  <c r="E3" i="2"/>
  <c r="Q2" i="2"/>
  <c r="F2" i="2"/>
  <c r="E2" i="2"/>
  <c r="F71" i="1"/>
  <c r="D71" i="1"/>
  <c r="B71" i="1"/>
  <c r="N7" i="1"/>
  <c r="K7" i="1"/>
  <c r="H7" i="1"/>
  <c r="E7" i="1"/>
  <c r="B7" i="1"/>
  <c r="L71" i="1"/>
  <c r="I71" i="1"/>
  <c r="E8" i="1" l="1"/>
  <c r="F8" i="1" s="1"/>
  <c r="H8" i="1"/>
  <c r="I8" i="1" s="1"/>
  <c r="K8" i="1"/>
  <c r="L8" i="1" s="1"/>
  <c r="N8" i="1"/>
  <c r="O8" i="1" s="1"/>
  <c r="R68" i="1" s="1"/>
  <c r="R72" i="1" s="1"/>
</calcChain>
</file>

<file path=xl/sharedStrings.xml><?xml version="1.0" encoding="utf-8"?>
<sst xmlns="http://schemas.openxmlformats.org/spreadsheetml/2006/main" count="11285" uniqueCount="1608">
  <si>
    <t>ID orden</t>
  </si>
  <si>
    <t>Fecha</t>
  </si>
  <si>
    <t>Mes Texto</t>
  </si>
  <si>
    <t>Mes</t>
  </si>
  <si>
    <t>Trimestre</t>
  </si>
  <si>
    <t>Semestre</t>
  </si>
  <si>
    <t>Código_Máquina</t>
  </si>
  <si>
    <t>Máquinas</t>
  </si>
  <si>
    <t>Tipo_Equipo</t>
  </si>
  <si>
    <t>Marca</t>
  </si>
  <si>
    <t>Actividades a Realizar</t>
  </si>
  <si>
    <t>Estatus</t>
  </si>
  <si>
    <t xml:space="preserve">Frecuencia_M.P. </t>
  </si>
  <si>
    <t>Día_Inicio</t>
  </si>
  <si>
    <t>Fecha_Final</t>
  </si>
  <si>
    <t>Diagnostico</t>
  </si>
  <si>
    <t>Tiempo_Demora(Días)</t>
  </si>
  <si>
    <t>Costo_Mano_Obra</t>
  </si>
  <si>
    <t>Costo_Materiales</t>
  </si>
  <si>
    <t>Estado_Mantenimiento</t>
  </si>
  <si>
    <t>ID-1</t>
  </si>
  <si>
    <t>Ene</t>
  </si>
  <si>
    <t>M0018</t>
  </si>
  <si>
    <t>Rebanadoras</t>
  </si>
  <si>
    <t>Procesamiento</t>
  </si>
  <si>
    <t>Net</t>
  </si>
  <si>
    <t>Inspección de engranes</t>
  </si>
  <si>
    <t>Correctivo</t>
  </si>
  <si>
    <t>Inservible</t>
  </si>
  <si>
    <t>-</t>
  </si>
  <si>
    <t>ID-2</t>
  </si>
  <si>
    <t>M0037</t>
  </si>
  <si>
    <t>Descueradoras, despieladoras y deshuesadoras.</t>
  </si>
  <si>
    <t>eiro</t>
  </si>
  <si>
    <t>Revisió Ajuste y/o de bandas, correas y poleas</t>
  </si>
  <si>
    <t>ID-3</t>
  </si>
  <si>
    <t>M0034</t>
  </si>
  <si>
    <t>Exprimidores</t>
  </si>
  <si>
    <t>Corsar</t>
  </si>
  <si>
    <t>Observación de posibles daños</t>
  </si>
  <si>
    <t>Preventivo</t>
  </si>
  <si>
    <t>90 Trimestral</t>
  </si>
  <si>
    <t>Ejecutado</t>
  </si>
  <si>
    <t>ID-4</t>
  </si>
  <si>
    <t>M0012</t>
  </si>
  <si>
    <t>Laminadoras de masa industriales</t>
  </si>
  <si>
    <t>Haman</t>
  </si>
  <si>
    <t>Inspección y/o reemplazo de boquillas</t>
  </si>
  <si>
    <t>ID-5</t>
  </si>
  <si>
    <t>M0033</t>
  </si>
  <si>
    <t>Ciscoy</t>
  </si>
  <si>
    <t>60 Bimestral</t>
  </si>
  <si>
    <t>ID-6</t>
  </si>
  <si>
    <t>M0019</t>
  </si>
  <si>
    <t>Básculas electrónicas</t>
  </si>
  <si>
    <t>Pesaje y medición</t>
  </si>
  <si>
    <t>Ngsi</t>
  </si>
  <si>
    <t>Inspección y/o reemplazo de toderas</t>
  </si>
  <si>
    <t>Reparación</t>
  </si>
  <si>
    <t>Pendiente</t>
  </si>
  <si>
    <t>ID-7</t>
  </si>
  <si>
    <t>M0039</t>
  </si>
  <si>
    <t>Moledoras y cutters.</t>
  </si>
  <si>
    <t>Ajuste general de máquinas</t>
  </si>
  <si>
    <t>Reprogramado</t>
  </si>
  <si>
    <t>ID-8</t>
  </si>
  <si>
    <t>M0027</t>
  </si>
  <si>
    <t>Empacadoras de bandejas </t>
  </si>
  <si>
    <t>Envasado</t>
  </si>
  <si>
    <t>Zye</t>
  </si>
  <si>
    <t xml:space="preserve">Inspección de tuberías </t>
  </si>
  <si>
    <t>ID-9</t>
  </si>
  <si>
    <t>M0031</t>
  </si>
  <si>
    <t>Peladoras</t>
  </si>
  <si>
    <t>Belki</t>
  </si>
  <si>
    <t>360 Anual</t>
  </si>
  <si>
    <t>ID-10</t>
  </si>
  <si>
    <t>M0005</t>
  </si>
  <si>
    <t>Horno de convección a vapor</t>
  </si>
  <si>
    <t>Cany</t>
  </si>
  <si>
    <t>Inspección y/o reemplazado de filtros de aire</t>
  </si>
  <si>
    <t>ID-11</t>
  </si>
  <si>
    <t>M0021</t>
  </si>
  <si>
    <t>Freidoras</t>
  </si>
  <si>
    <t>QNA</t>
  </si>
  <si>
    <t>Inspección y/o reemplazado de filtros de aceite</t>
  </si>
  <si>
    <t>ID-12</t>
  </si>
  <si>
    <t>M0042</t>
  </si>
  <si>
    <t>Etiquetadoras y Codificadoras</t>
  </si>
  <si>
    <t>Loiss</t>
  </si>
  <si>
    <t>Inspección de Frenos</t>
  </si>
  <si>
    <t>No Ejecutado</t>
  </si>
  <si>
    <t>ID-13</t>
  </si>
  <si>
    <t>ID-14</t>
  </si>
  <si>
    <t>M0026</t>
  </si>
  <si>
    <t>Máquinas de envasado al vacío</t>
  </si>
  <si>
    <t>Woxt</t>
  </si>
  <si>
    <t>Inspección de gases</t>
  </si>
  <si>
    <t>ID-15</t>
  </si>
  <si>
    <t>M0029</t>
  </si>
  <si>
    <t>Lavadoras</t>
  </si>
  <si>
    <t>Limpieza y Saneamiento</t>
  </si>
  <si>
    <t>ARock</t>
  </si>
  <si>
    <t>15 Quincenal</t>
  </si>
  <si>
    <t>ID-16</t>
  </si>
  <si>
    <t>M0020</t>
  </si>
  <si>
    <t>Amasadoras industriales o batidoras </t>
  </si>
  <si>
    <t>Noss</t>
  </si>
  <si>
    <t>Inspección y/o reemplazado de cuchillas</t>
  </si>
  <si>
    <t>ID-17</t>
  </si>
  <si>
    <t>Inspección de nivel de com¿bustible</t>
  </si>
  <si>
    <t>ID-18</t>
  </si>
  <si>
    <t>M0032</t>
  </si>
  <si>
    <t>Cortadoras</t>
  </si>
  <si>
    <t>Revisión de válvulas</t>
  </si>
  <si>
    <t>ID-19</t>
  </si>
  <si>
    <t>M0013</t>
  </si>
  <si>
    <t>Mesas de corte</t>
  </si>
  <si>
    <t>LiGs</t>
  </si>
  <si>
    <t>Limpieza y ajuste de inyectores</t>
  </si>
  <si>
    <t>ID-20</t>
  </si>
  <si>
    <t>M0002</t>
  </si>
  <si>
    <t>Abatidor de temperatura</t>
  </si>
  <si>
    <t>Limpieza y ajuste de terminales de baterías</t>
  </si>
  <si>
    <t>ID-21</t>
  </si>
  <si>
    <t>M0009</t>
  </si>
  <si>
    <t xml:space="preserve">Amasadoras </t>
  </si>
  <si>
    <t>Digit</t>
  </si>
  <si>
    <t>Verificación del sistema de enfriado</t>
  </si>
  <si>
    <t>ID-22</t>
  </si>
  <si>
    <t>Limpieza de ventilador</t>
  </si>
  <si>
    <t>ID-23</t>
  </si>
  <si>
    <t>M0023</t>
  </si>
  <si>
    <t>Pailas </t>
  </si>
  <si>
    <t>Tel</t>
  </si>
  <si>
    <t>Limpieza general</t>
  </si>
  <si>
    <t>ID-24</t>
  </si>
  <si>
    <t>M0014</t>
  </si>
  <si>
    <t>Formadoras de cajas</t>
  </si>
  <si>
    <t>Logit</t>
  </si>
  <si>
    <t>ID-25</t>
  </si>
  <si>
    <t>M0017</t>
  </si>
  <si>
    <t>Procesadores de alimentos</t>
  </si>
  <si>
    <t>Millen</t>
  </si>
  <si>
    <t>ID-26</t>
  </si>
  <si>
    <t>ID-27</t>
  </si>
  <si>
    <t>ID-28</t>
  </si>
  <si>
    <t>Inspección y/o reemplazo de tubos de contacto</t>
  </si>
  <si>
    <t>ID-29</t>
  </si>
  <si>
    <t>M0024</t>
  </si>
  <si>
    <t>Llenadoras</t>
  </si>
  <si>
    <t>Voda</t>
  </si>
  <si>
    <t>ID-30</t>
  </si>
  <si>
    <t>ID-31</t>
  </si>
  <si>
    <t>M0003</t>
  </si>
  <si>
    <t>Máquinas termoselladoras de envase rígido</t>
  </si>
  <si>
    <t>Asis</t>
  </si>
  <si>
    <t>ID-32</t>
  </si>
  <si>
    <t>M0043</t>
  </si>
  <si>
    <t>Lavadoras Industriales</t>
  </si>
  <si>
    <t>Mik</t>
  </si>
  <si>
    <t>Inspección de mangeras</t>
  </si>
  <si>
    <t>ID-33</t>
  </si>
  <si>
    <t>ID-34</t>
  </si>
  <si>
    <t>M0022</t>
  </si>
  <si>
    <t>Hornos</t>
  </si>
  <si>
    <t>Nite</t>
  </si>
  <si>
    <t>ID-35</t>
  </si>
  <si>
    <t>ID-36</t>
  </si>
  <si>
    <t>M0025</t>
  </si>
  <si>
    <t>Selladoras</t>
  </si>
  <si>
    <t>Wac</t>
  </si>
  <si>
    <t>Mantenimiento general</t>
  </si>
  <si>
    <t>ID-37</t>
  </si>
  <si>
    <t>ID-38</t>
  </si>
  <si>
    <t>M0008</t>
  </si>
  <si>
    <t>Trilladoras de granos</t>
  </si>
  <si>
    <t>Devo</t>
  </si>
  <si>
    <t>Inspección y/o reemplazado de escobillas</t>
  </si>
  <si>
    <t>ID-39</t>
  </si>
  <si>
    <t>M0036</t>
  </si>
  <si>
    <t>Esterilizadores y pasteurizadores </t>
  </si>
  <si>
    <t>ID-40</t>
  </si>
  <si>
    <t>M0041</t>
  </si>
  <si>
    <t>Embutidoras y productos embutidos.</t>
  </si>
  <si>
    <t>ID-41</t>
  </si>
  <si>
    <t>ID-42</t>
  </si>
  <si>
    <t>ID-43</t>
  </si>
  <si>
    <t>180 Semestral</t>
  </si>
  <si>
    <t>ID-44</t>
  </si>
  <si>
    <t>M0028</t>
  </si>
  <si>
    <t>Clasificadoras</t>
  </si>
  <si>
    <t>Acern</t>
  </si>
  <si>
    <t>ID-45</t>
  </si>
  <si>
    <t>ID-46</t>
  </si>
  <si>
    <t>ID-47</t>
  </si>
  <si>
    <t>30 Mensual</t>
  </si>
  <si>
    <t>ID-48</t>
  </si>
  <si>
    <t>ID-49</t>
  </si>
  <si>
    <t>ID-50</t>
  </si>
  <si>
    <t>ID-51</t>
  </si>
  <si>
    <t>ID-52</t>
  </si>
  <si>
    <t>M0038</t>
  </si>
  <si>
    <t>Prensas</t>
  </si>
  <si>
    <t>Egel</t>
  </si>
  <si>
    <t>ID-53</t>
  </si>
  <si>
    <t>M0016</t>
  </si>
  <si>
    <t>Molinos de carne</t>
  </si>
  <si>
    <t>7 Semanal</t>
  </si>
  <si>
    <t>ID-54</t>
  </si>
  <si>
    <t>ID-55</t>
  </si>
  <si>
    <t>ID-56</t>
  </si>
  <si>
    <t>ID-57</t>
  </si>
  <si>
    <t>ID-58</t>
  </si>
  <si>
    <t>ID-59</t>
  </si>
  <si>
    <t>M0006</t>
  </si>
  <si>
    <t>Extractores de aceites esenciales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</si>
  <si>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</si>
  <si>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</si>
  <si>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</si>
  <si>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</si>
  <si>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</si>
  <si>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</si>
  <si>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</si>
  <si>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</si>
  <si>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M0015</t>
  </si>
  <si>
    <t>Cámaras frigoríficas </t>
  </si>
  <si>
    <t>Almacenamiento</t>
  </si>
  <si>
    <t>ID-68</t>
  </si>
  <si>
    <t>ID-69</t>
  </si>
  <si>
    <t>ID-70</t>
  </si>
  <si>
    <t>ID-71</t>
  </si>
  <si>
    <t>ID-72</t>
  </si>
  <si>
    <t>ID-73</t>
  </si>
  <si>
    <t>ID-74</t>
  </si>
  <si>
    <t>ID-75</t>
  </si>
  <si>
    <t>ID-76</t>
  </si>
  <si>
    <t>M0035</t>
  </si>
  <si>
    <t>Extractores</t>
  </si>
  <si>
    <t>ID-77</t>
  </si>
  <si>
    <t>ID-78</t>
  </si>
  <si>
    <t>ID-79</t>
  </si>
  <si>
    <t>ID-80</t>
  </si>
  <si>
    <t>ID-81</t>
  </si>
  <si>
    <t>ID-82</t>
  </si>
  <si>
    <t>ID-83</t>
  </si>
  <si>
    <t>M0030</t>
  </si>
  <si>
    <t>Cepilladoras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</si>
  <si>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</si>
  <si>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</si>
  <si>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</si>
  <si>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</si>
  <si>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</si>
  <si>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</si>
  <si>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</si>
  <si>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</si>
  <si>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</si>
  <si>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M0011</t>
  </si>
  <si>
    <t>Divisoras de masas</t>
  </si>
  <si>
    <t>ID-93</t>
  </si>
  <si>
    <t>M0010</t>
  </si>
  <si>
    <t>Batidoras para la mezcla de ingredientes</t>
  </si>
  <si>
    <t>ID-94</t>
  </si>
  <si>
    <t>ID-95</t>
  </si>
  <si>
    <t>ID-96</t>
  </si>
  <si>
    <t>ID-97</t>
  </si>
  <si>
    <t>Feb</t>
  </si>
  <si>
    <t>ID-98</t>
  </si>
  <si>
    <t>ID-99</t>
  </si>
  <si>
    <t>ID-100</t>
  </si>
  <si>
    <t>ID-101</t>
  </si>
  <si>
    <t>ID-102</t>
  </si>
  <si>
    <t>ID-103</t>
  </si>
  <si>
    <t>ID-104</t>
  </si>
  <si>
    <t>ID-105</t>
  </si>
  <si>
    <t>ID-106</t>
  </si>
  <si>
    <t>ID-107</t>
  </si>
  <si>
    <t>ID-108</t>
  </si>
  <si>
    <t>ID-109</t>
  </si>
  <si>
    <t>ID-110</t>
  </si>
  <si>
    <t>ID-111</t>
  </si>
  <si>
    <t>ID-112</t>
  </si>
  <si>
    <t>ID-113</t>
  </si>
  <si>
    <t>M0001</t>
  </si>
  <si>
    <t>Autoclave (Cocedor Pasteurizador)</t>
  </si>
  <si>
    <t>ID-114</t>
  </si>
  <si>
    <t>M0007</t>
  </si>
  <si>
    <t>Separador de espinas y pieles</t>
  </si>
  <si>
    <t>ID-115</t>
  </si>
  <si>
    <t>ID-116</t>
  </si>
  <si>
    <t>ID-117</t>
  </si>
  <si>
    <t>ID-118</t>
  </si>
  <si>
    <t>ID-119</t>
  </si>
  <si>
    <t>ID-120</t>
  </si>
  <si>
    <t>ID-121</t>
  </si>
  <si>
    <t>ID-122</t>
  </si>
  <si>
    <t>ID-123</t>
  </si>
  <si>
    <t>ID-124</t>
  </si>
  <si>
    <t>ID-125</t>
  </si>
  <si>
    <t>ID-126</t>
  </si>
  <si>
    <t>ID-127</t>
  </si>
  <si>
    <t>ID-128</t>
  </si>
  <si>
    <t>ID-129</t>
  </si>
  <si>
    <t>ID-130</t>
  </si>
  <si>
    <t>ID-131</t>
  </si>
  <si>
    <t>ID-132</t>
  </si>
  <si>
    <t>ID-133</t>
  </si>
  <si>
    <t>ID-134</t>
  </si>
  <si>
    <t>ID-135</t>
  </si>
  <si>
    <t>ID-136</t>
  </si>
  <si>
    <t>ID-137</t>
  </si>
  <si>
    <t>ID-138</t>
  </si>
  <si>
    <t>ID-139</t>
  </si>
  <si>
    <t>ID-140</t>
  </si>
  <si>
    <t>ID-141</t>
  </si>
  <si>
    <t>ID-142</t>
  </si>
  <si>
    <t>ID-143</t>
  </si>
  <si>
    <t>ID-144</t>
  </si>
  <si>
    <t>ID-145</t>
  </si>
  <si>
    <t>ID-146</t>
  </si>
  <si>
    <t>ID-147</t>
  </si>
  <si>
    <t>ID-148</t>
  </si>
  <si>
    <t>ID-149</t>
  </si>
  <si>
    <t>ID-150</t>
  </si>
  <si>
    <t>ID-151</t>
  </si>
  <si>
    <t>ID-152</t>
  </si>
  <si>
    <t>ID-153</t>
  </si>
  <si>
    <t>ID-154</t>
  </si>
  <si>
    <t>ID-155</t>
  </si>
  <si>
    <t>ID-156</t>
  </si>
  <si>
    <t>ID-157</t>
  </si>
  <si>
    <t>M0004</t>
  </si>
  <si>
    <t>Máquinas termoformadoras de envase flexible</t>
  </si>
  <si>
    <t>ID-158</t>
  </si>
  <si>
    <t>ID-159</t>
  </si>
  <si>
    <t>M0040</t>
  </si>
  <si>
    <t>Mezcladoras y emulsificadoras.</t>
  </si>
  <si>
    <t>ID-160</t>
  </si>
  <si>
    <t>ID-161</t>
  </si>
  <si>
    <t>ID-162</t>
  </si>
  <si>
    <t>ID-163</t>
  </si>
  <si>
    <t>ID-164</t>
  </si>
  <si>
    <t>ID-165</t>
  </si>
  <si>
    <t>ID-166</t>
  </si>
  <si>
    <t>ID-167</t>
  </si>
  <si>
    <t>ID-168</t>
  </si>
  <si>
    <t>ID-169</t>
  </si>
  <si>
    <t>ID-170</t>
  </si>
  <si>
    <t>ID-171</t>
  </si>
  <si>
    <t>ID-172</t>
  </si>
  <si>
    <t>ID-173</t>
  </si>
  <si>
    <t>ID-174</t>
  </si>
  <si>
    <t>ID-175</t>
  </si>
  <si>
    <t>ID-176</t>
  </si>
  <si>
    <t>ID-177</t>
  </si>
  <si>
    <t>ID-178</t>
  </si>
  <si>
    <t>ID-179</t>
  </si>
  <si>
    <t>Mar</t>
  </si>
  <si>
    <t>ID-180</t>
  </si>
  <si>
    <t>ID-181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</si>
  <si>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</si>
  <si>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</si>
  <si>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</si>
  <si>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</si>
  <si>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</si>
  <si>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</si>
  <si>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</si>
  <si>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</si>
  <si>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ID-190</t>
  </si>
  <si>
    <t>ID-191</t>
  </si>
  <si>
    <t>ID-192</t>
  </si>
  <si>
    <t>ID-193</t>
  </si>
  <si>
    <t>ID-194</t>
  </si>
  <si>
    <t>ID-195</t>
  </si>
  <si>
    <t>ID-196</t>
  </si>
  <si>
    <t>ID-197</t>
  </si>
  <si>
    <t>ID-198</t>
  </si>
  <si>
    <t>ID-199</t>
  </si>
  <si>
    <t>ID-200</t>
  </si>
  <si>
    <t>ID-201</t>
  </si>
  <si>
    <t>ID-202</t>
  </si>
  <si>
    <t>ID-203</t>
  </si>
  <si>
    <t>ID-204</t>
  </si>
  <si>
    <t>ID-205</t>
  </si>
  <si>
    <t>ID-206</t>
  </si>
  <si>
    <t>ID-207</t>
  </si>
  <si>
    <t>ID-208</t>
  </si>
  <si>
    <t>ID-209</t>
  </si>
  <si>
    <t>ID-210</t>
  </si>
  <si>
    <t>ID-211</t>
  </si>
  <si>
    <t>ID-212</t>
  </si>
  <si>
    <t>ID-213</t>
  </si>
  <si>
    <t>ID-214</t>
  </si>
  <si>
    <t>ID-215</t>
  </si>
  <si>
    <t>ID-216</t>
  </si>
  <si>
    <t>ID-217</t>
  </si>
  <si>
    <t>ID-218</t>
  </si>
  <si>
    <t>ID-219</t>
  </si>
  <si>
    <t>ID-220</t>
  </si>
  <si>
    <t>ID-221</t>
  </si>
  <si>
    <t>ID-222</t>
  </si>
  <si>
    <t>ID-223</t>
  </si>
  <si>
    <t>ID-224</t>
  </si>
  <si>
    <t>ID-225</t>
  </si>
  <si>
    <t>ID-226</t>
  </si>
  <si>
    <t>ID-227</t>
  </si>
  <si>
    <t>ID-228</t>
  </si>
  <si>
    <t>ID-229</t>
  </si>
  <si>
    <t>ID-230</t>
  </si>
  <si>
    <t>ID-231</t>
  </si>
  <si>
    <t>ID-232</t>
  </si>
  <si>
    <t>ID-233</t>
  </si>
  <si>
    <t>ID-234</t>
  </si>
  <si>
    <t>ID-235</t>
  </si>
  <si>
    <t>ID-236</t>
  </si>
  <si>
    <t>ID-237</t>
  </si>
  <si>
    <t>ID-238</t>
  </si>
  <si>
    <t>ID-239</t>
  </si>
  <si>
    <t>ID-240</t>
  </si>
  <si>
    <t>ID-241</t>
  </si>
  <si>
    <t>ID-242</t>
  </si>
  <si>
    <t>ID-243</t>
  </si>
  <si>
    <t>ID-244</t>
  </si>
  <si>
    <t>ID-245</t>
  </si>
  <si>
    <t>ID-246</t>
  </si>
  <si>
    <t>ID-247</t>
  </si>
  <si>
    <t>ID-248</t>
  </si>
  <si>
    <t>ID-249</t>
  </si>
  <si>
    <t>ID-250</t>
  </si>
  <si>
    <t>ID-251</t>
  </si>
  <si>
    <t>ID-252</t>
  </si>
  <si>
    <t>ID-253</t>
  </si>
  <si>
    <t>ID-254</t>
  </si>
  <si>
    <t>ID-255</t>
  </si>
  <si>
    <t>ID-256</t>
  </si>
  <si>
    <t>ID-257</t>
  </si>
  <si>
    <t>ID-258</t>
  </si>
  <si>
    <t>ID-259</t>
  </si>
  <si>
    <t>ID-260</t>
  </si>
  <si>
    <t>ID-261</t>
  </si>
  <si>
    <t>ID-262</t>
  </si>
  <si>
    <t>ID-263</t>
  </si>
  <si>
    <t>ID-264</t>
  </si>
  <si>
    <t>ID-265</t>
  </si>
  <si>
    <t>ID-266</t>
  </si>
  <si>
    <t>ID-267</t>
  </si>
  <si>
    <t>ID-268</t>
  </si>
  <si>
    <t>ID-269</t>
  </si>
  <si>
    <t>ID-270</t>
  </si>
  <si>
    <t>ID-271</t>
  </si>
  <si>
    <t>ID-272</t>
  </si>
  <si>
    <t>Abr</t>
  </si>
  <si>
    <t>ID-273</t>
  </si>
  <si>
    <t>ID-274</t>
  </si>
  <si>
    <t>ID-275</t>
  </si>
  <si>
    <t>ID-276</t>
  </si>
  <si>
    <t>ID-277</t>
  </si>
  <si>
    <t>ID-278</t>
  </si>
  <si>
    <t>ID-279</t>
  </si>
  <si>
    <t>ID-280</t>
  </si>
  <si>
    <t>ID-281</t>
  </si>
  <si>
    <t>ID-282</t>
  </si>
  <si>
    <t>ID-283</t>
  </si>
  <si>
    <t>ID-284</t>
  </si>
  <si>
    <t>ID-285</t>
  </si>
  <si>
    <t>ID-286</t>
  </si>
  <si>
    <t>ID-287</t>
  </si>
  <si>
    <t>ID-288</t>
  </si>
  <si>
    <t>ID-289</t>
  </si>
  <si>
    <t>ID-290</t>
  </si>
  <si>
    <t>ID-291</t>
  </si>
  <si>
    <t>ID-292</t>
  </si>
  <si>
    <t>ID-293</t>
  </si>
  <si>
    <t>ID-294</t>
  </si>
  <si>
    <t>ID-295</t>
  </si>
  <si>
    <t>ID-296</t>
  </si>
  <si>
    <t>ID-297</t>
  </si>
  <si>
    <t>ID-298</t>
  </si>
  <si>
    <t>ID-299</t>
  </si>
  <si>
    <t>ID-300</t>
  </si>
  <si>
    <t>ID-301</t>
  </si>
  <si>
    <t>ID-302</t>
  </si>
  <si>
    <t>ID-303</t>
  </si>
  <si>
    <t>ID-304</t>
  </si>
  <si>
    <t>ID-305</t>
  </si>
  <si>
    <t>ID-306</t>
  </si>
  <si>
    <t>ID-307</t>
  </si>
  <si>
    <t>ID-308</t>
  </si>
  <si>
    <t>ID-309</t>
  </si>
  <si>
    <t>ID-310</t>
  </si>
  <si>
    <t>ID-311</t>
  </si>
  <si>
    <t>ID-312</t>
  </si>
  <si>
    <t>ID-313</t>
  </si>
  <si>
    <t>ID-314</t>
  </si>
  <si>
    <t>ID-315</t>
  </si>
  <si>
    <t>ID-316</t>
  </si>
  <si>
    <t>ID-317</t>
  </si>
  <si>
    <t>ID-318</t>
  </si>
  <si>
    <t>ID-319</t>
  </si>
  <si>
    <t>ID-320</t>
  </si>
  <si>
    <t>ID-321</t>
  </si>
  <si>
    <t>ID-322</t>
  </si>
  <si>
    <t>ID-323</t>
  </si>
  <si>
    <t>ID-324</t>
  </si>
  <si>
    <t>ID-325</t>
  </si>
  <si>
    <t>ID-326</t>
  </si>
  <si>
    <t>ID-327</t>
  </si>
  <si>
    <t>ID-328</t>
  </si>
  <si>
    <t>ID-329</t>
  </si>
  <si>
    <t>ID-330</t>
  </si>
  <si>
    <t>ID-331</t>
  </si>
  <si>
    <t>ID-332</t>
  </si>
  <si>
    <t>ID-333</t>
  </si>
  <si>
    <t>ID-334</t>
  </si>
  <si>
    <t>ID-335</t>
  </si>
  <si>
    <t>ID-336</t>
  </si>
  <si>
    <t>ID-337</t>
  </si>
  <si>
    <t>ID-338</t>
  </si>
  <si>
    <t>ID-339</t>
  </si>
  <si>
    <t>ID-340</t>
  </si>
  <si>
    <t>ID-341</t>
  </si>
  <si>
    <t>ID-342</t>
  </si>
  <si>
    <t>ID-343</t>
  </si>
  <si>
    <t>ID-344</t>
  </si>
  <si>
    <t>ID-345</t>
  </si>
  <si>
    <t>ID-346</t>
  </si>
  <si>
    <t>ID-347</t>
  </si>
  <si>
    <t>ID-348</t>
  </si>
  <si>
    <t>ID-349</t>
  </si>
  <si>
    <t>ID-350</t>
  </si>
  <si>
    <t>ID-351</t>
  </si>
  <si>
    <t>ID-352</t>
  </si>
  <si>
    <t>ID-353</t>
  </si>
  <si>
    <t>ID-354</t>
  </si>
  <si>
    <t>ID-355</t>
  </si>
  <si>
    <t>ID-356</t>
  </si>
  <si>
    <t>ID-357</t>
  </si>
  <si>
    <t>ID-358</t>
  </si>
  <si>
    <t>ID-359</t>
  </si>
  <si>
    <t>May</t>
  </si>
  <si>
    <t>ID-360</t>
  </si>
  <si>
    <t>ID-361</t>
  </si>
  <si>
    <t>ID-362</t>
  </si>
  <si>
    <t>ID-363</t>
  </si>
  <si>
    <t>ID-364</t>
  </si>
  <si>
    <t>ID-365</t>
  </si>
  <si>
    <t>ID-366</t>
  </si>
  <si>
    <t>ID-367</t>
  </si>
  <si>
    <t>ID-368</t>
  </si>
  <si>
    <t>ID-369</t>
  </si>
  <si>
    <t>ID-370</t>
  </si>
  <si>
    <t>ID-371</t>
  </si>
  <si>
    <t>ID-372</t>
  </si>
  <si>
    <t>ID-373</t>
  </si>
  <si>
    <t>ID-374</t>
  </si>
  <si>
    <t>ID-375</t>
  </si>
  <si>
    <t>ID-376</t>
  </si>
  <si>
    <t>ID-377</t>
  </si>
  <si>
    <t>ID-378</t>
  </si>
  <si>
    <t>ID-379</t>
  </si>
  <si>
    <t>ID-380</t>
  </si>
  <si>
    <t>ID-381</t>
  </si>
  <si>
    <t>ID-382</t>
  </si>
  <si>
    <t>ID-383</t>
  </si>
  <si>
    <t>ID-384</t>
  </si>
  <si>
    <t>ID-385</t>
  </si>
  <si>
    <t>ID-386</t>
  </si>
  <si>
    <t>ID-387</t>
  </si>
  <si>
    <t>ID-388</t>
  </si>
  <si>
    <t>ID-389</t>
  </si>
  <si>
    <t>ID-390</t>
  </si>
  <si>
    <t>ID-391</t>
  </si>
  <si>
    <t>ID-392</t>
  </si>
  <si>
    <t>ID-393</t>
  </si>
  <si>
    <t>ID-394</t>
  </si>
  <si>
    <t>ID-395</t>
  </si>
  <si>
    <t>ID-396</t>
  </si>
  <si>
    <t>ID-397</t>
  </si>
  <si>
    <t>ID-398</t>
  </si>
  <si>
    <t>ID-399</t>
  </si>
  <si>
    <t>ID-400</t>
  </si>
  <si>
    <t>ID-401</t>
  </si>
  <si>
    <t>ID-402</t>
  </si>
  <si>
    <t>ID-403</t>
  </si>
  <si>
    <t>ID-404</t>
  </si>
  <si>
    <t>ID-405</t>
  </si>
  <si>
    <t>ID-406</t>
  </si>
  <si>
    <t>ID-407</t>
  </si>
  <si>
    <t>ID-408</t>
  </si>
  <si>
    <t>ID-409</t>
  </si>
  <si>
    <t>ID-410</t>
  </si>
  <si>
    <t>ID-411</t>
  </si>
  <si>
    <t>ID-412</t>
  </si>
  <si>
    <t>ID-413</t>
  </si>
  <si>
    <t>ID-414</t>
  </si>
  <si>
    <t>ID-415</t>
  </si>
  <si>
    <t>ID-416</t>
  </si>
  <si>
    <t>ID-417</t>
  </si>
  <si>
    <t>ID-418</t>
  </si>
  <si>
    <t>ID-419</t>
  </si>
  <si>
    <t>ID-420</t>
  </si>
  <si>
    <t>ID-421</t>
  </si>
  <si>
    <t>ID-422</t>
  </si>
  <si>
    <t>ID-423</t>
  </si>
  <si>
    <t>ID-424</t>
  </si>
  <si>
    <t>ID-425</t>
  </si>
  <si>
    <t>ID-426</t>
  </si>
  <si>
    <t>ID-427</t>
  </si>
  <si>
    <t>ID-428</t>
  </si>
  <si>
    <t>ID-429</t>
  </si>
  <si>
    <t>ID-430</t>
  </si>
  <si>
    <t>ID-431</t>
  </si>
  <si>
    <t>ID-432</t>
  </si>
  <si>
    <t>ID-433</t>
  </si>
  <si>
    <t>ID-434</t>
  </si>
  <si>
    <t>ID-435</t>
  </si>
  <si>
    <t>ID-436</t>
  </si>
  <si>
    <t>ID-437</t>
  </si>
  <si>
    <t>ID-438</t>
  </si>
  <si>
    <t>ID-439</t>
  </si>
  <si>
    <t>ID-440</t>
  </si>
  <si>
    <t>ID-441</t>
  </si>
  <si>
    <t>ID-442</t>
  </si>
  <si>
    <t>ID-443</t>
  </si>
  <si>
    <t>ID-444</t>
  </si>
  <si>
    <t>ID-445</t>
  </si>
  <si>
    <t>ID-446</t>
  </si>
  <si>
    <t>ID-447</t>
  </si>
  <si>
    <t>ID-448</t>
  </si>
  <si>
    <t>ID-449</t>
  </si>
  <si>
    <t>ID-450</t>
  </si>
  <si>
    <t>ID-451</t>
  </si>
  <si>
    <t>ID-452</t>
  </si>
  <si>
    <t>ID-453</t>
  </si>
  <si>
    <t>ID-454</t>
  </si>
  <si>
    <t>ID-455</t>
  </si>
  <si>
    <t>ID-456</t>
  </si>
  <si>
    <t>ID-457</t>
  </si>
  <si>
    <t>ID-458</t>
  </si>
  <si>
    <t>ID-459</t>
  </si>
  <si>
    <t>ID-460</t>
  </si>
  <si>
    <t>ID-461</t>
  </si>
  <si>
    <t>ID-462</t>
  </si>
  <si>
    <t>ID-463</t>
  </si>
  <si>
    <t>ID-464</t>
  </si>
  <si>
    <t>ID-465</t>
  </si>
  <si>
    <t>Jun</t>
  </si>
  <si>
    <t>ID-466</t>
  </si>
  <si>
    <t>ID-467</t>
  </si>
  <si>
    <t>ID-468</t>
  </si>
  <si>
    <t>ID-469</t>
  </si>
  <si>
    <t>ID-470</t>
  </si>
  <si>
    <t>ID-471</t>
  </si>
  <si>
    <t>ID-472</t>
  </si>
  <si>
    <t>ID-473</t>
  </si>
  <si>
    <t>ID-474</t>
  </si>
  <si>
    <t>ID-475</t>
  </si>
  <si>
    <t>ID-476</t>
  </si>
  <si>
    <t>ID-477</t>
  </si>
  <si>
    <t>ID-478</t>
  </si>
  <si>
    <t>ID-479</t>
  </si>
  <si>
    <t>ID-480</t>
  </si>
  <si>
    <t>ID-481</t>
  </si>
  <si>
    <t>ID-482</t>
  </si>
  <si>
    <t>ID-483</t>
  </si>
  <si>
    <t>ID-484</t>
  </si>
  <si>
    <t>ID-485</t>
  </si>
  <si>
    <t>ID-486</t>
  </si>
  <si>
    <t>ID-487</t>
  </si>
  <si>
    <t>ID-488</t>
  </si>
  <si>
    <t>ID-489</t>
  </si>
  <si>
    <t>ID-490</t>
  </si>
  <si>
    <t>ID-491</t>
  </si>
  <si>
    <t>ID-492</t>
  </si>
  <si>
    <t>ID-493</t>
  </si>
  <si>
    <t>ID-494</t>
  </si>
  <si>
    <t>ID-495</t>
  </si>
  <si>
    <t>ID-496</t>
  </si>
  <si>
    <t>ID-497</t>
  </si>
  <si>
    <t>ID-498</t>
  </si>
  <si>
    <t>ID-499</t>
  </si>
  <si>
    <t>ID-500</t>
  </si>
  <si>
    <t>ID-501</t>
  </si>
  <si>
    <t>ID-502</t>
  </si>
  <si>
    <t>ID-503</t>
  </si>
  <si>
    <t>ID-504</t>
  </si>
  <si>
    <t>ID-505</t>
  </si>
  <si>
    <t>ID-506</t>
  </si>
  <si>
    <t>ID-507</t>
  </si>
  <si>
    <t>ID-508</t>
  </si>
  <si>
    <t>ID-509</t>
  </si>
  <si>
    <t>ID-510</t>
  </si>
  <si>
    <t>ID-511</t>
  </si>
  <si>
    <t>ID-512</t>
  </si>
  <si>
    <t>ID-513</t>
  </si>
  <si>
    <t>ID-514</t>
  </si>
  <si>
    <t>ID-515</t>
  </si>
  <si>
    <t>ID-516</t>
  </si>
  <si>
    <t>ID-517</t>
  </si>
  <si>
    <t>ID-518</t>
  </si>
  <si>
    <t>ID-519</t>
  </si>
  <si>
    <t>ID-520</t>
  </si>
  <si>
    <t>ID-521</t>
  </si>
  <si>
    <t>ID-522</t>
  </si>
  <si>
    <t>ID-523</t>
  </si>
  <si>
    <t>ID-524</t>
  </si>
  <si>
    <t>ID-525</t>
  </si>
  <si>
    <t>ID-526</t>
  </si>
  <si>
    <t>ID-527</t>
  </si>
  <si>
    <t>ID-528</t>
  </si>
  <si>
    <t>ID-529</t>
  </si>
  <si>
    <t>ID-530</t>
  </si>
  <si>
    <t>ID-531</t>
  </si>
  <si>
    <t>ID-532</t>
  </si>
  <si>
    <t>ID-533</t>
  </si>
  <si>
    <t>ID-534</t>
  </si>
  <si>
    <t>ID-535</t>
  </si>
  <si>
    <t>ID-536</t>
  </si>
  <si>
    <t>ID-537</t>
  </si>
  <si>
    <t>ID-538</t>
  </si>
  <si>
    <t>ID-539</t>
  </si>
  <si>
    <t>ID-540</t>
  </si>
  <si>
    <t>ID-541</t>
  </si>
  <si>
    <t>ID-542</t>
  </si>
  <si>
    <t>ID-543</t>
  </si>
  <si>
    <t>ID-544</t>
  </si>
  <si>
    <t>ID-545</t>
  </si>
  <si>
    <t>ID-546</t>
  </si>
  <si>
    <t>ID-547</t>
  </si>
  <si>
    <t>ID-548</t>
  </si>
  <si>
    <t>ID-549</t>
  </si>
  <si>
    <t>ID-550</t>
  </si>
  <si>
    <t>ID-551</t>
  </si>
  <si>
    <t>ID-552</t>
  </si>
  <si>
    <t>ID-553</t>
  </si>
  <si>
    <t>ID-554</t>
  </si>
  <si>
    <t>ID-555</t>
  </si>
  <si>
    <t>ID-556</t>
  </si>
  <si>
    <t>ID-557</t>
  </si>
  <si>
    <t>ID-558</t>
  </si>
  <si>
    <t>ID-559</t>
  </si>
  <si>
    <t>Jul</t>
  </si>
  <si>
    <t>ID-560</t>
  </si>
  <si>
    <t>ID-561</t>
  </si>
  <si>
    <t>ID-562</t>
  </si>
  <si>
    <t>ID-563</t>
  </si>
  <si>
    <t>ID-564</t>
  </si>
  <si>
    <t>ID-565</t>
  </si>
  <si>
    <t>ID-566</t>
  </si>
  <si>
    <t>ID-567</t>
  </si>
  <si>
    <t>ID-568</t>
  </si>
  <si>
    <t>ID-569</t>
  </si>
  <si>
    <t>ID-570</t>
  </si>
  <si>
    <t>ID-571</t>
  </si>
  <si>
    <t>ID-572</t>
  </si>
  <si>
    <t>ID-573</t>
  </si>
  <si>
    <t>ID-574</t>
  </si>
  <si>
    <t>ID-575</t>
  </si>
  <si>
    <t>ID-576</t>
  </si>
  <si>
    <t>ID-577</t>
  </si>
  <si>
    <t>ID-578</t>
  </si>
  <si>
    <t>ID-579</t>
  </si>
  <si>
    <t>ID-580</t>
  </si>
  <si>
    <t>ID-581</t>
  </si>
  <si>
    <t>ID-582</t>
  </si>
  <si>
    <t>ID-583</t>
  </si>
  <si>
    <t>ID-584</t>
  </si>
  <si>
    <t>ID-585</t>
  </si>
  <si>
    <t>ID-586</t>
  </si>
  <si>
    <t>ID-587</t>
  </si>
  <si>
    <t>ID-588</t>
  </si>
  <si>
    <t>ID-589</t>
  </si>
  <si>
    <t>ID-590</t>
  </si>
  <si>
    <t>ID-591</t>
  </si>
  <si>
    <t>ID-592</t>
  </si>
  <si>
    <t>ID-593</t>
  </si>
  <si>
    <t>ID-594</t>
  </si>
  <si>
    <t>ID-595</t>
  </si>
  <si>
    <t>ID-596</t>
  </si>
  <si>
    <t>ID-597</t>
  </si>
  <si>
    <t>ID-598</t>
  </si>
  <si>
    <t>ID-599</t>
  </si>
  <si>
    <t>ID-600</t>
  </si>
  <si>
    <t>ID-601</t>
  </si>
  <si>
    <t>ID-602</t>
  </si>
  <si>
    <t>ID-603</t>
  </si>
  <si>
    <t>ID-604</t>
  </si>
  <si>
    <t>ID-605</t>
  </si>
  <si>
    <t>ID-606</t>
  </si>
  <si>
    <t>ID-607</t>
  </si>
  <si>
    <t>ID-608</t>
  </si>
  <si>
    <t>ID-609</t>
  </si>
  <si>
    <t>ID-610</t>
  </si>
  <si>
    <t>ID-611</t>
  </si>
  <si>
    <t>ID-612</t>
  </si>
  <si>
    <t>ID-613</t>
  </si>
  <si>
    <t>ID-614</t>
  </si>
  <si>
    <t>ID-615</t>
  </si>
  <si>
    <t>ID-616</t>
  </si>
  <si>
    <t>ID-617</t>
  </si>
  <si>
    <t>ID-618</t>
  </si>
  <si>
    <t>ID-619</t>
  </si>
  <si>
    <t>ID-620</t>
  </si>
  <si>
    <t>ID-621</t>
  </si>
  <si>
    <t>ID-622</t>
  </si>
  <si>
    <t>ID-623</t>
  </si>
  <si>
    <t>ID-624</t>
  </si>
  <si>
    <t>ID-625</t>
  </si>
  <si>
    <t>ID-626</t>
  </si>
  <si>
    <t>ID-627</t>
  </si>
  <si>
    <t>ID-628</t>
  </si>
  <si>
    <t>ID-629</t>
  </si>
  <si>
    <t>ID-630</t>
  </si>
  <si>
    <t>Ago</t>
  </si>
  <si>
    <t>ID-631</t>
  </si>
  <si>
    <t>ID-632</t>
  </si>
  <si>
    <t>ID-633</t>
  </si>
  <si>
    <t>ID-634</t>
  </si>
  <si>
    <t>ID-635</t>
  </si>
  <si>
    <t>ID-636</t>
  </si>
  <si>
    <t>ID-637</t>
  </si>
  <si>
    <t>ID-638</t>
  </si>
  <si>
    <t>ID-639</t>
  </si>
  <si>
    <t>ID-640</t>
  </si>
  <si>
    <t>ID-641</t>
  </si>
  <si>
    <t>ID-642</t>
  </si>
  <si>
    <t>ID-643</t>
  </si>
  <si>
    <t>ID-644</t>
  </si>
  <si>
    <t>ID-645</t>
  </si>
  <si>
    <t>ID-646</t>
  </si>
  <si>
    <t>ID-647</t>
  </si>
  <si>
    <t>ID-648</t>
  </si>
  <si>
    <t>ID-649</t>
  </si>
  <si>
    <t>ID-650</t>
  </si>
  <si>
    <t>ID-651</t>
  </si>
  <si>
    <t>ID-652</t>
  </si>
  <si>
    <t>ID-653</t>
  </si>
  <si>
    <t>ID-654</t>
  </si>
  <si>
    <t>ID-655</t>
  </si>
  <si>
    <t>ID-656</t>
  </si>
  <si>
    <t>ID-657</t>
  </si>
  <si>
    <t>ID-658</t>
  </si>
  <si>
    <t>ID-659</t>
  </si>
  <si>
    <t>ID-660</t>
  </si>
  <si>
    <t>ID-661</t>
  </si>
  <si>
    <t>ID-662</t>
  </si>
  <si>
    <t>ID-663</t>
  </si>
  <si>
    <t>ID-664</t>
  </si>
  <si>
    <t>ID-665</t>
  </si>
  <si>
    <t>ID-666</t>
  </si>
  <si>
    <t>ID-667</t>
  </si>
  <si>
    <t>ID-668</t>
  </si>
  <si>
    <t>ID-669</t>
  </si>
  <si>
    <t>ID-670</t>
  </si>
  <si>
    <t>ID-671</t>
  </si>
  <si>
    <t>ID-672</t>
  </si>
  <si>
    <t>ID-673</t>
  </si>
  <si>
    <t>ID-674</t>
  </si>
  <si>
    <t>ID-675</t>
  </si>
  <si>
    <t>ID-676</t>
  </si>
  <si>
    <t>ID-677</t>
  </si>
  <si>
    <t>ID-678</t>
  </si>
  <si>
    <t>ID-679</t>
  </si>
  <si>
    <t>ID-680</t>
  </si>
  <si>
    <t>ID-681</t>
  </si>
  <si>
    <t>ID-682</t>
  </si>
  <si>
    <t>ID-683</t>
  </si>
  <si>
    <t>ID-684</t>
  </si>
  <si>
    <t>ID-685</t>
  </si>
  <si>
    <t>ID-686</t>
  </si>
  <si>
    <t>ID-687</t>
  </si>
  <si>
    <t>ID-688</t>
  </si>
  <si>
    <t>ID-689</t>
  </si>
  <si>
    <t>ID-690</t>
  </si>
  <si>
    <t>ID-691</t>
  </si>
  <si>
    <t>ID-692</t>
  </si>
  <si>
    <t>ID-693</t>
  </si>
  <si>
    <t>ID-694</t>
  </si>
  <si>
    <t>ID-695</t>
  </si>
  <si>
    <t>ID-696</t>
  </si>
  <si>
    <t>ID-697</t>
  </si>
  <si>
    <t>ID-698</t>
  </si>
  <si>
    <t>ID-699</t>
  </si>
  <si>
    <t>ID-700</t>
  </si>
  <si>
    <t>ID-701</t>
  </si>
  <si>
    <t>ID-702</t>
  </si>
  <si>
    <t>ID-703</t>
  </si>
  <si>
    <t>ID-704</t>
  </si>
  <si>
    <t>ID-705</t>
  </si>
  <si>
    <t>ID-706</t>
  </si>
  <si>
    <t>ID-707</t>
  </si>
  <si>
    <t>ID-708</t>
  </si>
  <si>
    <t>ID-709</t>
  </si>
  <si>
    <t>ID-710</t>
  </si>
  <si>
    <t>ID-711</t>
  </si>
  <si>
    <t>ID-712</t>
  </si>
  <si>
    <t>ID-713</t>
  </si>
  <si>
    <t>ID-714</t>
  </si>
  <si>
    <t>ID-715</t>
  </si>
  <si>
    <t>ID-716</t>
  </si>
  <si>
    <t>ID-717</t>
  </si>
  <si>
    <t>ID-718</t>
  </si>
  <si>
    <t>ID-719</t>
  </si>
  <si>
    <t>ID-720</t>
  </si>
  <si>
    <t>ID-721</t>
  </si>
  <si>
    <t>ID-722</t>
  </si>
  <si>
    <t>ID-723</t>
  </si>
  <si>
    <t>ID-724</t>
  </si>
  <si>
    <t>ID-725</t>
  </si>
  <si>
    <t>ID-726</t>
  </si>
  <si>
    <t>Set</t>
  </si>
  <si>
    <t>ID-727</t>
  </si>
  <si>
    <t>ID-728</t>
  </si>
  <si>
    <t>ID-729</t>
  </si>
  <si>
    <t>ID-730</t>
  </si>
  <si>
    <t>ID-731</t>
  </si>
  <si>
    <t>ID-732</t>
  </si>
  <si>
    <t>ID-733</t>
  </si>
  <si>
    <t>ID-734</t>
  </si>
  <si>
    <t>ID-735</t>
  </si>
  <si>
    <t>ID-736</t>
  </si>
  <si>
    <t>ID-737</t>
  </si>
  <si>
    <t>ID-738</t>
  </si>
  <si>
    <t>ID-739</t>
  </si>
  <si>
    <t>ID-740</t>
  </si>
  <si>
    <t>ID-741</t>
  </si>
  <si>
    <t>ID-742</t>
  </si>
  <si>
    <t>ID-743</t>
  </si>
  <si>
    <t>ID-744</t>
  </si>
  <si>
    <t>ID-745</t>
  </si>
  <si>
    <t>ID-746</t>
  </si>
  <si>
    <t>ID-747</t>
  </si>
  <si>
    <t>ID-748</t>
  </si>
  <si>
    <t>ID-749</t>
  </si>
  <si>
    <t>ID-750</t>
  </si>
  <si>
    <t>ID-751</t>
  </si>
  <si>
    <t>ID-752</t>
  </si>
  <si>
    <t>ID-753</t>
  </si>
  <si>
    <t>ID-754</t>
  </si>
  <si>
    <t>ID-755</t>
  </si>
  <si>
    <t>ID-756</t>
  </si>
  <si>
    <t>ID-757</t>
  </si>
  <si>
    <t>ID-758</t>
  </si>
  <si>
    <t>ID-759</t>
  </si>
  <si>
    <t>ID-760</t>
  </si>
  <si>
    <t>ID-761</t>
  </si>
  <si>
    <t>ID-762</t>
  </si>
  <si>
    <t>ID-763</t>
  </si>
  <si>
    <t>ID-764</t>
  </si>
  <si>
    <t>ID-765</t>
  </si>
  <si>
    <t>ID-766</t>
  </si>
  <si>
    <t>ID-767</t>
  </si>
  <si>
    <t>ID-768</t>
  </si>
  <si>
    <t>ID-769</t>
  </si>
  <si>
    <t>ID-770</t>
  </si>
  <si>
    <t>ID-771</t>
  </si>
  <si>
    <t>ID-772</t>
  </si>
  <si>
    <t>ID-773</t>
  </si>
  <si>
    <t>ID-774</t>
  </si>
  <si>
    <t>ID-775</t>
  </si>
  <si>
    <t>ID-776</t>
  </si>
  <si>
    <t>ID-777</t>
  </si>
  <si>
    <t>ID-778</t>
  </si>
  <si>
    <t>ID-779</t>
  </si>
  <si>
    <t>ID-780</t>
  </si>
  <si>
    <t>ID-781</t>
  </si>
  <si>
    <t>ID-782</t>
  </si>
  <si>
    <t>ID-783</t>
  </si>
  <si>
    <t>ID-784</t>
  </si>
  <si>
    <t>ID-785</t>
  </si>
  <si>
    <t>ID-786</t>
  </si>
  <si>
    <t>ID-787</t>
  </si>
  <si>
    <t>ID-788</t>
  </si>
  <si>
    <t>ID-789</t>
  </si>
  <si>
    <t>ID-790</t>
  </si>
  <si>
    <t>ID-791</t>
  </si>
  <si>
    <t>ID-792</t>
  </si>
  <si>
    <t>ID-793</t>
  </si>
  <si>
    <t>ID-794</t>
  </si>
  <si>
    <t>ID-795</t>
  </si>
  <si>
    <t>ID-796</t>
  </si>
  <si>
    <t>ID-797</t>
  </si>
  <si>
    <t>ID-798</t>
  </si>
  <si>
    <t>ID-799</t>
  </si>
  <si>
    <t>ID-800</t>
  </si>
  <si>
    <t>ID-801</t>
  </si>
  <si>
    <t>ID-802</t>
  </si>
  <si>
    <t>ID-803</t>
  </si>
  <si>
    <t>ID-804</t>
  </si>
  <si>
    <t>ID-805</t>
  </si>
  <si>
    <t>ID-806</t>
  </si>
  <si>
    <t>ID-807</t>
  </si>
  <si>
    <t>ID-808</t>
  </si>
  <si>
    <t>ID-809</t>
  </si>
  <si>
    <t>ID-810</t>
  </si>
  <si>
    <t>ID-811</t>
  </si>
  <si>
    <t>ID-812</t>
  </si>
  <si>
    <t>ID-813</t>
  </si>
  <si>
    <t>ID-814</t>
  </si>
  <si>
    <t>ID-815</t>
  </si>
  <si>
    <t>ID-816</t>
  </si>
  <si>
    <t>ID-817</t>
  </si>
  <si>
    <t>ID-818</t>
  </si>
  <si>
    <t>ID-819</t>
  </si>
  <si>
    <t>ID-820</t>
  </si>
  <si>
    <t>Oct</t>
  </si>
  <si>
    <t>ID-821</t>
  </si>
  <si>
    <t>ID-822</t>
  </si>
  <si>
    <t>ID-823</t>
  </si>
  <si>
    <t>ID-824</t>
  </si>
  <si>
    <t>ID-825</t>
  </si>
  <si>
    <t>ID-826</t>
  </si>
  <si>
    <t>ID-827</t>
  </si>
  <si>
    <t>ID-828</t>
  </si>
  <si>
    <t>ID-829</t>
  </si>
  <si>
    <t>ID-830</t>
  </si>
  <si>
    <t>ID-831</t>
  </si>
  <si>
    <t>ID-832</t>
  </si>
  <si>
    <t>ID-833</t>
  </si>
  <si>
    <t>ID-834</t>
  </si>
  <si>
    <t>ID-835</t>
  </si>
  <si>
    <t>ID-836</t>
  </si>
  <si>
    <t>ID-837</t>
  </si>
  <si>
    <t>ID-838</t>
  </si>
  <si>
    <t>ID-839</t>
  </si>
  <si>
    <t>ID-840</t>
  </si>
  <si>
    <t>ID-841</t>
  </si>
  <si>
    <t>ID-842</t>
  </si>
  <si>
    <t>ID-843</t>
  </si>
  <si>
    <t>ID-844</t>
  </si>
  <si>
    <t>ID-845</t>
  </si>
  <si>
    <t>ID-846</t>
  </si>
  <si>
    <t>ID-847</t>
  </si>
  <si>
    <t>ID-848</t>
  </si>
  <si>
    <t>ID-849</t>
  </si>
  <si>
    <t>ID-850</t>
  </si>
  <si>
    <t>ID-851</t>
  </si>
  <si>
    <t>ID-852</t>
  </si>
  <si>
    <t>ID-853</t>
  </si>
  <si>
    <t>ID-854</t>
  </si>
  <si>
    <t>ID-855</t>
  </si>
  <si>
    <t>ID-856</t>
  </si>
  <si>
    <t>ID-857</t>
  </si>
  <si>
    <t>ID-858</t>
  </si>
  <si>
    <t>ID-859</t>
  </si>
  <si>
    <t>ID-860</t>
  </si>
  <si>
    <t>ID-861</t>
  </si>
  <si>
    <t>ID-862</t>
  </si>
  <si>
    <t>ID-863</t>
  </si>
  <si>
    <t>ID-864</t>
  </si>
  <si>
    <t>ID-865</t>
  </si>
  <si>
    <t>ID-866</t>
  </si>
  <si>
    <t>ID-867</t>
  </si>
  <si>
    <t>ID-868</t>
  </si>
  <si>
    <t>ID-869</t>
  </si>
  <si>
    <t>ID-870</t>
  </si>
  <si>
    <t>ID-871</t>
  </si>
  <si>
    <t>ID-872</t>
  </si>
  <si>
    <t>ID-873</t>
  </si>
  <si>
    <t>ID-874</t>
  </si>
  <si>
    <t>ID-875</t>
  </si>
  <si>
    <t>ID-876</t>
  </si>
  <si>
    <t>ID-877</t>
  </si>
  <si>
    <t>ID-878</t>
  </si>
  <si>
    <t>ID-879</t>
  </si>
  <si>
    <t>ID-880</t>
  </si>
  <si>
    <t>ID-881</t>
  </si>
  <si>
    <t>ID-882</t>
  </si>
  <si>
    <t>ID-883</t>
  </si>
  <si>
    <t>ID-884</t>
  </si>
  <si>
    <t>ID-885</t>
  </si>
  <si>
    <t>ID-886</t>
  </si>
  <si>
    <t>ID-887</t>
  </si>
  <si>
    <t>ID-888</t>
  </si>
  <si>
    <t>ID-889</t>
  </si>
  <si>
    <t>ID-890</t>
  </si>
  <si>
    <t>ID-891</t>
  </si>
  <si>
    <t>ID-892</t>
  </si>
  <si>
    <t>ID-893</t>
  </si>
  <si>
    <t>ID-894</t>
  </si>
  <si>
    <t>ID-895</t>
  </si>
  <si>
    <t>ID-896</t>
  </si>
  <si>
    <t>ID-897</t>
  </si>
  <si>
    <t>ID-898</t>
  </si>
  <si>
    <t>ID-899</t>
  </si>
  <si>
    <t>ID-900</t>
  </si>
  <si>
    <t>ID-901</t>
  </si>
  <si>
    <t>ID-902</t>
  </si>
  <si>
    <t>ID-903</t>
  </si>
  <si>
    <t>ID-904</t>
  </si>
  <si>
    <t>ID-905</t>
  </si>
  <si>
    <t>ID-906</t>
  </si>
  <si>
    <t>ID-907</t>
  </si>
  <si>
    <t>ID-908</t>
  </si>
  <si>
    <t>ID-909</t>
  </si>
  <si>
    <t>ID-910</t>
  </si>
  <si>
    <t>ID-911</t>
  </si>
  <si>
    <t>Nov</t>
  </si>
  <si>
    <t>ID-912</t>
  </si>
  <si>
    <t>ID-913</t>
  </si>
  <si>
    <t>ID-914</t>
  </si>
  <si>
    <t>ID-915</t>
  </si>
  <si>
    <t>ID-916</t>
  </si>
  <si>
    <t>ID-917</t>
  </si>
  <si>
    <t>ID-918</t>
  </si>
  <si>
    <t>ID-919</t>
  </si>
  <si>
    <t>ID-920</t>
  </si>
  <si>
    <t>ID-921</t>
  </si>
  <si>
    <t>ID-922</t>
  </si>
  <si>
    <t>ID-923</t>
  </si>
  <si>
    <t>ID-924</t>
  </si>
  <si>
    <t>ID-925</t>
  </si>
  <si>
    <t>ID-926</t>
  </si>
  <si>
    <t>ID-927</t>
  </si>
  <si>
    <t>ID-928</t>
  </si>
  <si>
    <t>ID-929</t>
  </si>
  <si>
    <t>ID-930</t>
  </si>
  <si>
    <t>ID-931</t>
  </si>
  <si>
    <t>ID-932</t>
  </si>
  <si>
    <t>ID-933</t>
  </si>
  <si>
    <t>ID-934</t>
  </si>
  <si>
    <t>ID-935</t>
  </si>
  <si>
    <t>ID-936</t>
  </si>
  <si>
    <t>ID-937</t>
  </si>
  <si>
    <t>ID-938</t>
  </si>
  <si>
    <t>ID-939</t>
  </si>
  <si>
    <t>ID-940</t>
  </si>
  <si>
    <t>ID-941</t>
  </si>
  <si>
    <t>ID-942</t>
  </si>
  <si>
    <t>ID-943</t>
  </si>
  <si>
    <t>ID-944</t>
  </si>
  <si>
    <t>ID-945</t>
  </si>
  <si>
    <t>ID-946</t>
  </si>
  <si>
    <t>ID-947</t>
  </si>
  <si>
    <t>ID-948</t>
  </si>
  <si>
    <t>ID-949</t>
  </si>
  <si>
    <t>ID-950</t>
  </si>
  <si>
    <t>ID-951</t>
  </si>
  <si>
    <t>ID-952</t>
  </si>
  <si>
    <t>ID-953</t>
  </si>
  <si>
    <t>ID-954</t>
  </si>
  <si>
    <t>ID-955</t>
  </si>
  <si>
    <t>ID-956</t>
  </si>
  <si>
    <t>ID-957</t>
  </si>
  <si>
    <t>ID-958</t>
  </si>
  <si>
    <t>ID-959</t>
  </si>
  <si>
    <t>ID-960</t>
  </si>
  <si>
    <t>ID-961</t>
  </si>
  <si>
    <t>ID-962</t>
  </si>
  <si>
    <t>ID-963</t>
  </si>
  <si>
    <t>ID-964</t>
  </si>
  <si>
    <t>ID-965</t>
  </si>
  <si>
    <t>ID-966</t>
  </si>
  <si>
    <t>ID-967</t>
  </si>
  <si>
    <t>ID-968</t>
  </si>
  <si>
    <t>Dic</t>
  </si>
  <si>
    <t>ID-969</t>
  </si>
  <si>
    <t>ID-970</t>
  </si>
  <si>
    <t>ID-971</t>
  </si>
  <si>
    <t>ID-972</t>
  </si>
  <si>
    <t>ID-973</t>
  </si>
  <si>
    <t>ID-974</t>
  </si>
  <si>
    <t>ID-975</t>
  </si>
  <si>
    <t>ID-976</t>
  </si>
  <si>
    <t>ID-977</t>
  </si>
  <si>
    <t>ID-978</t>
  </si>
  <si>
    <t>ID-979</t>
  </si>
  <si>
    <t>ID-980</t>
  </si>
  <si>
    <t>ID-981</t>
  </si>
  <si>
    <t>ID-982</t>
  </si>
  <si>
    <t>ID-983</t>
  </si>
  <si>
    <t>ID-984</t>
  </si>
  <si>
    <t>ID-985</t>
  </si>
  <si>
    <t>ID-986</t>
  </si>
  <si>
    <t>ID-987</t>
  </si>
  <si>
    <t>ID-988</t>
  </si>
  <si>
    <t>ID-989</t>
  </si>
  <si>
    <t>ID-990</t>
  </si>
  <si>
    <t>ID-991</t>
  </si>
  <si>
    <t>ID-992</t>
  </si>
  <si>
    <t>ID-993</t>
  </si>
  <si>
    <t>ID-994</t>
  </si>
  <si>
    <t>ID-995</t>
  </si>
  <si>
    <t>ID-996</t>
  </si>
  <si>
    <t>ID-997</t>
  </si>
  <si>
    <t>ID-998</t>
  </si>
  <si>
    <t>ID-999</t>
  </si>
  <si>
    <t>ID-1000</t>
  </si>
  <si>
    <t>ID-1001</t>
  </si>
  <si>
    <t>ID-1002</t>
  </si>
  <si>
    <t>ID-1003</t>
  </si>
  <si>
    <t>ID-1004</t>
  </si>
  <si>
    <t>ID-1005</t>
  </si>
  <si>
    <t>ID-1006</t>
  </si>
  <si>
    <t>ID-1007</t>
  </si>
  <si>
    <t>ID-1008</t>
  </si>
  <si>
    <t>ID-1009</t>
  </si>
  <si>
    <t>ID-1010</t>
  </si>
  <si>
    <t>ID-1011</t>
  </si>
  <si>
    <t>ID-1012</t>
  </si>
  <si>
    <t>ID-1013</t>
  </si>
  <si>
    <t>ID-1014</t>
  </si>
  <si>
    <t>ID-1015</t>
  </si>
  <si>
    <t>ID-1016</t>
  </si>
  <si>
    <t>ID-1017</t>
  </si>
  <si>
    <t>ID-1018</t>
  </si>
  <si>
    <t>ID-1019</t>
  </si>
  <si>
    <t>ID-1020</t>
  </si>
  <si>
    <t>ID-1021</t>
  </si>
  <si>
    <t>ID-1022</t>
  </si>
  <si>
    <t>ID-1023</t>
  </si>
  <si>
    <t>ID-1024</t>
  </si>
  <si>
    <t>ID-1025</t>
  </si>
  <si>
    <t>ID-1026</t>
  </si>
  <si>
    <t>ID-1027</t>
  </si>
  <si>
    <t>ID-1028</t>
  </si>
  <si>
    <t>ID-1029</t>
  </si>
  <si>
    <t>ID-1030</t>
  </si>
  <si>
    <t>ID-1031</t>
  </si>
  <si>
    <t>ID-1032</t>
  </si>
  <si>
    <t>ID-1033</t>
  </si>
  <si>
    <t>ID-1034</t>
  </si>
  <si>
    <t>ID-1035</t>
  </si>
  <si>
    <t>ID-1036</t>
  </si>
  <si>
    <t>ID-1037</t>
  </si>
  <si>
    <t>ID-1038</t>
  </si>
  <si>
    <t>ID-1039</t>
  </si>
  <si>
    <t>ID-1040</t>
  </si>
  <si>
    <t>ID-1041</t>
  </si>
  <si>
    <t>ID-1042</t>
  </si>
  <si>
    <t>ID-1043</t>
  </si>
  <si>
    <t>ID-1044</t>
  </si>
  <si>
    <t>ID-1045</t>
  </si>
  <si>
    <t>ID-1046</t>
  </si>
  <si>
    <t>ID-1047</t>
  </si>
  <si>
    <t>ID-1048</t>
  </si>
  <si>
    <t>ID-1049</t>
  </si>
  <si>
    <t>ID-1050</t>
  </si>
  <si>
    <t>ID-1051</t>
  </si>
  <si>
    <t>Etiquetas de fila</t>
  </si>
  <si>
    <t>Total general</t>
  </si>
  <si>
    <t>Cuenta de ID orden</t>
  </si>
  <si>
    <t>(Varios elementos)</t>
  </si>
  <si>
    <t>mantenimientos reprogramados</t>
  </si>
  <si>
    <t>mantenimientos ejecutados</t>
  </si>
  <si>
    <t>mantenimientos no ejecutados</t>
  </si>
  <si>
    <t>mantenimientos pendientes</t>
  </si>
  <si>
    <t>total d mantenimiento programados</t>
  </si>
  <si>
    <t>costo de mano de obra</t>
  </si>
  <si>
    <t>Suma de Costo_Mano_Obra</t>
  </si>
  <si>
    <t>costo de materiales</t>
  </si>
  <si>
    <t>Suma de Costo_Materiales</t>
  </si>
  <si>
    <t>maquinas inservivles</t>
  </si>
  <si>
    <t>Cuenta de Diagnostico</t>
  </si>
  <si>
    <t>maquinas en reparacion</t>
  </si>
  <si>
    <t>Suma de Tiempo_Demora(Días)</t>
  </si>
  <si>
    <t>Promedio de Tiempo_Demora(Días)</t>
  </si>
  <si>
    <t>falla mas reciente</t>
  </si>
  <si>
    <t>1-Ene</t>
  </si>
  <si>
    <t>2-Ene</t>
  </si>
  <si>
    <t>3-Ene</t>
  </si>
  <si>
    <t>4-Ene</t>
  </si>
  <si>
    <t>5-Ene</t>
  </si>
  <si>
    <t>6-Ene</t>
  </si>
  <si>
    <t>7-Ene</t>
  </si>
  <si>
    <t>8-Ene</t>
  </si>
  <si>
    <t>9-Ene</t>
  </si>
  <si>
    <t>10-Ene</t>
  </si>
  <si>
    <t>11-Ene</t>
  </si>
  <si>
    <t>12-Ene</t>
  </si>
  <si>
    <t>13-Ene</t>
  </si>
  <si>
    <t>15-Ene</t>
  </si>
  <si>
    <t>16-Ene</t>
  </si>
  <si>
    <t>17-Ene</t>
  </si>
  <si>
    <t>19-Ene</t>
  </si>
  <si>
    <t>20-Ene</t>
  </si>
  <si>
    <t>21-Ene</t>
  </si>
  <si>
    <t>22-Ene</t>
  </si>
  <si>
    <t>23-Ene</t>
  </si>
  <si>
    <t>24-Ene</t>
  </si>
  <si>
    <t>25-Ene</t>
  </si>
  <si>
    <t>27-Ene</t>
  </si>
  <si>
    <t>28-Ene</t>
  </si>
  <si>
    <t>29-Ene</t>
  </si>
  <si>
    <t>30-Ene</t>
  </si>
  <si>
    <t>31-Ene</t>
  </si>
  <si>
    <t>fecha maxima</t>
  </si>
  <si>
    <t>hoy</t>
  </si>
  <si>
    <t>canitdad dedias que hap pasado:</t>
  </si>
  <si>
    <t>costo según el estatus</t>
  </si>
  <si>
    <t>Costo de Mano Obra</t>
  </si>
  <si>
    <t>Costo de Materiales</t>
  </si>
  <si>
    <t>1-Feb</t>
  </si>
  <si>
    <t>2-Feb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</si>
  <si>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</si>
  <si>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</si>
  <si>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</si>
  <si>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</si>
  <si>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</si>
  <si>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</si>
  <si>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</si>
  <si>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</si>
  <si>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</si>
  <si>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</si>
  <si>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</si>
  <si>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</si>
  <si>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</si>
  <si>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</si>
  <si>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</si>
  <si>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</si>
  <si>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</si>
  <si>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</si>
  <si>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</si>
  <si>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</si>
  <si>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</si>
  <si>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</si>
  <si>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</si>
  <si>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</si>
  <si>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</si>
  <si>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</si>
  <si>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</si>
  <si>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</si>
  <si>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</si>
  <si>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</si>
  <si>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</si>
  <si>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</si>
  <si>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</si>
  <si>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</si>
  <si>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</si>
  <si>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</si>
  <si>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</si>
  <si>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</si>
  <si>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</si>
  <si>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</si>
  <si>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</si>
  <si>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</si>
  <si>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</si>
  <si>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</si>
  <si>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</si>
  <si>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</si>
  <si>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</si>
  <si>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</si>
  <si>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</si>
  <si>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</si>
  <si>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</si>
  <si>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</si>
  <si>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</si>
  <si>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1-Abr</t>
  </si>
  <si>
    <t>2-Abr</t>
  </si>
  <si>
    <t>3-Abr</t>
  </si>
  <si>
    <t>4-Abr</t>
  </si>
  <si>
    <t>5-Abr</t>
  </si>
  <si>
    <t>6-Abr</t>
  </si>
  <si>
    <t>7-Abr</t>
  </si>
  <si>
    <t>8-Abr</t>
  </si>
  <si>
    <t>9-Abr</t>
  </si>
  <si>
    <t>10-Abr</t>
  </si>
  <si>
    <t>11-Abr</t>
  </si>
  <si>
    <t>12-Abr</t>
  </si>
  <si>
    <t>13-Abr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</si>
  <si>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</si>
  <si>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</si>
  <si>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</si>
  <si>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</si>
  <si>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</si>
  <si>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</si>
  <si>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</si>
  <si>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</si>
  <si>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</si>
  <si>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</si>
  <si>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</si>
  <si>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</si>
  <si>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</si>
  <si>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</si>
  <si>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29-Abr</t>
  </si>
  <si>
    <t>30-Abr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</si>
  <si>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</si>
  <si>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</si>
  <si>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</si>
  <si>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</si>
  <si>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</si>
  <si>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</si>
  <si>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</si>
  <si>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</si>
  <si>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</si>
  <si>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</si>
  <si>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</si>
  <si>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</si>
  <si>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</si>
  <si>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</si>
  <si>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</si>
  <si>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</si>
  <si>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</si>
  <si>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</si>
  <si>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</si>
  <si>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</si>
  <si>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</si>
  <si>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</si>
  <si>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</si>
  <si>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</si>
  <si>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</si>
  <si>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</si>
  <si>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</si>
  <si>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</si>
  <si>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</si>
  <si>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</si>
  <si>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</si>
  <si>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</si>
  <si>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</si>
  <si>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</si>
  <si>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</si>
  <si>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</si>
  <si>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</si>
  <si>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</si>
  <si>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</si>
  <si>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</si>
  <si>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</si>
  <si>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</si>
  <si>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</si>
  <si>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</si>
  <si>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</si>
  <si>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</si>
  <si>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</si>
  <si>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</si>
  <si>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</si>
  <si>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</si>
  <si>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</si>
  <si>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</si>
  <si>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</si>
  <si>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</si>
  <si>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</si>
  <si>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</si>
  <si>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</si>
  <si>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</si>
  <si>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</si>
  <si>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</si>
  <si>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</si>
  <si>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</si>
  <si>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</si>
  <si>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</si>
  <si>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</si>
  <si>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</si>
  <si>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</si>
  <si>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</si>
  <si>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</si>
  <si>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</si>
  <si>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</si>
  <si>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</si>
  <si>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</si>
  <si>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</si>
  <si>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</si>
  <si>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</si>
  <si>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</si>
  <si>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</si>
  <si>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</si>
  <si>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</si>
  <si>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</si>
  <si>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</si>
  <si>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</si>
  <si>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</si>
  <si>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</si>
  <si>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</si>
  <si>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</si>
  <si>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</si>
  <si>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1-Ago</t>
  </si>
  <si>
    <t>2-Ago</t>
  </si>
  <si>
    <t>4-Ago</t>
  </si>
  <si>
    <t>6-Ago</t>
  </si>
  <si>
    <t>7-Ago</t>
  </si>
  <si>
    <t>8-Ago</t>
  </si>
  <si>
    <t>9-Ago</t>
  </si>
  <si>
    <t>10-Ago</t>
  </si>
  <si>
    <t>11-Ago</t>
  </si>
  <si>
    <t>12-Ago</t>
  </si>
  <si>
    <t>13-Ago</t>
  </si>
  <si>
    <t>14-Ago</t>
  </si>
  <si>
    <t>15-Ago</t>
  </si>
  <si>
    <t>16-Ago</t>
  </si>
  <si>
    <t>17-Ago</t>
  </si>
  <si>
    <t>18-Ago</t>
  </si>
  <si>
    <t>19-Ago</t>
  </si>
  <si>
    <t>20-Ago</t>
  </si>
  <si>
    <t>21-Ago</t>
  </si>
  <si>
    <t>22-Ago</t>
  </si>
  <si>
    <t>23-Ago</t>
  </si>
  <si>
    <t>24-Ago</t>
  </si>
  <si>
    <t>26-Ago</t>
  </si>
  <si>
    <t>27-Ago</t>
  </si>
  <si>
    <t>28-Ago</t>
  </si>
  <si>
    <t>29-Ago</t>
  </si>
  <si>
    <t>30-Ago</t>
  </si>
  <si>
    <t>31-Ago</t>
  </si>
  <si>
    <t>1-Set</t>
  </si>
  <si>
    <t>2-Set</t>
  </si>
  <si>
    <t>3-Set</t>
  </si>
  <si>
    <t>4-Set</t>
  </si>
  <si>
    <t>5-Set</t>
  </si>
  <si>
    <t>6-Set</t>
  </si>
  <si>
    <t>7-Set</t>
  </si>
  <si>
    <t>8-Set</t>
  </si>
  <si>
    <t>9-Set</t>
  </si>
  <si>
    <t>10-Set</t>
  </si>
  <si>
    <t>11-Set</t>
  </si>
  <si>
    <t>12-Set</t>
  </si>
  <si>
    <t>13-Set</t>
  </si>
  <si>
    <t>14-Set</t>
  </si>
  <si>
    <t>15-Set</t>
  </si>
  <si>
    <t>16-Set</t>
  </si>
  <si>
    <t>18-Set</t>
  </si>
  <si>
    <t>19-Set</t>
  </si>
  <si>
    <t>20-Set</t>
  </si>
  <si>
    <t>21-Set</t>
  </si>
  <si>
    <t>22-Set</t>
  </si>
  <si>
    <t>24-Set</t>
  </si>
  <si>
    <t>25-Set</t>
  </si>
  <si>
    <t>26-Set</t>
  </si>
  <si>
    <t>28-Set</t>
  </si>
  <si>
    <t>29-Set</t>
  </si>
  <si>
    <t>30-Set</t>
  </si>
  <si>
    <t>1-Oct</t>
  </si>
  <si>
    <t>2-Oct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</si>
  <si>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</si>
  <si>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</si>
  <si>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</si>
  <si>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</si>
  <si>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</si>
  <si>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</si>
  <si>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</si>
  <si>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</si>
  <si>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</si>
  <si>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</si>
  <si>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15-Oct</t>
  </si>
  <si>
    <t>16-Oct</t>
  </si>
  <si>
    <t>17-Oct</t>
  </si>
  <si>
    <t>18-Oct</t>
  </si>
  <si>
    <t>20-Oct</t>
  </si>
  <si>
    <t>21-Oct</t>
  </si>
  <si>
    <t>22-Oct</t>
  </si>
  <si>
    <t>23-Oct</t>
  </si>
  <si>
    <t>24-Oct</t>
  </si>
  <si>
    <t>26-Oct</t>
  </si>
  <si>
    <t>28-Oct</t>
  </si>
  <si>
    <t>29-Oct</t>
  </si>
  <si>
    <t>30-Oct</t>
  </si>
  <si>
    <t>31-Oct</t>
  </si>
  <si>
    <t>2-Nov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</si>
  <si>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</si>
  <si>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</si>
  <si>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</si>
  <si>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</si>
  <si>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</si>
  <si>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</si>
  <si>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</si>
  <si>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</si>
  <si>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</si>
  <si>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</si>
  <si>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</si>
  <si>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</si>
  <si>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</si>
  <si>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</si>
  <si>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</si>
  <si>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</si>
  <si>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</si>
  <si>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</si>
  <si>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</si>
  <si>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</si>
  <si>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</si>
  <si>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29-Nov</t>
  </si>
  <si>
    <t>30-Nov</t>
  </si>
  <si>
    <t>1-Dic</t>
  </si>
  <si>
    <t>2-Dic</t>
  </si>
  <si>
    <t>3-Dic</t>
  </si>
  <si>
    <t>4-Dic</t>
  </si>
  <si>
    <t>5-Dic</t>
  </si>
  <si>
    <t>6-Dic</t>
  </si>
  <si>
    <t>7-Dic</t>
  </si>
  <si>
    <t>8-Dic</t>
  </si>
  <si>
    <t>9-Dic</t>
  </si>
  <si>
    <t>10-Dic</t>
  </si>
  <si>
    <t>11-Dic</t>
  </si>
  <si>
    <t>12-Dic</t>
  </si>
  <si>
    <t>13-Dic</t>
  </si>
  <si>
    <t>14-Dic</t>
  </si>
  <si>
    <t>15-Dic</t>
  </si>
  <si>
    <t>16-Dic</t>
  </si>
  <si>
    <t>18-Dic</t>
  </si>
  <si>
    <t>20-Dic</t>
  </si>
  <si>
    <t>21-Dic</t>
  </si>
  <si>
    <t>22-Dic</t>
  </si>
  <si>
    <t>23-Dic</t>
  </si>
  <si>
    <t>24-Dic</t>
  </si>
  <si>
    <t>25-Dic</t>
  </si>
  <si>
    <t>26-Dic</t>
  </si>
  <si>
    <t>27-Dic</t>
  </si>
  <si>
    <t>28-Dic</t>
  </si>
  <si>
    <t>29-Dic</t>
  </si>
  <si>
    <t>Etiquetas de columna</t>
  </si>
  <si>
    <t>cantidad de equipos con fallas según el estatus</t>
  </si>
  <si>
    <t>top 10 marcas con mas fallas</t>
  </si>
  <si>
    <t>Cuenta de Marca</t>
  </si>
  <si>
    <t>Cuenta de Tipo_Equipo</t>
  </si>
  <si>
    <t>fallas por tipo de quipo</t>
  </si>
  <si>
    <t>T1</t>
  </si>
  <si>
    <t>T2</t>
  </si>
  <si>
    <t>T3</t>
  </si>
  <si>
    <t>T4</t>
  </si>
  <si>
    <t>tiempo de demora por tipo de quipo</t>
  </si>
  <si>
    <t>fallas por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</si>
</sst>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5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0" fillId="4" borderId="0" xfId="0" applyFill="1"/>
  </cellXfs>
  <cellStyles count="3">
    <cellStyle name="Millares" xfId="1" builtinId="3"/>
    <cellStyle name="Normal" xfId="0" builtinId="0"/>
    <cellStyle name="Porcentaje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19" formatCode="d/mm/yyyy"/>
    </dxf>
    <dxf>
      <numFmt numFmtId="19" formatCode="d/mm/yyyy"/>
    </dxf>
    <dxf>
      <numFmt numFmtId="19" formatCode="d/mm/yyyy"/>
    </dxf>
    <dxf>
      <font>
        <sz val="10"/>
        <color rgb="FF6661C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</font>
      <fill>
        <patternFill patternType="solid">
          <bgColor rgb="FFD6D5EF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4 2" pivot="0" table="0" count="10" xr9:uid="{46D06096-D4F2-47B6-A55F-5B21CB01BA5D}">
      <tableStyleElement type="wholeTable" dxfId="6"/>
      <tableStyleElement type="headerRow" dxfId="5"/>
    </tableStyle>
  </tableStyles>
  <colors>
    <mruColors>
      <color rgb="FF6661C1"/>
      <color rgb="FF9B98D8"/>
      <color rgb="FFD6D5EF"/>
      <color rgb="FF7781FD"/>
      <color rgb="FF3C65D8"/>
      <color rgb="FF334991"/>
      <color rgb="FF4E59FD"/>
      <color rgb="FF000148"/>
      <color rgb="FFCB3D19"/>
      <color rgb="FF62232C"/>
    </mruColors>
  </colors>
  <extLst>
    <ext xmlns:x14="http://schemas.microsoft.com/office/spreadsheetml/2009/9/main" uri="{46F421CA-312F-682f-3DD2-61675219B42D}">
      <x14:dxfs count="8">
        <dxf>
          <font>
            <sz val="9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6661C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auto="1"/>
              <bgColor rgb="FF6661C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rgb="FF6661C1"/>
              <bgColor rgb="FF6661C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sz val="9"/>
            <color rgb="FF6661C1"/>
          </font>
          <fill>
            <patternFill patternType="solid">
              <fgColor rgb="FF7781FD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4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3A399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3A3996"/>
                  </a:gs>
                  <a:gs pos="100000">
                    <a:srgbClr val="A19EDA"/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96F-4987-BEAB-8775FEE34885}"/>
              </c:ext>
            </c:extLst>
          </c:dPt>
          <c:val>
            <c:numRef>
              <c:f>Analisis!$B$8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F-4987-BEAB-8775FEE3488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Analisis!$C$8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F-4987-BEAB-8775FEE34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541838456"/>
        <c:axId val="879320624"/>
      </c:barChart>
      <c:catAx>
        <c:axId val="541838456"/>
        <c:scaling>
          <c:orientation val="minMax"/>
        </c:scaling>
        <c:delete val="1"/>
        <c:axPos val="l"/>
        <c:majorTickMark val="none"/>
        <c:minorTickMark val="none"/>
        <c:tickLblPos val="nextTo"/>
        <c:crossAx val="879320624"/>
        <c:crosses val="autoZero"/>
        <c:auto val="1"/>
        <c:lblAlgn val="ctr"/>
        <c:lblOffset val="100"/>
        <c:noMultiLvlLbl val="0"/>
      </c:catAx>
      <c:valAx>
        <c:axId val="87932062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4183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3A3996"/>
              </a:gs>
              <a:gs pos="100000">
                <a:srgbClr val="A19EDA"/>
              </a:gs>
            </a:gsLst>
            <a:path path="circle">
              <a:fillToRect r="100000" b="100000"/>
            </a:path>
            <a:tileRect l="-100000" t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A3996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3A3996"/>
                </a:gs>
                <a:gs pos="100000">
                  <a:srgbClr val="A19EDA"/>
                </a:gs>
              </a:gsLst>
              <a:path path="circle">
                <a:fillToRect r="100000" b="100000"/>
              </a:path>
              <a:tileRect l="-100000" t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A3996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Analisis!$C$13:$C$25</c:f>
              <c:numCache>
                <c:formatCode>General</c:formatCode>
                <c:ptCount val="12"/>
                <c:pt idx="0">
                  <c:v>59</c:v>
                </c:pt>
                <c:pt idx="1">
                  <c:v>58</c:v>
                </c:pt>
                <c:pt idx="2">
                  <c:v>53</c:v>
                </c:pt>
                <c:pt idx="3">
                  <c:v>58</c:v>
                </c:pt>
                <c:pt idx="4">
                  <c:v>57</c:v>
                </c:pt>
                <c:pt idx="5">
                  <c:v>54</c:v>
                </c:pt>
                <c:pt idx="6">
                  <c:v>46</c:v>
                </c:pt>
                <c:pt idx="7">
                  <c:v>65</c:v>
                </c:pt>
                <c:pt idx="8">
                  <c:v>53</c:v>
                </c:pt>
                <c:pt idx="9">
                  <c:v>52</c:v>
                </c:pt>
                <c:pt idx="10">
                  <c:v>29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3-4622-B8D4-834B8E68A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6"/>
        <c:overlap val="-27"/>
        <c:axId val="764240880"/>
        <c:axId val="543647040"/>
      </c:barChart>
      <c:catAx>
        <c:axId val="7642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3647040"/>
        <c:crosses val="autoZero"/>
        <c:auto val="1"/>
        <c:lblAlgn val="ctr"/>
        <c:lblOffset val="100"/>
        <c:noMultiLvlLbl val="0"/>
      </c:catAx>
      <c:valAx>
        <c:axId val="543647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42408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3A3996"/>
              </a:gs>
              <a:gs pos="100000">
                <a:srgbClr val="A19EDA"/>
              </a:gs>
            </a:gsLst>
            <a:path path="circle">
              <a:fillToRect r="100000" b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61C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Analisis!$F$12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3996"/>
                </a:gs>
                <a:gs pos="100000">
                  <a:srgbClr val="A19EDA"/>
                </a:gs>
              </a:gsLst>
              <a:path path="circle">
                <a:fillToRect r="100000" b="10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661C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Analisis!$E$13:$E$25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Analisis!$F$13:$F$25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4</c:v>
                </c:pt>
                <c:pt idx="7">
                  <c:v>10</c:v>
                </c:pt>
                <c:pt idx="8">
                  <c:v>7</c:v>
                </c:pt>
                <c:pt idx="9">
                  <c:v>9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5-4CAC-B013-8E57A2BC6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6"/>
        <c:overlap val="-27"/>
        <c:axId val="769662608"/>
        <c:axId val="769659728"/>
      </c:barChart>
      <c:catAx>
        <c:axId val="76966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9659728"/>
        <c:crosses val="autoZero"/>
        <c:auto val="1"/>
        <c:lblAlgn val="ctr"/>
        <c:lblOffset val="100"/>
        <c:noMultiLvlLbl val="0"/>
      </c:catAx>
      <c:valAx>
        <c:axId val="769659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66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6661C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Analisis!$H$8</c:f>
              <c:numCache>
                <c:formatCode>0.0%</c:formatCode>
                <c:ptCount val="1"/>
                <c:pt idx="0">
                  <c:v>0.52689873417721522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2-44B5-841C-1CF4D134C2FF}"/>
            </c:ext>
          </c:extLst>
        </c:ser>
        <c:ser>
          <c:idx val="1"/>
          <c:order val="1"/>
          <c:tx>
            <c:strRef>
              <c:f>Analisis!$I$8</c:f>
              <c:strCache>
                <c:ptCount val="1"/>
                <c:pt idx="0">
                  <c:v>47.3%</c:v>
                </c:pt>
              </c:strCache>
            </c:strRef>
          </c:tx>
          <c:spPr>
            <a:solidFill>
              <a:srgbClr val="D6D5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19ED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Analisis!$I$8</c:f>
              <c:numCache>
                <c:formatCode>0.0%</c:formatCode>
                <c:ptCount val="1"/>
                <c:pt idx="0">
                  <c:v>0.47310126582278478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2-44B5-841C-1CF4D134C2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886621968"/>
        <c:axId val="886621608"/>
      </c:barChart>
      <c:catAx>
        <c:axId val="886621968"/>
        <c:scaling>
          <c:orientation val="minMax"/>
        </c:scaling>
        <c:delete val="1"/>
        <c:axPos val="l"/>
        <c:majorTickMark val="none"/>
        <c:minorTickMark val="none"/>
        <c:tickLblPos val="nextTo"/>
        <c:crossAx val="886621608"/>
        <c:crosses val="autoZero"/>
        <c:auto val="1"/>
        <c:lblAlgn val="ctr"/>
        <c:lblOffset val="100"/>
        <c:noMultiLvlLbl val="0"/>
      </c:catAx>
      <c:valAx>
        <c:axId val="8866216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88662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3A3996"/>
              </a:gs>
              <a:gs pos="100000">
                <a:srgbClr val="A19EDA"/>
              </a:gs>
            </a:gsLst>
            <a:path path="circle">
              <a:fillToRect r="100000" b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61C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Analisis!$I$12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3996"/>
                </a:gs>
                <a:gs pos="100000">
                  <a:srgbClr val="A19EDA"/>
                </a:gs>
              </a:gsLst>
              <a:path path="circle">
                <a:fillToRect r="100000" b="10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661C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Analisis!$H$13:$H$25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Analisis!$I$13:$I$25</c:f>
              <c:numCache>
                <c:formatCode>General</c:formatCode>
                <c:ptCount val="12"/>
                <c:pt idx="0">
                  <c:v>33</c:v>
                </c:pt>
                <c:pt idx="1">
                  <c:v>29</c:v>
                </c:pt>
                <c:pt idx="2">
                  <c:v>32</c:v>
                </c:pt>
                <c:pt idx="3">
                  <c:v>33</c:v>
                </c:pt>
                <c:pt idx="4">
                  <c:v>29</c:v>
                </c:pt>
                <c:pt idx="5">
                  <c:v>26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  <c:pt idx="9">
                  <c:v>26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6-42A6-87A9-BD48C61C9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6"/>
        <c:overlap val="-27"/>
        <c:axId val="933001488"/>
        <c:axId val="933000768"/>
      </c:barChart>
      <c:catAx>
        <c:axId val="93300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3000768"/>
        <c:crosses val="autoZero"/>
        <c:auto val="1"/>
        <c:lblAlgn val="ctr"/>
        <c:lblOffset val="100"/>
        <c:noMultiLvlLbl val="0"/>
      </c:catAx>
      <c:valAx>
        <c:axId val="93300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300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556123533583087E-2"/>
          <c:y val="0.24053030303030304"/>
          <c:w val="0.92853488847963972"/>
          <c:h val="0.53898358585858586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6661C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4968283200327378E-3"/>
                  <c:y val="2.00441919191918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E8-43DA-BD38-334F3A275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Analisis!$E$8</c:f>
              <c:numCache>
                <c:formatCode>0.0%</c:formatCode>
                <c:ptCount val="1"/>
                <c:pt idx="0">
                  <c:v>0.12974683544303797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8-43DA-BD38-334F3A275114}"/>
            </c:ext>
          </c:extLst>
        </c:ser>
        <c:ser>
          <c:idx val="1"/>
          <c:order val="1"/>
          <c:spPr>
            <a:solidFill>
              <a:srgbClr val="D6D5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19ED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Analisis!$F$8</c:f>
              <c:numCache>
                <c:formatCode>0.0%</c:formatCode>
                <c:ptCount val="1"/>
                <c:pt idx="0">
                  <c:v>0.870253164556962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8-43DA-BD38-334F3A2751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541838816"/>
        <c:axId val="541840976"/>
      </c:barChart>
      <c:catAx>
        <c:axId val="541838816"/>
        <c:scaling>
          <c:orientation val="minMax"/>
        </c:scaling>
        <c:delete val="1"/>
        <c:axPos val="l"/>
        <c:majorTickMark val="none"/>
        <c:minorTickMark val="none"/>
        <c:tickLblPos val="nextTo"/>
        <c:crossAx val="541840976"/>
        <c:crosses val="autoZero"/>
        <c:auto val="1"/>
        <c:lblAlgn val="ctr"/>
        <c:lblOffset val="100"/>
        <c:noMultiLvlLbl val="0"/>
      </c:catAx>
      <c:valAx>
        <c:axId val="54184097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4183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6661C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4980349839877166E-3"/>
                  <c:y val="-4.60253856795025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92-429E-862F-7B94A66E40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Analisis!$K$8</c:f>
              <c:numCache>
                <c:formatCode>0.0%</c:formatCode>
                <c:ptCount val="1"/>
                <c:pt idx="0">
                  <c:v>0.23101265822784811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2-429E-862F-7B94A66E4076}"/>
            </c:ext>
          </c:extLst>
        </c:ser>
        <c:ser>
          <c:idx val="1"/>
          <c:order val="1"/>
          <c:spPr>
            <a:solidFill>
              <a:srgbClr val="D6D5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19ED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Analisis!$L$8</c:f>
              <c:numCache>
                <c:formatCode>0.0%</c:formatCode>
                <c:ptCount val="1"/>
                <c:pt idx="0">
                  <c:v>0.76898734177215189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2-429E-862F-7B94A66E40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886621968"/>
        <c:axId val="886621608"/>
      </c:barChart>
      <c:catAx>
        <c:axId val="886621968"/>
        <c:scaling>
          <c:orientation val="minMax"/>
        </c:scaling>
        <c:delete val="1"/>
        <c:axPos val="l"/>
        <c:majorTickMark val="none"/>
        <c:minorTickMark val="none"/>
        <c:tickLblPos val="nextTo"/>
        <c:crossAx val="886621608"/>
        <c:crosses val="autoZero"/>
        <c:auto val="1"/>
        <c:lblAlgn val="ctr"/>
        <c:lblOffset val="100"/>
        <c:noMultiLvlLbl val="0"/>
      </c:catAx>
      <c:valAx>
        <c:axId val="8866216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88662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073797173149225E-2"/>
          <c:y val="0.21774674977516129"/>
          <c:w val="0.92836470518255965"/>
          <c:h val="0.56450650044967743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61C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CC-429D-9EF1-54E3E01C715E}"/>
              </c:ext>
            </c:extLst>
          </c:dPt>
          <c:dLbls>
            <c:dLbl>
              <c:idx val="0"/>
              <c:layout>
                <c:manualLayout>
                  <c:x val="1.3024599057716408E-2"/>
                  <c:y val="1.97951590704692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CC-429D-9EF1-54E3E01C71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Analisis!$N$8</c:f>
              <c:numCache>
                <c:formatCode>0.0%</c:formatCode>
                <c:ptCount val="1"/>
                <c:pt idx="0">
                  <c:v>0.11234177215189874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C-429D-9EF1-54E3E01C715E}"/>
            </c:ext>
          </c:extLst>
        </c:ser>
        <c:ser>
          <c:idx val="1"/>
          <c:order val="1"/>
          <c:spPr>
            <a:solidFill>
              <a:srgbClr val="D6D5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A19ED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Analisis!$O$8</c:f>
              <c:numCache>
                <c:formatCode>0.0%</c:formatCode>
                <c:ptCount val="1"/>
                <c:pt idx="0">
                  <c:v>0.88765822784810122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CC-429D-9EF1-54E3E01C71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100"/>
        <c:axId val="886621968"/>
        <c:axId val="886621608"/>
      </c:barChart>
      <c:catAx>
        <c:axId val="886621968"/>
        <c:scaling>
          <c:orientation val="minMax"/>
        </c:scaling>
        <c:delete val="1"/>
        <c:axPos val="l"/>
        <c:majorTickMark val="none"/>
        <c:minorTickMark val="none"/>
        <c:tickLblPos val="nextTo"/>
        <c:crossAx val="886621608"/>
        <c:crosses val="autoZero"/>
        <c:auto val="1"/>
        <c:lblAlgn val="ctr"/>
        <c:lblOffset val="100"/>
        <c:noMultiLvlLbl val="0"/>
      </c:catAx>
      <c:valAx>
        <c:axId val="8866216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88662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3A3996"/>
              </a:gs>
              <a:gs pos="100000">
                <a:srgbClr val="A19EDA"/>
              </a:gs>
            </a:gsLst>
            <a:path path="circle">
              <a:fillToRect r="100000" b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61C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Analisis!$O$12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3996"/>
                </a:gs>
                <a:gs pos="100000">
                  <a:srgbClr val="A19EDA"/>
                </a:gs>
              </a:gsLst>
              <a:path path="circle">
                <a:fillToRect r="100000" b="10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661C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Analisis!$N$13:$N$25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Analisis!$O$13:$O$25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0-4AAC-B470-2DA566FEF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6"/>
        <c:overlap val="-27"/>
        <c:axId val="769100008"/>
        <c:axId val="932480224"/>
      </c:barChart>
      <c:catAx>
        <c:axId val="76910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2480224"/>
        <c:crosses val="autoZero"/>
        <c:auto val="1"/>
        <c:lblAlgn val="ctr"/>
        <c:lblOffset val="100"/>
        <c:noMultiLvlLbl val="0"/>
      </c:catAx>
      <c:valAx>
        <c:axId val="932480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91000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3A3996"/>
              </a:gs>
              <a:gs pos="100000">
                <a:srgbClr val="A19EDA"/>
              </a:gs>
            </a:gsLst>
            <a:path path="circle">
              <a:fillToRect r="100000" b="10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61C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Analisis!$L$12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3A3996"/>
                </a:gs>
                <a:gs pos="100000">
                  <a:srgbClr val="A19EDA"/>
                </a:gs>
              </a:gsLst>
              <a:path path="circle">
                <a:fillToRect r="100000" b="100000"/>
              </a:path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661C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Analisis!$K$13:$K$25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Analisis!$L$13:$L$25</c:f>
              <c:numCache>
                <c:formatCode>General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13</c:v>
                </c:pt>
                <c:pt idx="6">
                  <c:v>12</c:v>
                </c:pt>
                <c:pt idx="7">
                  <c:v>19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2-4FA2-BE6C-63881BC5A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6"/>
        <c:overlap val="-27"/>
        <c:axId val="928463456"/>
        <c:axId val="928457336"/>
      </c:barChart>
      <c:catAx>
        <c:axId val="9284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57336"/>
        <c:crosses val="autoZero"/>
        <c:auto val="1"/>
        <c:lblAlgn val="ctr"/>
        <c:lblOffset val="100"/>
        <c:noMultiLvlLbl val="0"/>
      </c:catAx>
      <c:valAx>
        <c:axId val="928457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846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DE CONTROL DE MANTENIMIENTO - PERIODO 2023.xlsx]Analisis!TablaDinámica18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3A3996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rgbClr val="3A3996"/>
                </a:solidFill>
              </a:rPr>
              <a:t>Tiempo de Demora</a:t>
            </a:r>
            <a:r>
              <a:rPr lang="en-US" sz="1200" baseline="0">
                <a:solidFill>
                  <a:srgbClr val="3A3996"/>
                </a:solidFill>
              </a:rPr>
              <a:t> por Tipo de Equipo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3A3996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84316604743657"/>
              <c:y val="-2.13740519682304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079140581482246"/>
              <c:y val="-8.54962078729216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582737398620893"/>
              <c:y val="-2.137405196823041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9784190971681152E-2"/>
              <c:y val="0.2308397612568885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201442968628261"/>
              <c:y val="4.2748103936460832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D8AD2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Analisis!$C$80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D3-43C7-9FBE-7A661804F0B6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D3-43C7-9FBE-7A661804F0B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D3-43C7-9FBE-7A661804F0B6}"/>
              </c:ext>
            </c:extLst>
          </c:dPt>
          <c:dPt>
            <c:idx val="3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D3-43C7-9FBE-7A661804F0B6}"/>
              </c:ext>
            </c:extLst>
          </c:dPt>
          <c:dPt>
            <c:idx val="4"/>
            <c:bubble3D val="0"/>
            <c:spPr>
              <a:solidFill>
                <a:schemeClr val="accent5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D3-43C7-9FBE-7A661804F0B6}"/>
              </c:ext>
            </c:extLst>
          </c:dPt>
          <c:dLbls>
            <c:dLbl>
              <c:idx val="0"/>
              <c:layout>
                <c:manualLayout>
                  <c:x val="-0.284316604743657"/>
                  <c:y val="-2.13740519682304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D3-43C7-9FBE-7A661804F0B6}"/>
                </c:ext>
              </c:extLst>
            </c:dLbl>
            <c:dLbl>
              <c:idx val="1"/>
              <c:layout>
                <c:manualLayout>
                  <c:x val="0.19079140581482246"/>
                  <c:y val="-8.5496207872921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D3-43C7-9FBE-7A661804F0B6}"/>
                </c:ext>
              </c:extLst>
            </c:dLbl>
            <c:dLbl>
              <c:idx val="2"/>
              <c:layout>
                <c:manualLayout>
                  <c:x val="0.17582737398620893"/>
                  <c:y val="-2.13740519682304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CD3-43C7-9FBE-7A661804F0B6}"/>
                </c:ext>
              </c:extLst>
            </c:dLbl>
            <c:dLbl>
              <c:idx val="3"/>
              <c:layout>
                <c:manualLayout>
                  <c:x val="8.9784190971681152E-2"/>
                  <c:y val="0.2308397612568885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CD3-43C7-9FBE-7A661804F0B6}"/>
                </c:ext>
              </c:extLst>
            </c:dLbl>
            <c:dLbl>
              <c:idx val="4"/>
              <c:layout>
                <c:manualLayout>
                  <c:x val="-0.20201442968628261"/>
                  <c:y val="4.274810393646083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CD3-43C7-9FBE-7A661804F0B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D8AD2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Analisis!$B$81:$B$86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Analisis!$C$81:$C$86</c:f>
              <c:numCache>
                <c:formatCode>General</c:formatCode>
                <c:ptCount val="5"/>
                <c:pt idx="0">
                  <c:v>101</c:v>
                </c:pt>
                <c:pt idx="1">
                  <c:v>1151</c:v>
                </c:pt>
                <c:pt idx="2">
                  <c:v>176</c:v>
                </c:pt>
                <c:pt idx="3">
                  <c:v>116</c:v>
                </c:pt>
                <c:pt idx="4">
                  <c:v>4056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3-43C7-9FBE-7A661804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DE CONTROL DE MANTENIMIENTO - PERIODO 2023.xlsx]Analisis!TablaDinámica19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3A3996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3A3996"/>
                </a:solidFill>
                <a:latin typeface="+mn-lt"/>
                <a:ea typeface="+mn-ea"/>
                <a:cs typeface="+mn-cs"/>
              </a:rPr>
              <a:t>Costo según el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3A3996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C65D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C65D8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781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781FD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85227665454069"/>
          <c:y val="0.16024036305800363"/>
          <c:w val="0.83951162644859534"/>
          <c:h val="0.644009388783995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Analisis!$F$80</c:f>
              <c:strCache>
                <c:ptCount val="1"/>
                <c:pt idx="0">
                  <c:v>Costo de Mano Obra</c:v>
                </c:pt>
              </c:strCache>
            </c:strRef>
          </c:tx>
          <c:spPr>
            <a:solidFill>
              <a:srgbClr val="3C65D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C65D8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Analisis!$E$81:$E$83</c:f>
              <c:strCache>
                <c:ptCount val="2"/>
                <c:pt idx="0">
                  <c:v>Correctivo</c:v>
                </c:pt>
                <c:pt idx="1">
                  <c:v>Preventivo</c:v>
                </c:pt>
              </c:strCache>
            </c:strRef>
          </c:cat>
          <c:val>
            <c:numRef>
              <c:f>Analisis!$F$81:$F$83</c:f>
              <c:numCache>
                <c:formatCode>_-* #,##0_-;\-* #,##0_-;_-* "-"??_-;_-@_-</c:formatCode>
                <c:ptCount val="2"/>
                <c:pt idx="0">
                  <c:v>261526</c:v>
                </c:pt>
                <c:pt idx="1">
                  <c:v>181640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5-427A-8211-8C7C49CF0DD8}"/>
            </c:ext>
          </c:extLst>
        </c:ser>
        <c:ser>
          <c:idx val="1"/>
          <c:order val="1"/>
          <c:tx>
            <c:strRef>
              <c:f>Analisis!$G$80</c:f>
              <c:strCache>
                <c:ptCount val="1"/>
                <c:pt idx="0">
                  <c:v>Costo de Materiales</c:v>
                </c:pt>
              </c:strCache>
            </c:strRef>
          </c:tx>
          <c:spPr>
            <a:solidFill>
              <a:srgbClr val="7781F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781FD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Analisis!$E$81:$E$83</c:f>
              <c:strCache>
                <c:ptCount val="2"/>
                <c:pt idx="0">
                  <c:v>Correctivo</c:v>
                </c:pt>
                <c:pt idx="1">
                  <c:v>Preventivo</c:v>
                </c:pt>
              </c:strCache>
            </c:strRef>
          </c:cat>
          <c:val>
            <c:numRef>
              <c:f>Analisis!$G$81:$G$83</c:f>
              <c:numCache>
                <c:formatCode>_-* #,##0_-;\-* #,##0_-;_-* "-"??_-;_-@_-</c:formatCode>
                <c:ptCount val="2"/>
                <c:pt idx="0">
                  <c:v>200578</c:v>
                </c:pt>
                <c:pt idx="1">
                  <c:v>148348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5-427A-8211-8C7C49CF0D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99"/>
        <c:overlap val="-27"/>
        <c:axId val="928464176"/>
        <c:axId val="928464536"/>
      </c:barChart>
      <c:catAx>
        <c:axId val="9284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4536"/>
        <c:crosses val="autoZero"/>
        <c:auto val="1"/>
        <c:lblAlgn val="ctr"/>
        <c:lblOffset val="100"/>
        <c:noMultiLvlLbl val="0"/>
      </c:catAx>
      <c:valAx>
        <c:axId val="928464536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[DASHBOARD DE CONTROL DE MANTENIMIENTO - PERIODO 2023.xlsx]Analisis!TablaDinámica20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3A3996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3A3996"/>
                </a:solidFill>
                <a:latin typeface="+mn-lt"/>
                <a:ea typeface="+mn-ea"/>
                <a:cs typeface="+mn-cs"/>
              </a:rPr>
              <a:t>Cantidad de equipos con fallas según el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3A3996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A3996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61C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436213991769551E-2"/>
          <c:y val="0.16041013071895424"/>
          <c:w val="0.87736625514403288"/>
          <c:h val="0.64870228758169934"/>
        </c:manualLayout>
      </c:layout>
      <c:lineChart>
        <c:grouping val="standard"/>
        <c:varyColors val="0"/>
        <c:ser>
          <c:idx val="0"/>
          <c:order val="0"/>
          <c:tx>
            <c:strRef>
              <c:f>Analisis!$J$80:$J$81</c:f>
              <c:strCache>
                <c:ptCount val="1"/>
                <c:pt idx="0">
                  <c:v>Correctivo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A3996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Analisis!$I$82:$I$94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Analisis!$J$82:$J$94</c:f>
              <c:numCache>
                <c:formatCode>General</c:formatCode>
                <c:ptCount val="12"/>
                <c:pt idx="0">
                  <c:v>71</c:v>
                </c:pt>
                <c:pt idx="1">
                  <c:v>63</c:v>
                </c:pt>
                <c:pt idx="2">
                  <c:v>69</c:v>
                </c:pt>
                <c:pt idx="3">
                  <c:v>59</c:v>
                </c:pt>
                <c:pt idx="4">
                  <c:v>80</c:v>
                </c:pt>
                <c:pt idx="5">
                  <c:v>71</c:v>
                </c:pt>
                <c:pt idx="6">
                  <c:v>52</c:v>
                </c:pt>
                <c:pt idx="7">
                  <c:v>74</c:v>
                </c:pt>
                <c:pt idx="8">
                  <c:v>73</c:v>
                </c:pt>
                <c:pt idx="9">
                  <c:v>70</c:v>
                </c:pt>
                <c:pt idx="10">
                  <c:v>45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B2-4ABB-B6D1-2558CB63098B}"/>
            </c:ext>
          </c:extLst>
        </c:ser>
        <c:ser>
          <c:idx val="1"/>
          <c:order val="1"/>
          <c:tx>
            <c:strRef>
              <c:f>Analisis!$K$80:$K$81</c:f>
              <c:strCache>
                <c:ptCount val="1"/>
                <c:pt idx="0">
                  <c:v>Preventivo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661C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Analisis!$I$82:$I$94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Analisis!$K$82:$K$94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24</c:v>
                </c:pt>
                <c:pt idx="3">
                  <c:v>28</c:v>
                </c:pt>
                <c:pt idx="4">
                  <c:v>26</c:v>
                </c:pt>
                <c:pt idx="5">
                  <c:v>23</c:v>
                </c:pt>
                <c:pt idx="6">
                  <c:v>19</c:v>
                </c:pt>
                <c:pt idx="7">
                  <c:v>22</c:v>
                </c:pt>
                <c:pt idx="8">
                  <c:v>21</c:v>
                </c:pt>
                <c:pt idx="9">
                  <c:v>21</c:v>
                </c:pt>
                <c:pt idx="10">
                  <c:v>12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D-4ADF-8944-A6789CA0F2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2999464"/>
        <c:axId val="934348664"/>
      </c:lineChart>
      <c:catAx>
        <c:axId val="100299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4348664"/>
        <c:crosses val="autoZero"/>
        <c:auto val="1"/>
        <c:lblAlgn val="ctr"/>
        <c:lblOffset val="100"/>
        <c:noMultiLvlLbl val="0"/>
      </c:catAx>
      <c:valAx>
        <c:axId val="93434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661C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99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rPr>
              <a:t>Top 10 marcas con mas fallas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62232C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62232C"/>
              </a:gs>
              <a:gs pos="100000">
                <a:srgbClr val="BA888A"/>
              </a:gs>
              <a:gs pos="56000">
                <a:srgbClr val="7C484A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C484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CB3D19"/>
              </a:gs>
              <a:gs pos="100000">
                <a:srgbClr val="FCAD4E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B8C07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0">
                <a:srgbClr val="62232C"/>
              </a:gs>
              <a:gs pos="100000">
                <a:srgbClr val="BA888A"/>
              </a:gs>
              <a:gs pos="56000">
                <a:srgbClr val="7C484A"/>
              </a:gs>
            </a:gsLst>
            <a:lin ang="5400000" scaled="1"/>
          </a:gra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38413799914224E-2"/>
          <c:y val="0.16467223564143854"/>
          <c:w val="0.89210034825938589"/>
          <c:h val="0.63936829039184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Analisis!$C$110:$C$111</c:f>
              <c:strCache>
                <c:ptCount val="1"/>
                <c:pt idx="0">
                  <c:v>Inservible</c:v>
                </c:pt>
              </c:strCache>
            </c:strRef>
          </c:tx>
          <c:spPr>
            <a:gradFill>
              <a:gsLst>
                <a:gs pos="0">
                  <a:srgbClr val="62232C"/>
                </a:gs>
                <a:gs pos="100000">
                  <a:srgbClr val="BA888A"/>
                </a:gs>
                <a:gs pos="56000">
                  <a:srgbClr val="7C484A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C484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Analisis!$B$112:$B$122</c:f>
              <c:strCache>
                <c:ptCount val="10"/>
                <c:pt idx="0">
                  <c:v>Acern</c:v>
                </c:pt>
                <c:pt idx="1">
                  <c:v>ARock</c:v>
                </c:pt>
                <c:pt idx="2">
                  <c:v>Asis</c:v>
                </c:pt>
                <c:pt idx="3">
                  <c:v>Cany</c:v>
                </c:pt>
                <c:pt idx="4">
                  <c:v>Ciscoy</c:v>
                </c:pt>
                <c:pt idx="5">
                  <c:v>Egel</c:v>
                </c:pt>
                <c:pt idx="6">
                  <c:v>eiro</c:v>
                </c:pt>
                <c:pt idx="7">
                  <c:v>Logit</c:v>
                </c:pt>
                <c:pt idx="8">
                  <c:v>Loiss</c:v>
                </c:pt>
                <c:pt idx="9">
                  <c:v>Mik</c:v>
                </c:pt>
              </c:strCache>
            </c:strRef>
          </c:cat>
          <c:val>
            <c:numRef>
              <c:f>Analisis!$C$112:$C$122</c:f>
              <c:numCache>
                <c:formatCode>General</c:formatCode>
                <c:ptCount val="10"/>
                <c:pt idx="0">
                  <c:v>19</c:v>
                </c:pt>
                <c:pt idx="1">
                  <c:v>23</c:v>
                </c:pt>
                <c:pt idx="2">
                  <c:v>25</c:v>
                </c:pt>
                <c:pt idx="3">
                  <c:v>19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16</c:v>
                </c:pt>
                <c:pt idx="8">
                  <c:v>17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6-4DB8-A75A-F6B1E4FCCC87}"/>
            </c:ext>
          </c:extLst>
        </c:ser>
        <c:ser>
          <c:idx val="1"/>
          <c:order val="1"/>
          <c:tx>
            <c:strRef>
              <c:f>Analisis!$D$110:$D$111</c:f>
              <c:strCache>
                <c:ptCount val="1"/>
                <c:pt idx="0">
                  <c:v>Reparación</c:v>
                </c:pt>
              </c:strCache>
            </c:strRef>
          </c:tx>
          <c:spPr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B8C07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Analisis!$B$112:$B$122</c:f>
              <c:strCache>
                <c:ptCount val="10"/>
                <c:pt idx="0">
                  <c:v>Acern</c:v>
                </c:pt>
                <c:pt idx="1">
                  <c:v>ARock</c:v>
                </c:pt>
                <c:pt idx="2">
                  <c:v>Asis</c:v>
                </c:pt>
                <c:pt idx="3">
                  <c:v>Cany</c:v>
                </c:pt>
                <c:pt idx="4">
                  <c:v>Ciscoy</c:v>
                </c:pt>
                <c:pt idx="5">
                  <c:v>Egel</c:v>
                </c:pt>
                <c:pt idx="6">
                  <c:v>eiro</c:v>
                </c:pt>
                <c:pt idx="7">
                  <c:v>Logit</c:v>
                </c:pt>
                <c:pt idx="8">
                  <c:v>Loiss</c:v>
                </c:pt>
                <c:pt idx="9">
                  <c:v>Mik</c:v>
                </c:pt>
              </c:strCache>
            </c:strRef>
          </c:cat>
          <c:val>
            <c:numRef>
              <c:f>Analisis!$D$112:$D$122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21</c:v>
                </c:pt>
                <c:pt idx="5">
                  <c:v>15</c:v>
                </c:pt>
                <c:pt idx="6">
                  <c:v>14</c:v>
                </c:pt>
                <c:pt idx="7">
                  <c:v>27</c:v>
                </c:pt>
                <c:pt idx="8">
                  <c:v>17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FD-4C50-9329-2567EDC286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-27"/>
        <c:axId val="1001484584"/>
        <c:axId val="1001480264"/>
      </c:barChart>
      <c:catAx>
        <c:axId val="100148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1480264"/>
        <c:crosses val="autoZero"/>
        <c:auto val="1"/>
        <c:lblAlgn val="ctr"/>
        <c:lblOffset val="100"/>
        <c:noMultiLvlLbl val="0"/>
      </c:catAx>
      <c:valAx>
        <c:axId val="100148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148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rPr>
              <a:t>Fallas por tipo de quipo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62232C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rgbClr val="62232C"/>
              </a:gs>
              <a:gs pos="100000">
                <a:srgbClr val="BA888A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7C484A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rgbClr val="CB3D19"/>
              </a:gs>
              <a:gs pos="100000">
                <a:srgbClr val="FCAD4E"/>
              </a:gs>
            </a:gsLst>
            <a:path path="circle">
              <a:fillToRect l="100000" t="100000"/>
            </a:path>
            <a:tileRect r="-100000" b="-10000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B8C07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Analisis!$C$153:$C$154</c:f>
              <c:strCache>
                <c:ptCount val="1"/>
                <c:pt idx="0">
                  <c:v>Inservible</c:v>
                </c:pt>
              </c:strCache>
            </c:strRef>
          </c:tx>
          <c:spPr>
            <a:gradFill flip="none" rotWithShape="1">
              <a:gsLst>
                <a:gs pos="0">
                  <a:srgbClr val="62232C"/>
                </a:gs>
                <a:gs pos="100000">
                  <a:srgbClr val="BA888A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7C484A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Analisis!$B$155:$B$160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Analisis!$C$155:$C$160</c:f>
              <c:numCache>
                <c:formatCode>General</c:formatCode>
                <c:ptCount val="5"/>
                <c:pt idx="0">
                  <c:v>8</c:v>
                </c:pt>
                <c:pt idx="1">
                  <c:v>78</c:v>
                </c:pt>
                <c:pt idx="2">
                  <c:v>21</c:v>
                </c:pt>
                <c:pt idx="3">
                  <c:v>9</c:v>
                </c:pt>
                <c:pt idx="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0-4690-B0A4-BD5139EC7E1C}"/>
            </c:ext>
          </c:extLst>
        </c:ser>
        <c:ser>
          <c:idx val="1"/>
          <c:order val="1"/>
          <c:tx>
            <c:strRef>
              <c:f>Analisis!$D$153:$D$154</c:f>
              <c:strCache>
                <c:ptCount val="1"/>
                <c:pt idx="0">
                  <c:v>Reparación</c:v>
                </c:pt>
              </c:strCache>
            </c:strRef>
          </c:tx>
          <c:spPr>
            <a:gradFill flip="none" rotWithShape="1">
              <a:gsLst>
                <a:gs pos="0">
                  <a:srgbClr val="CB3D19"/>
                </a:gs>
                <a:gs pos="100000">
                  <a:srgbClr val="FCAD4E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B8C07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Analisis!$B$155:$B$160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Analisis!$D$155:$D$160</c:f>
              <c:numCache>
                <c:formatCode>General</c:formatCode>
                <c:ptCount val="5"/>
                <c:pt idx="0">
                  <c:v>6</c:v>
                </c:pt>
                <c:pt idx="1">
                  <c:v>72</c:v>
                </c:pt>
                <c:pt idx="2">
                  <c:v>16</c:v>
                </c:pt>
                <c:pt idx="3">
                  <c:v>7</c:v>
                </c:pt>
                <c:pt idx="4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1-42AD-8B42-04F1A2D72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32"/>
        <c:axId val="974062040"/>
        <c:axId val="974062400"/>
      </c:barChart>
      <c:catAx>
        <c:axId val="97406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62400"/>
        <c:crosses val="autoZero"/>
        <c:auto val="1"/>
        <c:lblAlgn val="ctr"/>
        <c:lblOffset val="100"/>
        <c:noMultiLvlLbl val="0"/>
      </c:catAx>
      <c:valAx>
        <c:axId val="9740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r>
              <a:rPr lang="es-PE" sz="1200" b="0" i="0" u="none" strike="noStrike" kern="1200" spc="0" baseline="0">
                <a:solidFill>
                  <a:srgbClr val="62232C"/>
                </a:solidFill>
                <a:latin typeface="+mn-lt"/>
                <a:ea typeface="+mn-ea"/>
                <a:cs typeface="+mn-cs"/>
              </a:rPr>
              <a:t>Fallas por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PE" sz="1200" b="0" i="0" u="none" strike="noStrike" kern="1200" spc="0" baseline="0">
              <a:solidFill>
                <a:srgbClr val="62232C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gradFill>
              <a:gsLst>
                <a:gs pos="100000">
                  <a:srgbClr val="BA888A"/>
                </a:gs>
                <a:gs pos="0">
                  <a:srgbClr val="62232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62232C"/>
            </a:solidFill>
            <a:ln w="9525">
              <a:solidFill>
                <a:srgbClr val="62232C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2232C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28575" cap="rnd"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B3D19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28575" cap="rnd"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0.1194801853546054"/>
              <c:y val="8.09514224369296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B3D19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ln w="28575" cap="rnd">
            <a:gradFill>
              <a:gsLst>
                <a:gs pos="100000">
                  <a:srgbClr val="BA888A"/>
                </a:gs>
                <a:gs pos="0">
                  <a:srgbClr val="62232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62232C"/>
            </a:solidFill>
            <a:ln w="9525">
              <a:solidFill>
                <a:srgbClr val="62232C"/>
              </a:solidFill>
            </a:ln>
            <a:effectLst/>
          </c:spPr>
        </c:marker>
        <c:dLbl>
          <c:idx val="0"/>
          <c:layout>
            <c:manualLayout>
              <c:x val="-0.1097267008358621"/>
              <c:y val="-8.52120236178207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2232C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ln w="28575" cap="rnd"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7.5589505020260656E-2"/>
              <c:y val="-8.521202361782076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B3D19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ln w="28575" cap="rnd">
            <a:gradFill>
              <a:gsLst>
                <a:gs pos="100000">
                  <a:srgbClr val="BA888A"/>
                </a:gs>
                <a:gs pos="0">
                  <a:srgbClr val="62232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62232C"/>
            </a:solidFill>
            <a:ln w="9525">
              <a:solidFill>
                <a:srgbClr val="62232C"/>
              </a:solidFill>
            </a:ln>
            <a:effectLst/>
          </c:spPr>
        </c:marker>
        <c:dLbl>
          <c:idx val="0"/>
          <c:layout>
            <c:manualLayout>
              <c:x val="-7.5589505020260656E-2"/>
              <c:y val="9.799382716049383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2232C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ln w="28575" cap="rnd">
            <a:gradFill>
              <a:gsLst>
                <a:gs pos="100000">
                  <a:srgbClr val="BA888A"/>
                </a:gs>
                <a:gs pos="0">
                  <a:srgbClr val="62232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62232C"/>
            </a:solidFill>
            <a:ln w="9525">
              <a:solidFill>
                <a:srgbClr val="62232C"/>
              </a:solidFill>
            </a:ln>
            <a:effectLst/>
          </c:spPr>
        </c:marker>
        <c:dLbl>
          <c:idx val="0"/>
          <c:layout>
            <c:manualLayout>
              <c:x val="-3.9013938074973192E-2"/>
              <c:y val="-8.09514224369296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2232C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ln w="28575" cap="rnd"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8.7781360668689676E-2"/>
              <c:y val="8.09514224369296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B3D19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ln w="28575" cap="rnd">
            <a:gradFill>
              <a:gsLst>
                <a:gs pos="100000">
                  <a:srgbClr val="BA888A"/>
                </a:gs>
                <a:gs pos="0">
                  <a:srgbClr val="62232C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rgbClr val="62232C"/>
            </a:solidFill>
            <a:ln w="9525">
              <a:solidFill>
                <a:srgbClr val="62232C"/>
              </a:solidFill>
            </a:ln>
            <a:effectLst/>
          </c:spPr>
        </c:marker>
        <c:dLbl>
          <c:idx val="0"/>
          <c:layout>
            <c:manualLayout>
              <c:x val="-2.4383711296858335E-2"/>
              <c:y val="-8.09514224369296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2232C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ln w="28575" cap="rnd">
            <a:gradFill>
              <a:gsLst>
                <a:gs pos="0">
                  <a:srgbClr val="CB3D19"/>
                </a:gs>
                <a:gs pos="100000">
                  <a:srgbClr val="FCAD4E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413719581560163E-2"/>
              <c:y val="7.243022007514761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B3D19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61922008441974E-2"/>
          <c:y val="0.17319343800322062"/>
          <c:w val="0.87566486375918573"/>
          <c:h val="0.63084708803005918"/>
        </c:manualLayout>
      </c:layout>
      <c:lineChart>
        <c:grouping val="standard"/>
        <c:varyColors val="0"/>
        <c:ser>
          <c:idx val="0"/>
          <c:order val="0"/>
          <c:tx>
            <c:strRef>
              <c:f>Analisis!$I$153:$I$154</c:f>
              <c:strCache>
                <c:ptCount val="1"/>
                <c:pt idx="0">
                  <c:v>Inservible</c:v>
                </c:pt>
              </c:strCache>
            </c:strRef>
          </c:tx>
          <c:spPr>
            <a:ln w="28575" cap="rnd">
              <a:gradFill>
                <a:gsLst>
                  <a:gs pos="100000">
                    <a:srgbClr val="BA888A"/>
                  </a:gs>
                  <a:gs pos="0">
                    <a:srgbClr val="62232C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rgbClr val="62232C"/>
              </a:solidFill>
              <a:ln w="9525">
                <a:solidFill>
                  <a:srgbClr val="62232C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62232C"/>
                </a:solidFill>
                <a:ln w="9525">
                  <a:solidFill>
                    <a:srgbClr val="62232C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100000">
                      <a:srgbClr val="BA888A"/>
                    </a:gs>
                    <a:gs pos="0">
                      <a:srgbClr val="62232C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8F-474A-BE8B-FCA81B434DF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62232C"/>
                </a:solidFill>
                <a:ln w="9525">
                  <a:solidFill>
                    <a:srgbClr val="62232C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100000">
                      <a:srgbClr val="BA888A"/>
                    </a:gs>
                    <a:gs pos="0">
                      <a:srgbClr val="62232C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8F-474A-BE8B-FCA81B434DF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62232C"/>
                </a:solidFill>
                <a:ln w="9525">
                  <a:solidFill>
                    <a:srgbClr val="62232C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100000">
                      <a:srgbClr val="BA888A"/>
                    </a:gs>
                    <a:gs pos="0">
                      <a:srgbClr val="62232C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8F-474A-BE8B-FCA81B434DFA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62232C"/>
                </a:solidFill>
                <a:ln w="9525">
                  <a:solidFill>
                    <a:srgbClr val="62232C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100000">
                      <a:srgbClr val="BA888A"/>
                    </a:gs>
                    <a:gs pos="0">
                      <a:srgbClr val="62232C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8F-474A-BE8B-FCA81B434DFA}"/>
              </c:ext>
            </c:extLst>
          </c:dPt>
          <c:dLbls>
            <c:dLbl>
              <c:idx val="0"/>
              <c:layout>
                <c:manualLayout>
                  <c:x val="-0.1097267008358621"/>
                  <c:y val="-8.5212023617820765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8F-474A-BE8B-FCA81B434DFA}"/>
                </c:ext>
              </c:extLst>
            </c:dLbl>
            <c:dLbl>
              <c:idx val="1"/>
              <c:layout>
                <c:manualLayout>
                  <c:x val="-3.9013938074973192E-2"/>
                  <c:y val="-8.095142243692968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8F-474A-BE8B-FCA81B434DFA}"/>
                </c:ext>
              </c:extLst>
            </c:dLbl>
            <c:dLbl>
              <c:idx val="2"/>
              <c:layout>
                <c:manualLayout>
                  <c:x val="-7.5589505020260656E-2"/>
                  <c:y val="9.799382716049383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8F-474A-BE8B-FCA81B434DFA}"/>
                </c:ext>
              </c:extLst>
            </c:dLbl>
            <c:dLbl>
              <c:idx val="3"/>
              <c:layout>
                <c:manualLayout>
                  <c:x val="-2.4383711296858335E-2"/>
                  <c:y val="-8.095142243692968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8F-474A-BE8B-FCA81B434DF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2232C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Analisis!$H$155:$H$159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Analisis!$I$155:$I$159</c:f>
              <c:numCache>
                <c:formatCode>General</c:formatCode>
                <c:ptCount val="4"/>
                <c:pt idx="0">
                  <c:v>101</c:v>
                </c:pt>
                <c:pt idx="1">
                  <c:v>118</c:v>
                </c:pt>
                <c:pt idx="2">
                  <c:v>97</c:v>
                </c:pt>
                <c:pt idx="3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5-4E65-843E-DE60DBB0F2EE}"/>
            </c:ext>
          </c:extLst>
        </c:ser>
        <c:ser>
          <c:idx val="1"/>
          <c:order val="1"/>
          <c:tx>
            <c:strRef>
              <c:f>Analisis!$J$153:$J$154</c:f>
              <c:strCache>
                <c:ptCount val="1"/>
                <c:pt idx="0">
                  <c:v>Reparación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CB3D19"/>
                  </a:gs>
                  <a:gs pos="100000">
                    <a:srgbClr val="FCAD4E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0">
                      <a:srgbClr val="CB3D19"/>
                    </a:gs>
                    <a:gs pos="100000">
                      <a:srgbClr val="FCAD4E"/>
                    </a:gs>
                  </a:gsLst>
                  <a:lin ang="5400000" scaled="1"/>
                </a:gra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0">
                      <a:srgbClr val="CB3D19"/>
                    </a:gs>
                    <a:gs pos="100000">
                      <a:srgbClr val="FCAD4E"/>
                    </a:gs>
                  </a:gsLst>
                  <a:lin ang="5400000" scaled="1"/>
                </a:gra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0">
                      <a:srgbClr val="CB3D19"/>
                    </a:gs>
                    <a:gs pos="100000">
                      <a:srgbClr val="FCAD4E"/>
                    </a:gs>
                  </a:gsLst>
                  <a:lin ang="5400000" scaled="1"/>
                </a:gra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gradFill>
                  <a:gsLst>
                    <a:gs pos="0">
                      <a:srgbClr val="CB3D19"/>
                    </a:gs>
                    <a:gs pos="100000">
                      <a:srgbClr val="FCAD4E"/>
                    </a:gs>
                  </a:gsLst>
                  <a:lin ang="5400000" scaled="1"/>
                </a:gradFill>
                <a:round/>
              </a:ln>
              <a:effectLst/>
            </c:spPr>
          </c:dPt>
          <c:dLbls>
            <c:dLbl>
              <c:idx val="0"/>
              <c:layout>
                <c:manualLayout>
                  <c:x val="-0.1194801853546054"/>
                  <c:y val="8.095142243692968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7781360668689676E-2"/>
                  <c:y val="8.0951422436929682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7.5589505020260656E-2"/>
                  <c:y val="-8.5212023617820765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3.413719581560163E-2"/>
                  <c:y val="7.2430220075147614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B3D19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Analisis!$H$155:$H$159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Analisis!$J$155:$J$159</c:f>
              <c:numCache>
                <c:formatCode>General</c:formatCode>
                <c:ptCount val="4"/>
                <c:pt idx="0">
                  <c:v>102</c:v>
                </c:pt>
                <c:pt idx="1">
                  <c:v>92</c:v>
                </c:pt>
                <c:pt idx="2">
                  <c:v>102</c:v>
                </c:pt>
                <c:pt idx="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F83-4BA7-9831-D44EEC6E7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86304"/>
        <c:axId val="974086664"/>
      </c:lineChart>
      <c:catAx>
        <c:axId val="9740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86664"/>
        <c:crosses val="autoZero"/>
        <c:auto val="1"/>
        <c:lblAlgn val="ctr"/>
        <c:lblOffset val="100"/>
        <c:noMultiLvlLbl val="0"/>
      </c:catAx>
      <c:valAx>
        <c:axId val="97408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2232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>
                <a:solidFill>
                  <a:schemeClr val="bg1"/>
                </a:solidFill>
              </a:rPr>
              <a:t>DASHBOARD DE CONTROL DE MANTENIMIENTO</a:t>
            </a:r>
            <a:r>
              <a:rPr lang="en-US" sz="1800" b="1" i="0" u="none" strike="noStrike" baseline="0">
                <a:solidFill>
                  <a:schemeClr val="bg1"/>
                </a:solidFill>
              </a:rPr>
              <a:t> - PERIODO 2023</a:t>
            </a:r>
            <a:endParaRPr lang="en-US" sz="1800" b="1" i="0" u="none" strike="noStrike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0259707802205487"/>
          <c:y val="8.339041802589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.9444444444444445E-2"/>
          <c:h val="3.2407407407407406E-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9B-43B8-BDC6-E3A1A52F6ECD}"/>
              </c:ext>
            </c:extLst>
          </c:dPt>
          <c:val>
            <c:numRef>
              <c:f>[1]Analisis!$I$17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9B-43B8-BDC6-E3A1A52F6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6661C1"/>
        </a:gs>
        <a:gs pos="100000">
          <a:srgbClr val="9B98D8"/>
        </a:gs>
      </a:gsLst>
      <a:lin ang="27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Analisis!$B$8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9-4996-8298-53809115E85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Analisis!$C$8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9-4996-8298-53809115E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838456"/>
        <c:axId val="879320624"/>
      </c:barChart>
      <c:catAx>
        <c:axId val="5418384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9320624"/>
        <c:crosses val="autoZero"/>
        <c:auto val="1"/>
        <c:lblAlgn val="ctr"/>
        <c:lblOffset val="100"/>
        <c:noMultiLvlLbl val="0"/>
      </c:catAx>
      <c:valAx>
        <c:axId val="87932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83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Analisis!$E$8</c:f>
              <c:numCache>
                <c:formatCode>0.0%</c:formatCode>
                <c:ptCount val="1"/>
                <c:pt idx="0">
                  <c:v>0.12974683544303797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0-48DC-BD0F-B922BA64E7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Analisis!$F$8</c:f>
              <c:numCache>
                <c:formatCode>0.0%</c:formatCode>
                <c:ptCount val="1"/>
                <c:pt idx="0">
                  <c:v>0.870253164556962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0-48DC-BD0F-B922BA64E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838816"/>
        <c:axId val="541840976"/>
      </c:barChart>
      <c:catAx>
        <c:axId val="5418388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840976"/>
        <c:crosses val="autoZero"/>
        <c:auto val="1"/>
        <c:lblAlgn val="ctr"/>
        <c:lblOffset val="100"/>
        <c:noMultiLvlLbl val="0"/>
      </c:catAx>
      <c:valAx>
        <c:axId val="54184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183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Analisis!$H$8</c:f>
              <c:numCache>
                <c:formatCode>0.0%</c:formatCode>
                <c:ptCount val="1"/>
                <c:pt idx="0">
                  <c:v>0.52689873417721522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A-4013-9E70-C57A9688C442}"/>
            </c:ext>
          </c:extLst>
        </c:ser>
        <c:ser>
          <c:idx val="1"/>
          <c:order val="1"/>
          <c:tx>
            <c:strRef>
              <c:f>Analisis!$I$8</c:f>
              <c:strCache>
                <c:ptCount val="1"/>
                <c:pt idx="0">
                  <c:v>47.3%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Analisis!$I$8</c:f>
              <c:numCache>
                <c:formatCode>0.0%</c:formatCode>
                <c:ptCount val="1"/>
                <c:pt idx="0">
                  <c:v>0.47310126582278478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A-4013-9E70-C57A9688C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621968"/>
        <c:axId val="886621608"/>
      </c:barChart>
      <c:catAx>
        <c:axId val="88662196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6621608"/>
        <c:crosses val="autoZero"/>
        <c:auto val="1"/>
        <c:lblAlgn val="ctr"/>
        <c:lblOffset val="100"/>
        <c:noMultiLvlLbl val="0"/>
      </c:catAx>
      <c:valAx>
        <c:axId val="886621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662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Analisis!$K$8</c:f>
              <c:numCache>
                <c:formatCode>0.0%</c:formatCode>
                <c:ptCount val="1"/>
                <c:pt idx="0">
                  <c:v>0.23101265822784811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1-4357-8C90-E54157A362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Analisis!$L$8</c:f>
              <c:numCache>
                <c:formatCode>0.0%</c:formatCode>
                <c:ptCount val="1"/>
                <c:pt idx="0">
                  <c:v>0.76898734177215189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1-4357-8C90-E54157A36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6366216"/>
        <c:axId val="886367296"/>
      </c:barChart>
      <c:catAx>
        <c:axId val="8863662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6367296"/>
        <c:crosses val="autoZero"/>
        <c:auto val="1"/>
        <c:lblAlgn val="ctr"/>
        <c:lblOffset val="100"/>
        <c:noMultiLvlLbl val="0"/>
      </c:catAx>
      <c:valAx>
        <c:axId val="88636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6366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Analisis!$N$8</c:f>
              <c:numCache>
                <c:formatCode>0.0%</c:formatCode>
                <c:ptCount val="1"/>
                <c:pt idx="0">
                  <c:v>0.11234177215189874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0-4EB2-A0B9-B3746A7A44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Analisis!$O$8</c:f>
              <c:numCache>
                <c:formatCode>0.0%</c:formatCode>
                <c:ptCount val="1"/>
                <c:pt idx="0">
                  <c:v>0.88765822784810122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0-4EB2-A0B9-B3746A7A4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8460216"/>
        <c:axId val="928458056"/>
      </c:barChart>
      <c:catAx>
        <c:axId val="92846021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58056"/>
        <c:crosses val="autoZero"/>
        <c:auto val="1"/>
        <c:lblAlgn val="ctr"/>
        <c:lblOffset val="100"/>
        <c:noMultiLvlLbl val="0"/>
      </c:catAx>
      <c:valAx>
        <c:axId val="92845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Analisis!$B$13:$B$25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Analisis!$C$13:$C$25</c:f>
              <c:numCache>
                <c:formatCode>General</c:formatCode>
                <c:ptCount val="12"/>
                <c:pt idx="0">
                  <c:v>59</c:v>
                </c:pt>
                <c:pt idx="1">
                  <c:v>58</c:v>
                </c:pt>
                <c:pt idx="2">
                  <c:v>53</c:v>
                </c:pt>
                <c:pt idx="3">
                  <c:v>58</c:v>
                </c:pt>
                <c:pt idx="4">
                  <c:v>57</c:v>
                </c:pt>
                <c:pt idx="5">
                  <c:v>54</c:v>
                </c:pt>
                <c:pt idx="6">
                  <c:v>46</c:v>
                </c:pt>
                <c:pt idx="7">
                  <c:v>65</c:v>
                </c:pt>
                <c:pt idx="8">
                  <c:v>53</c:v>
                </c:pt>
                <c:pt idx="9">
                  <c:v>52</c:v>
                </c:pt>
                <c:pt idx="10">
                  <c:v>29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A-406F-BFD4-5AF14FF19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240880"/>
        <c:axId val="543647040"/>
      </c:barChart>
      <c:catAx>
        <c:axId val="76424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43647040"/>
        <c:crosses val="autoZero"/>
        <c:auto val="1"/>
        <c:lblAlgn val="ctr"/>
        <c:lblOffset val="100"/>
        <c:noMultiLvlLbl val="0"/>
      </c:catAx>
      <c:valAx>
        <c:axId val="5436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424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Analisis!$E$13:$E$25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Analisis!$F$13:$F$25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4</c:v>
                </c:pt>
                <c:pt idx="7">
                  <c:v>10</c:v>
                </c:pt>
                <c:pt idx="8">
                  <c:v>7</c:v>
                </c:pt>
                <c:pt idx="9">
                  <c:v>9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A-4391-96EE-C7BFD9718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662608"/>
        <c:axId val="769659728"/>
      </c:barChart>
      <c:catAx>
        <c:axId val="76966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9659728"/>
        <c:crosses val="autoZero"/>
        <c:auto val="1"/>
        <c:lblAlgn val="ctr"/>
        <c:lblOffset val="100"/>
        <c:noMultiLvlLbl val="0"/>
      </c:catAx>
      <c:valAx>
        <c:axId val="7696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966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Analisis!$H$13:$H$25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Analisis!$I$13:$I$25</c:f>
              <c:numCache>
                <c:formatCode>General</c:formatCode>
                <c:ptCount val="12"/>
                <c:pt idx="0">
                  <c:v>33</c:v>
                </c:pt>
                <c:pt idx="1">
                  <c:v>29</c:v>
                </c:pt>
                <c:pt idx="2">
                  <c:v>32</c:v>
                </c:pt>
                <c:pt idx="3">
                  <c:v>33</c:v>
                </c:pt>
                <c:pt idx="4">
                  <c:v>29</c:v>
                </c:pt>
                <c:pt idx="5">
                  <c:v>26</c:v>
                </c:pt>
                <c:pt idx="6">
                  <c:v>23</c:v>
                </c:pt>
                <c:pt idx="7">
                  <c:v>26</c:v>
                </c:pt>
                <c:pt idx="8">
                  <c:v>30</c:v>
                </c:pt>
                <c:pt idx="9">
                  <c:v>26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F-4FC6-B1B2-12C7B8F1D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001488"/>
        <c:axId val="933000768"/>
      </c:barChart>
      <c:catAx>
        <c:axId val="93300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3000768"/>
        <c:crosses val="autoZero"/>
        <c:auto val="1"/>
        <c:lblAlgn val="ctr"/>
        <c:lblOffset val="100"/>
        <c:noMultiLvlLbl val="0"/>
      </c:catAx>
      <c:valAx>
        <c:axId val="93300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300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Analisis!$K$13:$K$25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Analisis!$L$13:$L$25</c:f>
              <c:numCache>
                <c:formatCode>General</c:formatCode>
                <c:ptCount val="12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13</c:v>
                </c:pt>
                <c:pt idx="6">
                  <c:v>12</c:v>
                </c:pt>
                <c:pt idx="7">
                  <c:v>19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994-9792-374BE9EE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463456"/>
        <c:axId val="928457336"/>
      </c:barChart>
      <c:catAx>
        <c:axId val="9284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57336"/>
        <c:crosses val="autoZero"/>
        <c:auto val="1"/>
        <c:lblAlgn val="ctr"/>
        <c:lblOffset val="100"/>
        <c:noMultiLvlLbl val="0"/>
      </c:catAx>
      <c:valAx>
        <c:axId val="92845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Analisis!$O$12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Analisis!$N$13:$N$25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Analisis!$O$13:$O$25</c:f>
              <c:numCache>
                <c:formatCode>General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D-440E-96AF-8A095C0FA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100008"/>
        <c:axId val="932480224"/>
      </c:barChart>
      <c:catAx>
        <c:axId val="76910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2480224"/>
        <c:crosses val="autoZero"/>
        <c:auto val="1"/>
        <c:lblAlgn val="ctr"/>
        <c:lblOffset val="100"/>
        <c:noMultiLvlLbl val="0"/>
      </c:catAx>
      <c:valAx>
        <c:axId val="9324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6910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de Demora</a:t>
            </a:r>
            <a:r>
              <a:rPr lang="en-US" baseline="0"/>
              <a:t> por Tipo de Equipo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Analisis!$C$80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04-4369-9C95-A71FDC436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04-4369-9C95-A71FDC436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04-4369-9C95-A71FDC4360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04-4369-9C95-A71FDC4360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04-4369-9C95-A71FDC4360A2}"/>
              </c:ext>
            </c:extLst>
          </c:dPt>
          <c:cat>
            <c:strRef>
              <c:f>Analisis!$B$81:$B$86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Analisis!$C$81:$C$86</c:f>
              <c:numCache>
                <c:formatCode>General</c:formatCode>
                <c:ptCount val="5"/>
                <c:pt idx="0">
                  <c:v>101</c:v>
                </c:pt>
                <c:pt idx="1">
                  <c:v>1151</c:v>
                </c:pt>
                <c:pt idx="2">
                  <c:v>176</c:v>
                </c:pt>
                <c:pt idx="3">
                  <c:v>116</c:v>
                </c:pt>
                <c:pt idx="4">
                  <c:v>4056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8-4E81-98E6-9D351EFB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2023.xlsx]Analisis!TablaDinámica19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Costo según el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Analisis!$F$80</c:f>
              <c:strCache>
                <c:ptCount val="1"/>
                <c:pt idx="0">
                  <c:v>Costo de Mano Obra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Analisis!$E$81:$E$83</c:f>
              <c:strCache>
                <c:ptCount val="2"/>
                <c:pt idx="0">
                  <c:v>Correctivo</c:v>
                </c:pt>
                <c:pt idx="1">
                  <c:v>Preventivo</c:v>
                </c:pt>
              </c:strCache>
            </c:strRef>
          </c:cat>
          <c:val>
            <c:numRef>
              <c:f>Analisis!$F$81:$F$83</c:f>
              <c:numCache>
                <c:formatCode>_-* #,##0_-;\-* #,##0_-;_-* "-"??_-;_-@_-</c:formatCode>
                <c:ptCount val="2"/>
                <c:pt idx="0">
                  <c:v>261526</c:v>
                </c:pt>
                <c:pt idx="1">
                  <c:v>181640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D-4650-AD4A-74E752BA6632}"/>
            </c:ext>
          </c:extLst>
        </c:ser>
        <c:ser>
          <c:idx val="1"/>
          <c:order val="1"/>
          <c:tx>
            <c:strRef>
              <c:f>Analisis!$G$80</c:f>
              <c:strCache>
                <c:ptCount val="1"/>
                <c:pt idx="0">
                  <c:v>Costo de Materiales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Analisis!$E$81:$E$83</c:f>
              <c:strCache>
                <c:ptCount val="2"/>
                <c:pt idx="0">
                  <c:v>Correctivo</c:v>
                </c:pt>
                <c:pt idx="1">
                  <c:v>Preventivo</c:v>
                </c:pt>
              </c:strCache>
            </c:strRef>
          </c:cat>
          <c:val>
            <c:numRef>
              <c:f>Analisis!$G$81:$G$83</c:f>
              <c:numCache>
                <c:formatCode>_-* #,##0_-;\-* #,##0_-;_-* "-"??_-;_-@_-</c:formatCode>
                <c:ptCount val="2"/>
                <c:pt idx="0">
                  <c:v>200578</c:v>
                </c:pt>
                <c:pt idx="1">
                  <c:v>148348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D-4650-AD4A-74E752BA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464176"/>
        <c:axId val="928464536"/>
      </c:barChart>
      <c:catAx>
        <c:axId val="9284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4536"/>
        <c:crosses val="autoZero"/>
        <c:auto val="1"/>
        <c:lblAlgn val="ctr"/>
        <c:lblOffset val="100"/>
        <c:noMultiLvlLbl val="0"/>
      </c:catAx>
      <c:valAx>
        <c:axId val="92846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284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Cantidad de equipos con fallas según el estatus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Analisis!$J$80:$J$81</c:f>
              <c:strCache>
                <c:ptCount val="1"/>
                <c:pt idx="0">
                  <c:v>Correctivo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Analisis!$I$82:$I$94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Analisis!$J$82:$J$94</c:f>
              <c:numCache>
                <c:formatCode>General</c:formatCode>
                <c:ptCount val="12"/>
                <c:pt idx="0">
                  <c:v>71</c:v>
                </c:pt>
                <c:pt idx="1">
                  <c:v>63</c:v>
                </c:pt>
                <c:pt idx="2">
                  <c:v>69</c:v>
                </c:pt>
                <c:pt idx="3">
                  <c:v>59</c:v>
                </c:pt>
                <c:pt idx="4">
                  <c:v>80</c:v>
                </c:pt>
                <c:pt idx="5">
                  <c:v>71</c:v>
                </c:pt>
                <c:pt idx="6">
                  <c:v>52</c:v>
                </c:pt>
                <c:pt idx="7">
                  <c:v>74</c:v>
                </c:pt>
                <c:pt idx="8">
                  <c:v>73</c:v>
                </c:pt>
                <c:pt idx="9">
                  <c:v>70</c:v>
                </c:pt>
                <c:pt idx="10">
                  <c:v>45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C-4C4F-9FC4-475FD7EEA4A7}"/>
            </c:ext>
          </c:extLst>
        </c:ser>
        <c:ser>
          <c:idx val="1"/>
          <c:order val="1"/>
          <c:tx>
            <c:strRef>
              <c:f>Analisis!$K$80:$K$81</c:f>
              <c:strCache>
                <c:ptCount val="1"/>
                <c:pt idx="0">
                  <c:v>Preventivo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Analisis!$I$82:$I$94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Analisis!$K$82:$K$94</c:f>
              <c:numCache>
                <c:formatCode>General</c:formatCode>
                <c:ptCount val="12"/>
                <c:pt idx="0">
                  <c:v>25</c:v>
                </c:pt>
                <c:pt idx="1">
                  <c:v>19</c:v>
                </c:pt>
                <c:pt idx="2">
                  <c:v>24</c:v>
                </c:pt>
                <c:pt idx="3">
                  <c:v>28</c:v>
                </c:pt>
                <c:pt idx="4">
                  <c:v>26</c:v>
                </c:pt>
                <c:pt idx="5">
                  <c:v>23</c:v>
                </c:pt>
                <c:pt idx="6">
                  <c:v>19</c:v>
                </c:pt>
                <c:pt idx="7">
                  <c:v>22</c:v>
                </c:pt>
                <c:pt idx="8">
                  <c:v>21</c:v>
                </c:pt>
                <c:pt idx="9">
                  <c:v>21</c:v>
                </c:pt>
                <c:pt idx="10">
                  <c:v>12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B1-489E-B839-EA39C2F5E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99464"/>
        <c:axId val="934348664"/>
      </c:lineChart>
      <c:catAx>
        <c:axId val="100299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4348664"/>
        <c:crosses val="autoZero"/>
        <c:auto val="1"/>
        <c:lblAlgn val="ctr"/>
        <c:lblOffset val="100"/>
        <c:noMultiLvlLbl val="0"/>
      </c:catAx>
      <c:valAx>
        <c:axId val="93434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99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Top 10 marcas con mas fallas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Analisis!$C$110:$C$111</c:f>
              <c:strCache>
                <c:ptCount val="1"/>
                <c:pt idx="0">
                  <c:v>Inservible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Analisis!$B$112:$B$122</c:f>
              <c:strCache>
                <c:ptCount val="10"/>
                <c:pt idx="0">
                  <c:v>Acern</c:v>
                </c:pt>
                <c:pt idx="1">
                  <c:v>ARock</c:v>
                </c:pt>
                <c:pt idx="2">
                  <c:v>Asis</c:v>
                </c:pt>
                <c:pt idx="3">
                  <c:v>Cany</c:v>
                </c:pt>
                <c:pt idx="4">
                  <c:v>Ciscoy</c:v>
                </c:pt>
                <c:pt idx="5">
                  <c:v>Egel</c:v>
                </c:pt>
                <c:pt idx="6">
                  <c:v>eiro</c:v>
                </c:pt>
                <c:pt idx="7">
                  <c:v>Logit</c:v>
                </c:pt>
                <c:pt idx="8">
                  <c:v>Loiss</c:v>
                </c:pt>
                <c:pt idx="9">
                  <c:v>Mik</c:v>
                </c:pt>
              </c:strCache>
            </c:strRef>
          </c:cat>
          <c:val>
            <c:numRef>
              <c:f>Analisis!$C$112:$C$122</c:f>
              <c:numCache>
                <c:formatCode>General</c:formatCode>
                <c:ptCount val="10"/>
                <c:pt idx="0">
                  <c:v>19</c:v>
                </c:pt>
                <c:pt idx="1">
                  <c:v>23</c:v>
                </c:pt>
                <c:pt idx="2">
                  <c:v>25</c:v>
                </c:pt>
                <c:pt idx="3">
                  <c:v>19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16</c:v>
                </c:pt>
                <c:pt idx="8">
                  <c:v>17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8-416F-B4B2-78ED01D607CC}"/>
            </c:ext>
          </c:extLst>
        </c:ser>
        <c:ser>
          <c:idx val="1"/>
          <c:order val="1"/>
          <c:tx>
            <c:strRef>
              <c:f>Analisis!$D$110:$D$111</c:f>
              <c:strCache>
                <c:ptCount val="1"/>
                <c:pt idx="0">
                  <c:v>Reparación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Analisis!$B$112:$B$122</c:f>
              <c:strCache>
                <c:ptCount val="10"/>
                <c:pt idx="0">
                  <c:v>Acern</c:v>
                </c:pt>
                <c:pt idx="1">
                  <c:v>ARock</c:v>
                </c:pt>
                <c:pt idx="2">
                  <c:v>Asis</c:v>
                </c:pt>
                <c:pt idx="3">
                  <c:v>Cany</c:v>
                </c:pt>
                <c:pt idx="4">
                  <c:v>Ciscoy</c:v>
                </c:pt>
                <c:pt idx="5">
                  <c:v>Egel</c:v>
                </c:pt>
                <c:pt idx="6">
                  <c:v>eiro</c:v>
                </c:pt>
                <c:pt idx="7">
                  <c:v>Logit</c:v>
                </c:pt>
                <c:pt idx="8">
                  <c:v>Loiss</c:v>
                </c:pt>
                <c:pt idx="9">
                  <c:v>Mik</c:v>
                </c:pt>
              </c:strCache>
            </c:strRef>
          </c:cat>
          <c:val>
            <c:numRef>
              <c:f>Analisis!$D$112:$D$122</c:f>
              <c:numCache>
                <c:formatCode>General</c:formatCode>
                <c:ptCount val="10"/>
                <c:pt idx="0">
                  <c:v>18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21</c:v>
                </c:pt>
                <c:pt idx="5">
                  <c:v>15</c:v>
                </c:pt>
                <c:pt idx="6">
                  <c:v>14</c:v>
                </c:pt>
                <c:pt idx="7">
                  <c:v>27</c:v>
                </c:pt>
                <c:pt idx="8">
                  <c:v>17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1-4891-92E4-EA36333E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484584"/>
        <c:axId val="1001480264"/>
      </c:barChart>
      <c:catAx>
        <c:axId val="100148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1480264"/>
        <c:crosses val="autoZero"/>
        <c:auto val="1"/>
        <c:lblAlgn val="ctr"/>
        <c:lblOffset val="100"/>
        <c:noMultiLvlLbl val="0"/>
      </c:catAx>
      <c:valAx>
        <c:axId val="10014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1484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Fallas por tipo de quipo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Analisis!$C$153:$C$154</c:f>
              <c:strCache>
                <c:ptCount val="1"/>
                <c:pt idx="0">
                  <c:v>Inservible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Analisis!$B$155:$B$160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Analisis!$C$155:$C$160</c:f>
              <c:numCache>
                <c:formatCode>General</c:formatCode>
                <c:ptCount val="5"/>
                <c:pt idx="0">
                  <c:v>8</c:v>
                </c:pt>
                <c:pt idx="1">
                  <c:v>78</c:v>
                </c:pt>
                <c:pt idx="2">
                  <c:v>21</c:v>
                </c:pt>
                <c:pt idx="3">
                  <c:v>9</c:v>
                </c:pt>
                <c:pt idx="4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3-4768-81C4-43FCC2B79041}"/>
            </c:ext>
          </c:extLst>
        </c:ser>
        <c:ser>
          <c:idx val="1"/>
          <c:order val="1"/>
          <c:tx>
            <c:strRef>
              <c:f>Analisis!$D$153:$D$154</c:f>
              <c:strCache>
                <c:ptCount val="1"/>
                <c:pt idx="0">
                  <c:v>Reparación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Analisis!$B$155:$B$160</c:f>
              <c:strCache>
                <c:ptCount val="5"/>
                <c:pt idx="0">
                  <c:v>Almacenamiento</c:v>
                </c:pt>
                <c:pt idx="1">
                  <c:v>Envasado</c:v>
                </c:pt>
                <c:pt idx="2">
                  <c:v>Limpieza y Saneamiento</c:v>
                </c:pt>
                <c:pt idx="3">
                  <c:v>Pesaje y medición</c:v>
                </c:pt>
                <c:pt idx="4">
                  <c:v>Procesamiento</c:v>
                </c:pt>
              </c:strCache>
            </c:strRef>
          </c:cat>
          <c:val>
            <c:numRef>
              <c:f>Analisis!$D$155:$D$160</c:f>
              <c:numCache>
                <c:formatCode>General</c:formatCode>
                <c:ptCount val="5"/>
                <c:pt idx="0">
                  <c:v>6</c:v>
                </c:pt>
                <c:pt idx="1">
                  <c:v>72</c:v>
                </c:pt>
                <c:pt idx="2">
                  <c:v>16</c:v>
                </c:pt>
                <c:pt idx="3">
                  <c:v>7</c:v>
                </c:pt>
                <c:pt idx="4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8-43BE-A512-48058C992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062040"/>
        <c:axId val="974062400"/>
      </c:barChart>
      <c:catAx>
        <c:axId val="974062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62400"/>
        <c:crosses val="autoZero"/>
        <c:auto val="1"/>
        <c:lblAlgn val="ctr"/>
        <c:lblOffset val="100"/>
        <c:noMultiLvlLbl val="0"/>
      </c:catAx>
      <c:valAx>
        <c:axId val="97406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CONTROL DE MANTENIMIENTO - PERIODO 2023.xlsx]Analisis!TablaDinámica23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Ffallas por trimestre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Analisis!$I$153:$I$154</c:f>
              <c:strCache>
                <c:ptCount val="1"/>
                <c:pt idx="0">
                  <c:v>Inservible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Analisis!$H$155:$H$159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Analisis!$I$155:$I$159</c:f>
              <c:numCache>
                <c:formatCode>General</c:formatCode>
                <c:ptCount val="4"/>
                <c:pt idx="0">
                  <c:v>101</c:v>
                </c:pt>
                <c:pt idx="1">
                  <c:v>118</c:v>
                </c:pt>
                <c:pt idx="2">
                  <c:v>97</c:v>
                </c:pt>
                <c:pt idx="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1-45BB-9646-EF0F487AA627}"/>
            </c:ext>
          </c:extLst>
        </c:ser>
        <c:ser>
          <c:idx val="1"/>
          <c:order val="1"/>
          <c:tx>
            <c:strRef>
              <c:f>Analisis!$J$153:$J$154</c:f>
              <c:strCache>
                <c:ptCount val="1"/>
                <c:pt idx="0">
                  <c:v>Reparación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Analisis!$H$155:$H$159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Analisis!$J$155:$J$159</c:f>
              <c:numCache>
                <c:formatCode>General</c:formatCode>
                <c:ptCount val="4"/>
                <c:pt idx="0">
                  <c:v>102</c:v>
                </c:pt>
                <c:pt idx="1">
                  <c:v>92</c:v>
                </c:pt>
                <c:pt idx="2">
                  <c:v>102</c:v>
                </c:pt>
                <c:pt idx="3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B-4D13-908B-4297B0184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086304"/>
        <c:axId val="974086664"/>
      </c:lineChart>
      <c:catAx>
        <c:axId val="9740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86664"/>
        <c:crosses val="autoZero"/>
        <c:auto val="1"/>
        <c:lblAlgn val="ctr"/>
        <c:lblOffset val="100"/>
        <c:noMultiLvlLbl val="0"/>
      </c:catAx>
      <c:valAx>
        <c:axId val="97408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740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hyperlink" Target="#Dashboard!A1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hyperlink" Target="#Datos!A1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hyperlink" Target="#Analisis!A1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142875</xdr:rowOff>
    </xdr:from>
    <xdr:to>
      <xdr:col>8</xdr:col>
      <xdr:colOff>646875</xdr:colOff>
      <xdr:row>9</xdr:row>
      <xdr:rowOff>123825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9D145F3-2615-97DE-FCAE-23EBB4ACBDB2}"/>
            </a:ext>
          </a:extLst>
        </xdr:cNvPr>
        <xdr:cNvSpPr/>
      </xdr:nvSpPr>
      <xdr:spPr>
        <a:xfrm>
          <a:off x="142875" y="142875"/>
          <a:ext cx="5076000" cy="1695450"/>
        </a:xfrm>
        <a:prstGeom prst="roundRect">
          <a:avLst/>
        </a:prstGeom>
        <a:solidFill>
          <a:schemeClr val="bg1"/>
        </a:solidFill>
        <a:ln w="12700">
          <a:noFill/>
        </a:ln>
        <a:effectLst>
          <a:outerShdw blurRad="50800" dist="50800" dir="5400000" algn="ctr" rotWithShape="0">
            <a:srgbClr val="A7A4DC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295275</xdr:colOff>
      <xdr:row>1</xdr:row>
      <xdr:rowOff>76201</xdr:rowOff>
    </xdr:from>
    <xdr:to>
      <xdr:col>5</xdr:col>
      <xdr:colOff>9525</xdr:colOff>
      <xdr:row>4</xdr:row>
      <xdr:rowOff>133351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643F285-1BA3-2684-2F7A-3499C36E3E25}"/>
            </a:ext>
          </a:extLst>
        </xdr:cNvPr>
        <xdr:cNvSpPr txBox="1"/>
      </xdr:nvSpPr>
      <xdr:spPr>
        <a:xfrm>
          <a:off x="295275" y="266701"/>
          <a:ext cx="200025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rgbClr val="3A3996"/>
              </a:solidFill>
            </a:rPr>
            <a:t>Total de mantenimiento programados</a:t>
          </a:r>
        </a:p>
      </xdr:txBody>
    </xdr:sp>
    <xdr:clientData/>
  </xdr:twoCellAnchor>
  <xdr:twoCellAnchor>
    <xdr:from>
      <xdr:col>2</xdr:col>
      <xdr:colOff>304800</xdr:colOff>
      <xdr:row>4</xdr:row>
      <xdr:rowOff>28576</xdr:rowOff>
    </xdr:from>
    <xdr:to>
      <xdr:col>4</xdr:col>
      <xdr:colOff>600074</xdr:colOff>
      <xdr:row>6</xdr:row>
      <xdr:rowOff>133350</xdr:rowOff>
    </xdr:to>
    <xdr:sp macro="" textlink="Analisis!B7">
      <xdr:nvSpPr>
        <xdr:cNvPr id="4" name="CuadroTexto 3">
          <a:extLst>
            <a:ext uri="{FF2B5EF4-FFF2-40B4-BE49-F238E27FC236}">
              <a16:creationId xmlns:a16="http://schemas.microsoft.com/office/drawing/2014/main" id="{59B93CF9-C045-4A55-A24A-2399F3A6F86B}"/>
            </a:ext>
          </a:extLst>
        </xdr:cNvPr>
        <xdr:cNvSpPr txBox="1"/>
      </xdr:nvSpPr>
      <xdr:spPr>
        <a:xfrm>
          <a:off x="304800" y="790576"/>
          <a:ext cx="1819274" cy="485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D4A98B-47B9-4193-8600-CB28EA78C8AD}" type="TxLink">
            <a:rPr lang="en-US" sz="2000" b="0" i="0" u="none" strike="noStrike">
              <a:solidFill>
                <a:srgbClr val="3A3996"/>
              </a:solidFill>
              <a:latin typeface="Aptos Narrow"/>
            </a:rPr>
            <a:pPr algn="ctr"/>
            <a:t>632</a:t>
          </a:fld>
          <a:endParaRPr lang="es-PE" sz="2000" b="1">
            <a:solidFill>
              <a:srgbClr val="3A3996"/>
            </a:solidFill>
          </a:endParaRPr>
        </a:p>
      </xdr:txBody>
    </xdr:sp>
    <xdr:clientData/>
  </xdr:twoCellAnchor>
  <xdr:twoCellAnchor>
    <xdr:from>
      <xdr:col>2</xdr:col>
      <xdr:colOff>314325</xdr:colOff>
      <xdr:row>5</xdr:row>
      <xdr:rowOff>158353</xdr:rowOff>
    </xdr:from>
    <xdr:to>
      <xdr:col>4</xdr:col>
      <xdr:colOff>704850</xdr:colOff>
      <xdr:row>9</xdr:row>
      <xdr:rowOff>25003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A18925-47E3-4364-8EF1-093B2EAF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1</xdr:row>
      <xdr:rowOff>95251</xdr:rowOff>
    </xdr:from>
    <xdr:to>
      <xdr:col>8</xdr:col>
      <xdr:colOff>495300</xdr:colOff>
      <xdr:row>9</xdr:row>
      <xdr:rowOff>38101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0D2D5DA-312B-4B86-959F-77484BED2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142009</xdr:colOff>
      <xdr:row>10</xdr:row>
      <xdr:rowOff>118782</xdr:rowOff>
    </xdr:from>
    <xdr:to>
      <xdr:col>8</xdr:col>
      <xdr:colOff>646009</xdr:colOff>
      <xdr:row>19</xdr:row>
      <xdr:rowOff>99732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11484F2E-C422-46C3-9F1F-3B5DB9EA312E}"/>
            </a:ext>
          </a:extLst>
        </xdr:cNvPr>
        <xdr:cNvSpPr/>
      </xdr:nvSpPr>
      <xdr:spPr>
        <a:xfrm>
          <a:off x="142009" y="2023782"/>
          <a:ext cx="5076000" cy="1695450"/>
        </a:xfrm>
        <a:prstGeom prst="roundRect">
          <a:avLst/>
        </a:prstGeom>
        <a:solidFill>
          <a:schemeClr val="bg1"/>
        </a:solidFill>
        <a:ln w="12700">
          <a:noFill/>
        </a:ln>
        <a:effectLst>
          <a:outerShdw blurRad="50800" dist="50800" dir="5400000" algn="ctr" rotWithShape="0">
            <a:srgbClr val="A7A4DC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294409</xdr:colOff>
      <xdr:row>11</xdr:row>
      <xdr:rowOff>52108</xdr:rowOff>
    </xdr:from>
    <xdr:to>
      <xdr:col>5</xdr:col>
      <xdr:colOff>8659</xdr:colOff>
      <xdr:row>14</xdr:row>
      <xdr:rowOff>109258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6EEA57A-547B-4240-8021-85B4E408C4D6}"/>
            </a:ext>
          </a:extLst>
        </xdr:cNvPr>
        <xdr:cNvSpPr txBox="1"/>
      </xdr:nvSpPr>
      <xdr:spPr>
        <a:xfrm>
          <a:off x="294409" y="2147608"/>
          <a:ext cx="200025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rgbClr val="3A3996"/>
              </a:solidFill>
            </a:rPr>
            <a:t>Mantenimientos reprogramados</a:t>
          </a:r>
        </a:p>
      </xdr:txBody>
    </xdr:sp>
    <xdr:clientData/>
  </xdr:twoCellAnchor>
  <xdr:twoCellAnchor>
    <xdr:from>
      <xdr:col>2</xdr:col>
      <xdr:colOff>303934</xdr:colOff>
      <xdr:row>14</xdr:row>
      <xdr:rowOff>4483</xdr:rowOff>
    </xdr:from>
    <xdr:to>
      <xdr:col>4</xdr:col>
      <xdr:colOff>599208</xdr:colOff>
      <xdr:row>16</xdr:row>
      <xdr:rowOff>109257</xdr:rowOff>
    </xdr:to>
    <xdr:sp macro="" textlink="Analisis!E7">
      <xdr:nvSpPr>
        <xdr:cNvPr id="9" name="CuadroTexto 8">
          <a:extLst>
            <a:ext uri="{FF2B5EF4-FFF2-40B4-BE49-F238E27FC236}">
              <a16:creationId xmlns:a16="http://schemas.microsoft.com/office/drawing/2014/main" id="{60665D33-7FE7-4317-B7E3-E057FA28A6A9}"/>
            </a:ext>
          </a:extLst>
        </xdr:cNvPr>
        <xdr:cNvSpPr txBox="1"/>
      </xdr:nvSpPr>
      <xdr:spPr>
        <a:xfrm>
          <a:off x="303934" y="2671483"/>
          <a:ext cx="1819274" cy="485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9FDC545-8B9E-4DFC-9D75-C3A2BE2534DA}" type="TxLink">
            <a:rPr lang="en-US" sz="2000" b="0" i="0" u="none" strike="noStrike">
              <a:solidFill>
                <a:srgbClr val="3A3996"/>
              </a:solidFill>
              <a:latin typeface="Aptos Narrow"/>
              <a:ea typeface="+mn-ea"/>
              <a:cs typeface="+mn-cs"/>
            </a:rPr>
            <a:pPr marL="0" indent="0" algn="ctr"/>
            <a:t>82</a:t>
          </a:fld>
          <a:endParaRPr lang="es-PE" sz="2000" b="0" i="0" u="none" strike="noStrike">
            <a:solidFill>
              <a:srgbClr val="3A399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618259</xdr:colOff>
      <xdr:row>11</xdr:row>
      <xdr:rowOff>51778</xdr:rowOff>
    </xdr:from>
    <xdr:to>
      <xdr:col>8</xdr:col>
      <xdr:colOff>493459</xdr:colOff>
      <xdr:row>18</xdr:row>
      <xdr:rowOff>187078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5F7B962-864D-4C77-96CB-2A2130A6A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150407</xdr:colOff>
      <xdr:row>20</xdr:row>
      <xdr:rowOff>95486</xdr:rowOff>
    </xdr:from>
    <xdr:to>
      <xdr:col>8</xdr:col>
      <xdr:colOff>659627</xdr:colOff>
      <xdr:row>29</xdr:row>
      <xdr:rowOff>76436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D7FCA372-FADD-4A65-97F6-A8B47707977F}"/>
            </a:ext>
          </a:extLst>
        </xdr:cNvPr>
        <xdr:cNvSpPr/>
      </xdr:nvSpPr>
      <xdr:spPr>
        <a:xfrm>
          <a:off x="150407" y="3905486"/>
          <a:ext cx="5081220" cy="1695450"/>
        </a:xfrm>
        <a:prstGeom prst="roundRect">
          <a:avLst/>
        </a:prstGeom>
        <a:solidFill>
          <a:schemeClr val="bg1"/>
        </a:solidFill>
        <a:ln w="12700">
          <a:noFill/>
        </a:ln>
        <a:effectLst>
          <a:outerShdw blurRad="50800" dist="50800" dir="5400000" algn="ctr" rotWithShape="0">
            <a:srgbClr val="A7A4DC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308026</xdr:colOff>
      <xdr:row>21</xdr:row>
      <xdr:rowOff>28812</xdr:rowOff>
    </xdr:from>
    <xdr:to>
      <xdr:col>4</xdr:col>
      <xdr:colOff>664496</xdr:colOff>
      <xdr:row>24</xdr:row>
      <xdr:rowOff>85962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CEE212C-5199-4415-934D-FE535AF1EC54}"/>
            </a:ext>
          </a:extLst>
        </xdr:cNvPr>
        <xdr:cNvSpPr txBox="1"/>
      </xdr:nvSpPr>
      <xdr:spPr>
        <a:xfrm>
          <a:off x="308026" y="4029312"/>
          <a:ext cx="188047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rgbClr val="3A3996"/>
              </a:solidFill>
            </a:rPr>
            <a:t>Mantenimientos ejecutados</a:t>
          </a:r>
        </a:p>
      </xdr:txBody>
    </xdr:sp>
    <xdr:clientData/>
  </xdr:twoCellAnchor>
  <xdr:twoCellAnchor>
    <xdr:from>
      <xdr:col>2</xdr:col>
      <xdr:colOff>317551</xdr:colOff>
      <xdr:row>23</xdr:row>
      <xdr:rowOff>171687</xdr:rowOff>
    </xdr:from>
    <xdr:to>
      <xdr:col>4</xdr:col>
      <xdr:colOff>612825</xdr:colOff>
      <xdr:row>26</xdr:row>
      <xdr:rowOff>85961</xdr:rowOff>
    </xdr:to>
    <xdr:sp macro="" textlink="Analisis!H7">
      <xdr:nvSpPr>
        <xdr:cNvPr id="17" name="CuadroTexto 16">
          <a:extLst>
            <a:ext uri="{FF2B5EF4-FFF2-40B4-BE49-F238E27FC236}">
              <a16:creationId xmlns:a16="http://schemas.microsoft.com/office/drawing/2014/main" id="{D7CC06E4-BC16-4488-8435-79D9F252F2A5}"/>
            </a:ext>
          </a:extLst>
        </xdr:cNvPr>
        <xdr:cNvSpPr txBox="1"/>
      </xdr:nvSpPr>
      <xdr:spPr>
        <a:xfrm>
          <a:off x="317551" y="4553187"/>
          <a:ext cx="1819274" cy="485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64F0433-4523-48BB-9B27-9B8C42BBEBA4}" type="TxLink">
            <a:rPr lang="en-US" sz="2000" b="0" i="0" u="none" strike="noStrike">
              <a:solidFill>
                <a:srgbClr val="3A3996"/>
              </a:solidFill>
              <a:latin typeface="Aptos Narrow"/>
              <a:ea typeface="+mn-ea"/>
              <a:cs typeface="+mn-cs"/>
            </a:rPr>
            <a:pPr marL="0" indent="0" algn="ctr"/>
            <a:t>333</a:t>
          </a:fld>
          <a:endParaRPr lang="es-PE" sz="2000" b="0" i="0" u="none" strike="noStrike">
            <a:solidFill>
              <a:srgbClr val="3A399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312921</xdr:colOff>
      <xdr:row>25</xdr:row>
      <xdr:rowOff>111554</xdr:rowOff>
    </xdr:from>
    <xdr:to>
      <xdr:col>4</xdr:col>
      <xdr:colOff>743359</xdr:colOff>
      <xdr:row>28</xdr:row>
      <xdr:rowOff>177043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BC42137-46D4-4BAD-BD1B-E77310B29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608524</xdr:colOff>
      <xdr:row>21</xdr:row>
      <xdr:rowOff>32099</xdr:rowOff>
    </xdr:from>
    <xdr:to>
      <xdr:col>8</xdr:col>
      <xdr:colOff>483724</xdr:colOff>
      <xdr:row>28</xdr:row>
      <xdr:rowOff>167399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23ED53B5-6DD5-43EA-A49B-6AD137FD2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300361</xdr:colOff>
      <xdr:row>15</xdr:row>
      <xdr:rowOff>139022</xdr:rowOff>
    </xdr:from>
    <xdr:to>
      <xdr:col>4</xdr:col>
      <xdr:colOff>709730</xdr:colOff>
      <xdr:row>19</xdr:row>
      <xdr:rowOff>10622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16FDDE48-8595-4095-B1A9-50FF131CD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140655</xdr:colOff>
      <xdr:row>30</xdr:row>
      <xdr:rowOff>77156</xdr:rowOff>
    </xdr:from>
    <xdr:to>
      <xdr:col>8</xdr:col>
      <xdr:colOff>649876</xdr:colOff>
      <xdr:row>39</xdr:row>
      <xdr:rowOff>58106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57BC89D0-44C4-49C7-8CCD-48F0F147624F}"/>
            </a:ext>
          </a:extLst>
        </xdr:cNvPr>
        <xdr:cNvSpPr/>
      </xdr:nvSpPr>
      <xdr:spPr>
        <a:xfrm>
          <a:off x="140655" y="5792156"/>
          <a:ext cx="5081221" cy="1695450"/>
        </a:xfrm>
        <a:prstGeom prst="roundRect">
          <a:avLst/>
        </a:prstGeom>
        <a:solidFill>
          <a:schemeClr val="bg1"/>
        </a:solidFill>
        <a:ln w="12700">
          <a:noFill/>
        </a:ln>
        <a:effectLst>
          <a:outerShdw blurRad="50800" dist="50800" dir="5400000" algn="ctr" rotWithShape="0">
            <a:srgbClr val="A7A4DC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260818</xdr:colOff>
      <xdr:row>31</xdr:row>
      <xdr:rowOff>42589</xdr:rowOff>
    </xdr:from>
    <xdr:to>
      <xdr:col>4</xdr:col>
      <xdr:colOff>617287</xdr:colOff>
      <xdr:row>34</xdr:row>
      <xdr:rowOff>99739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D47C61C-9165-4169-8668-4AF74F95620E}"/>
            </a:ext>
          </a:extLst>
        </xdr:cNvPr>
        <xdr:cNvSpPr txBox="1"/>
      </xdr:nvSpPr>
      <xdr:spPr>
        <a:xfrm>
          <a:off x="260818" y="5948089"/>
          <a:ext cx="1880469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rgbClr val="3A3996"/>
              </a:solidFill>
            </a:rPr>
            <a:t>Mantenimientos no ejecutados</a:t>
          </a:r>
        </a:p>
      </xdr:txBody>
    </xdr:sp>
    <xdr:clientData/>
  </xdr:twoCellAnchor>
  <xdr:twoCellAnchor>
    <xdr:from>
      <xdr:col>2</xdr:col>
      <xdr:colOff>270343</xdr:colOff>
      <xdr:row>33</xdr:row>
      <xdr:rowOff>185464</xdr:rowOff>
    </xdr:from>
    <xdr:to>
      <xdr:col>4</xdr:col>
      <xdr:colOff>565616</xdr:colOff>
      <xdr:row>36</xdr:row>
      <xdr:rowOff>99738</xdr:rowOff>
    </xdr:to>
    <xdr:sp macro="" textlink="Analisis!K7">
      <xdr:nvSpPr>
        <xdr:cNvPr id="25" name="CuadroTexto 24">
          <a:extLst>
            <a:ext uri="{FF2B5EF4-FFF2-40B4-BE49-F238E27FC236}">
              <a16:creationId xmlns:a16="http://schemas.microsoft.com/office/drawing/2014/main" id="{46BCDD0D-D3A7-4E40-B818-FF9B410D485A}"/>
            </a:ext>
          </a:extLst>
        </xdr:cNvPr>
        <xdr:cNvSpPr txBox="1"/>
      </xdr:nvSpPr>
      <xdr:spPr>
        <a:xfrm>
          <a:off x="270343" y="6471964"/>
          <a:ext cx="1819273" cy="485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7E9F78C-4831-4AA6-80A2-B4B4751C579F}" type="TxLink">
            <a:rPr lang="en-US" sz="2000" b="0" i="0" u="none" strike="noStrike">
              <a:solidFill>
                <a:srgbClr val="3A3996"/>
              </a:solidFill>
              <a:latin typeface="Aptos Narrow"/>
              <a:ea typeface="+mn-ea"/>
              <a:cs typeface="+mn-cs"/>
            </a:rPr>
            <a:pPr marL="0" indent="0" algn="ctr"/>
            <a:t>146</a:t>
          </a:fld>
          <a:endParaRPr lang="es-PE" sz="2000" b="0" i="0" u="none" strike="noStrike">
            <a:solidFill>
              <a:srgbClr val="3A399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265713</xdr:colOff>
      <xdr:row>35</xdr:row>
      <xdr:rowOff>129977</xdr:rowOff>
    </xdr:from>
    <xdr:to>
      <xdr:col>4</xdr:col>
      <xdr:colOff>696150</xdr:colOff>
      <xdr:row>39</xdr:row>
      <xdr:rowOff>320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EF2D5CC-44D2-490F-B37B-4AF07EE11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147234</xdr:colOff>
      <xdr:row>40</xdr:row>
      <xdr:rowOff>55059</xdr:rowOff>
    </xdr:from>
    <xdr:to>
      <xdr:col>8</xdr:col>
      <xdr:colOff>656455</xdr:colOff>
      <xdr:row>49</xdr:row>
      <xdr:rowOff>36675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4B052F65-D860-49B4-8228-7B8CFEE949F0}"/>
            </a:ext>
          </a:extLst>
        </xdr:cNvPr>
        <xdr:cNvSpPr/>
      </xdr:nvSpPr>
      <xdr:spPr>
        <a:xfrm>
          <a:off x="147234" y="7675059"/>
          <a:ext cx="5081221" cy="1696116"/>
        </a:xfrm>
        <a:prstGeom prst="roundRect">
          <a:avLst/>
        </a:prstGeom>
        <a:solidFill>
          <a:schemeClr val="bg1"/>
        </a:solidFill>
        <a:ln w="12700">
          <a:noFill/>
        </a:ln>
        <a:effectLst>
          <a:outerShdw blurRad="50800" dist="50800" dir="5400000" algn="ctr" rotWithShape="0">
            <a:srgbClr val="A7A4DC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304854</xdr:colOff>
      <xdr:row>40</xdr:row>
      <xdr:rowOff>179551</xdr:rowOff>
    </xdr:from>
    <xdr:to>
      <xdr:col>4</xdr:col>
      <xdr:colOff>661323</xdr:colOff>
      <xdr:row>44</xdr:row>
      <xdr:rowOff>45535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1B20216D-758A-4651-9F71-7F56477BB1B1}"/>
            </a:ext>
          </a:extLst>
        </xdr:cNvPr>
        <xdr:cNvSpPr txBox="1"/>
      </xdr:nvSpPr>
      <xdr:spPr>
        <a:xfrm>
          <a:off x="304854" y="7799551"/>
          <a:ext cx="1880469" cy="6279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rgbClr val="3A3996"/>
              </a:solidFill>
            </a:rPr>
            <a:t>Mantenimientos pendientes</a:t>
          </a:r>
        </a:p>
      </xdr:txBody>
    </xdr:sp>
    <xdr:clientData/>
  </xdr:twoCellAnchor>
  <xdr:twoCellAnchor>
    <xdr:from>
      <xdr:col>2</xdr:col>
      <xdr:colOff>314379</xdr:colOff>
      <xdr:row>43</xdr:row>
      <xdr:rowOff>131926</xdr:rowOff>
    </xdr:from>
    <xdr:to>
      <xdr:col>4</xdr:col>
      <xdr:colOff>609652</xdr:colOff>
      <xdr:row>46</xdr:row>
      <xdr:rowOff>45534</xdr:rowOff>
    </xdr:to>
    <xdr:sp macro="" textlink="Analisis!N7">
      <xdr:nvSpPr>
        <xdr:cNvPr id="30" name="CuadroTexto 29">
          <a:extLst>
            <a:ext uri="{FF2B5EF4-FFF2-40B4-BE49-F238E27FC236}">
              <a16:creationId xmlns:a16="http://schemas.microsoft.com/office/drawing/2014/main" id="{2D98952C-05D7-4068-97BA-A59A24F0B215}"/>
            </a:ext>
          </a:extLst>
        </xdr:cNvPr>
        <xdr:cNvSpPr txBox="1"/>
      </xdr:nvSpPr>
      <xdr:spPr>
        <a:xfrm>
          <a:off x="314379" y="8323426"/>
          <a:ext cx="1819273" cy="485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D3B3ABD-3C65-4557-A6A1-E2F03284E4EF}" type="TxLink">
            <a:rPr lang="en-US" sz="2000" b="0" i="0" u="none" strike="noStrike">
              <a:solidFill>
                <a:srgbClr val="3A3996"/>
              </a:solidFill>
              <a:latin typeface="Aptos Narrow"/>
              <a:ea typeface="+mn-ea"/>
              <a:cs typeface="+mn-cs"/>
            </a:rPr>
            <a:pPr marL="0" indent="0" algn="ctr"/>
            <a:t>71</a:t>
          </a:fld>
          <a:endParaRPr lang="es-PE" sz="2000" b="0" i="0" u="none" strike="noStrike">
            <a:solidFill>
              <a:srgbClr val="3A399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309749</xdr:colOff>
      <xdr:row>45</xdr:row>
      <xdr:rowOff>75773</xdr:rowOff>
    </xdr:from>
    <xdr:to>
      <xdr:col>4</xdr:col>
      <xdr:colOff>740186</xdr:colOff>
      <xdr:row>48</xdr:row>
      <xdr:rowOff>137282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B9AAEF9-5087-4705-846C-0949EE763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636007</xdr:colOff>
      <xdr:row>41</xdr:row>
      <xdr:rowOff>9050</xdr:rowOff>
    </xdr:from>
    <xdr:to>
      <xdr:col>8</xdr:col>
      <xdr:colOff>516346</xdr:colOff>
      <xdr:row>48</xdr:row>
      <xdr:rowOff>105273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559B5A07-ED87-4AEE-858A-A99635632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591180</xdr:colOff>
      <xdr:row>31</xdr:row>
      <xdr:rowOff>52867</xdr:rowOff>
    </xdr:from>
    <xdr:to>
      <xdr:col>8</xdr:col>
      <xdr:colOff>471519</xdr:colOff>
      <xdr:row>38</xdr:row>
      <xdr:rowOff>149090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B5A71B48-D119-4419-9FFD-3EDD2E782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105485</xdr:colOff>
      <xdr:row>17</xdr:row>
      <xdr:rowOff>28584</xdr:rowOff>
    </xdr:from>
    <xdr:to>
      <xdr:col>15</xdr:col>
      <xdr:colOff>586328</xdr:colOff>
      <xdr:row>32</xdr:row>
      <xdr:rowOff>155070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D4D90F56-10CE-49D5-8848-A1936F4D9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735549</xdr:colOff>
      <xdr:row>17</xdr:row>
      <xdr:rowOff>43695</xdr:rowOff>
    </xdr:from>
    <xdr:to>
      <xdr:col>22</xdr:col>
      <xdr:colOff>456532</xdr:colOff>
      <xdr:row>32</xdr:row>
      <xdr:rowOff>170181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28AAC96D-3045-49B2-AC2A-76DA2422F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607827</xdr:colOff>
      <xdr:row>17</xdr:row>
      <xdr:rowOff>52772</xdr:rowOff>
    </xdr:from>
    <xdr:to>
      <xdr:col>29</xdr:col>
      <xdr:colOff>328810</xdr:colOff>
      <xdr:row>32</xdr:row>
      <xdr:rowOff>179258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B2374A3B-BD14-422D-993D-9EAC841F5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111016</xdr:colOff>
      <xdr:row>33</xdr:row>
      <xdr:rowOff>141137</xdr:rowOff>
    </xdr:from>
    <xdr:to>
      <xdr:col>15</xdr:col>
      <xdr:colOff>591859</xdr:colOff>
      <xdr:row>49</xdr:row>
      <xdr:rowOff>73937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22A28A8C-74F5-47BC-8A29-2FAFE7448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731648</xdr:colOff>
      <xdr:row>33</xdr:row>
      <xdr:rowOff>151074</xdr:rowOff>
    </xdr:from>
    <xdr:to>
      <xdr:col>22</xdr:col>
      <xdr:colOff>452631</xdr:colOff>
      <xdr:row>49</xdr:row>
      <xdr:rowOff>83874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7366288-7181-4E00-A9D2-682B1381E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607218</xdr:colOff>
      <xdr:row>33</xdr:row>
      <xdr:rowOff>153855</xdr:rowOff>
    </xdr:from>
    <xdr:to>
      <xdr:col>29</xdr:col>
      <xdr:colOff>328201</xdr:colOff>
      <xdr:row>49</xdr:row>
      <xdr:rowOff>86655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77E835EA-3F87-47D6-B24E-8D7039D6D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15</xdr:col>
      <xdr:colOff>380997</xdr:colOff>
      <xdr:row>0</xdr:row>
      <xdr:rowOff>121415</xdr:rowOff>
    </xdr:from>
    <xdr:to>
      <xdr:col>17</xdr:col>
      <xdr:colOff>540447</xdr:colOff>
      <xdr:row>11</xdr:row>
      <xdr:rowOff>132669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rimestre 1">
              <a:extLst>
                <a:ext uri="{FF2B5EF4-FFF2-40B4-BE49-F238E27FC236}">
                  <a16:creationId xmlns:a16="http://schemas.microsoft.com/office/drawing/2014/main" id="{71300C8B-1AD8-47BE-83FA-E39A3CE5B4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6997" y="121415"/>
              <a:ext cx="1683450" cy="21781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602800</xdr:colOff>
      <xdr:row>0</xdr:row>
      <xdr:rowOff>122463</xdr:rowOff>
    </xdr:from>
    <xdr:to>
      <xdr:col>20</xdr:col>
      <xdr:colOff>216250</xdr:colOff>
      <xdr:row>6</xdr:row>
      <xdr:rowOff>51026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emestre 1">
              <a:extLst>
                <a:ext uri="{FF2B5EF4-FFF2-40B4-BE49-F238E27FC236}">
                  <a16:creationId xmlns:a16="http://schemas.microsoft.com/office/drawing/2014/main" id="{3B712405-3EDA-4601-AA5F-89487B51D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2800" y="122463"/>
              <a:ext cx="1899450" cy="1143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446837</xdr:colOff>
      <xdr:row>0</xdr:row>
      <xdr:rowOff>120370</xdr:rowOff>
    </xdr:from>
    <xdr:to>
      <xdr:col>27</xdr:col>
      <xdr:colOff>125837</xdr:colOff>
      <xdr:row>11</xdr:row>
      <xdr:rowOff>51026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Máquinas 1">
              <a:extLst>
                <a:ext uri="{FF2B5EF4-FFF2-40B4-BE49-F238E27FC236}">
                  <a16:creationId xmlns:a16="http://schemas.microsoft.com/office/drawing/2014/main" id="{B52A8458-9C8D-4C64-ADB9-391ACD61A6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áquina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10837" y="120370"/>
              <a:ext cx="1965000" cy="2097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160038</xdr:colOff>
      <xdr:row>0</xdr:row>
      <xdr:rowOff>121420</xdr:rowOff>
    </xdr:from>
    <xdr:to>
      <xdr:col>29</xdr:col>
      <xdr:colOff>601038</xdr:colOff>
      <xdr:row>11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Marca 1">
              <a:extLst>
                <a:ext uri="{FF2B5EF4-FFF2-40B4-BE49-F238E27FC236}">
                  <a16:creationId xmlns:a16="http://schemas.microsoft.com/office/drawing/2014/main" id="{B340FC17-4F41-449A-BC22-60A8B6B660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10038" y="121420"/>
              <a:ext cx="1965000" cy="2069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595470</xdr:colOff>
      <xdr:row>6</xdr:row>
      <xdr:rowOff>15702</xdr:rowOff>
    </xdr:from>
    <xdr:to>
      <xdr:col>20</xdr:col>
      <xdr:colOff>208920</xdr:colOff>
      <xdr:row>12</xdr:row>
      <xdr:rowOff>13608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Estatus 1">
              <a:extLst>
                <a:ext uri="{FF2B5EF4-FFF2-40B4-BE49-F238E27FC236}">
                  <a16:creationId xmlns:a16="http://schemas.microsoft.com/office/drawing/2014/main" id="{E46AB47B-4941-4E98-8D9D-A53AC27561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5470" y="1158702"/>
              <a:ext cx="1899450" cy="11409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40822</xdr:colOff>
      <xdr:row>0</xdr:row>
      <xdr:rowOff>122464</xdr:rowOff>
    </xdr:from>
    <xdr:to>
      <xdr:col>15</xdr:col>
      <xdr:colOff>341422</xdr:colOff>
      <xdr:row>11</xdr:row>
      <xdr:rowOff>173491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es Texto 1">
              <a:extLst>
                <a:ext uri="{FF2B5EF4-FFF2-40B4-BE49-F238E27FC236}">
                  <a16:creationId xmlns:a16="http://schemas.microsoft.com/office/drawing/2014/main" id="{C5E51661-D824-4FC7-9C0B-A1B14CCCD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Tex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4822" y="122464"/>
              <a:ext cx="4872600" cy="2217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258535</xdr:colOff>
      <xdr:row>0</xdr:row>
      <xdr:rowOff>116711</xdr:rowOff>
    </xdr:from>
    <xdr:to>
      <xdr:col>24</xdr:col>
      <xdr:colOff>434561</xdr:colOff>
      <xdr:row>11</xdr:row>
      <xdr:rowOff>51027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Tipo_Equipo 1">
              <a:extLst>
                <a:ext uri="{FF2B5EF4-FFF2-40B4-BE49-F238E27FC236}">
                  <a16:creationId xmlns:a16="http://schemas.microsoft.com/office/drawing/2014/main" id="{5E53D448-58AB-4189-99DA-DB59ACB6F6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Equi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4535" y="116711"/>
              <a:ext cx="3224026" cy="2101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122465</xdr:colOff>
      <xdr:row>11</xdr:row>
      <xdr:rowOff>176890</xdr:rowOff>
    </xdr:from>
    <xdr:to>
      <xdr:col>12</xdr:col>
      <xdr:colOff>95256</xdr:colOff>
      <xdr:row>16</xdr:row>
      <xdr:rowOff>69734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9715E0DA-0EE8-43E0-9389-64EA9B350A7A}"/>
            </a:ext>
          </a:extLst>
        </xdr:cNvPr>
        <xdr:cNvSpPr/>
      </xdr:nvSpPr>
      <xdr:spPr>
        <a:xfrm>
          <a:off x="5456465" y="2272390"/>
          <a:ext cx="2258791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149679</xdr:colOff>
      <xdr:row>13</xdr:row>
      <xdr:rowOff>108856</xdr:rowOff>
    </xdr:from>
    <xdr:to>
      <xdr:col>12</xdr:col>
      <xdr:colOff>68037</xdr:colOff>
      <xdr:row>16</xdr:row>
      <xdr:rowOff>40821</xdr:rowOff>
    </xdr:to>
    <xdr:sp macro="" textlink="Analisis!B71">
      <xdr:nvSpPr>
        <xdr:cNvPr id="41" name="CuadroTexto 40">
          <a:extLst>
            <a:ext uri="{FF2B5EF4-FFF2-40B4-BE49-F238E27FC236}">
              <a16:creationId xmlns:a16="http://schemas.microsoft.com/office/drawing/2014/main" id="{CC59CDE4-3FE3-4101-B028-425AB712ABDD}"/>
            </a:ext>
          </a:extLst>
        </xdr:cNvPr>
        <xdr:cNvSpPr txBox="1"/>
      </xdr:nvSpPr>
      <xdr:spPr>
        <a:xfrm>
          <a:off x="5483679" y="2585356"/>
          <a:ext cx="2204358" cy="50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1350ABC-F2D0-42E1-862C-58EAC4DEABA6}" type="TxLink">
            <a:rPr lang="en-US" sz="1800" b="0" i="0" u="none" strike="noStrike">
              <a:solidFill>
                <a:srgbClr val="6661C1"/>
              </a:solidFill>
              <a:latin typeface="Aptos Narrow"/>
              <a:ea typeface="+mn-ea"/>
              <a:cs typeface="+mn-cs"/>
            </a:rPr>
            <a:pPr marL="0" indent="0" algn="ctr"/>
            <a:t>443166.00</a:t>
          </a:fld>
          <a:endParaRPr lang="en-US" sz="1800" b="0" i="0" u="none" strike="noStrike">
            <a:solidFill>
              <a:srgbClr val="6661C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136071</xdr:colOff>
      <xdr:row>12</xdr:row>
      <xdr:rowOff>95250</xdr:rowOff>
    </xdr:from>
    <xdr:to>
      <xdr:col>12</xdr:col>
      <xdr:colOff>81643</xdr:colOff>
      <xdr:row>14</xdr:row>
      <xdr:rowOff>13607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7DE453D2-4036-48B9-993B-F55FB57C7AEC}"/>
            </a:ext>
          </a:extLst>
        </xdr:cNvPr>
        <xdr:cNvSpPr txBox="1"/>
      </xdr:nvSpPr>
      <xdr:spPr>
        <a:xfrm>
          <a:off x="5470071" y="2381250"/>
          <a:ext cx="2231572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COSTO</a:t>
          </a:r>
          <a:r>
            <a:rPr lang="en-US" sz="1200" b="0" i="0" u="none" strike="noStrike" baseline="0">
              <a:solidFill>
                <a:srgbClr val="6661C1"/>
              </a:solidFill>
              <a:latin typeface="+mn-lt"/>
            </a:rPr>
            <a:t> DE MANO DE OBRA</a:t>
          </a:r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:</a:t>
          </a:r>
        </a:p>
      </xdr:txBody>
    </xdr:sp>
    <xdr:clientData/>
  </xdr:twoCellAnchor>
  <xdr:twoCellAnchor>
    <xdr:from>
      <xdr:col>25</xdr:col>
      <xdr:colOff>204091</xdr:colOff>
      <xdr:row>12</xdr:row>
      <xdr:rowOff>27217</xdr:rowOff>
    </xdr:from>
    <xdr:to>
      <xdr:col>29</xdr:col>
      <xdr:colOff>326571</xdr:colOff>
      <xdr:row>16</xdr:row>
      <xdr:rowOff>110561</xdr:rowOff>
    </xdr:to>
    <xdr:sp macro="" textlink="">
      <xdr:nvSpPr>
        <xdr:cNvPr id="73" name="Rectángulo: esquinas redondeadas 72">
          <a:extLst>
            <a:ext uri="{FF2B5EF4-FFF2-40B4-BE49-F238E27FC236}">
              <a16:creationId xmlns:a16="http://schemas.microsoft.com/office/drawing/2014/main" id="{178009CA-EDDB-45B3-B3FA-52B244A26597}"/>
            </a:ext>
          </a:extLst>
        </xdr:cNvPr>
        <xdr:cNvSpPr/>
      </xdr:nvSpPr>
      <xdr:spPr>
        <a:xfrm>
          <a:off x="17730091" y="2313217"/>
          <a:ext cx="3170480" cy="845344"/>
        </a:xfrm>
        <a:prstGeom prst="roundRect">
          <a:avLst/>
        </a:prstGeom>
        <a:gradFill flip="none" rotWithShape="1">
          <a:gsLst>
            <a:gs pos="0">
              <a:srgbClr val="9B98D8"/>
            </a:gs>
            <a:gs pos="100000">
              <a:srgbClr val="6661C1"/>
            </a:gs>
          </a:gsLst>
          <a:path path="circle">
            <a:fillToRect l="100000" t="100000"/>
          </a:path>
          <a:tileRect r="-100000" b="-100000"/>
        </a:gra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25</xdr:col>
      <xdr:colOff>204107</xdr:colOff>
      <xdr:row>13</xdr:row>
      <xdr:rowOff>149678</xdr:rowOff>
    </xdr:from>
    <xdr:to>
      <xdr:col>27</xdr:col>
      <xdr:colOff>408107</xdr:colOff>
      <xdr:row>16</xdr:row>
      <xdr:rowOff>76542</xdr:rowOff>
    </xdr:to>
    <xdr:sp macro="" textlink="Analisis!R68">
      <xdr:nvSpPr>
        <xdr:cNvPr id="74" name="CuadroTexto 73">
          <a:extLst>
            <a:ext uri="{FF2B5EF4-FFF2-40B4-BE49-F238E27FC236}">
              <a16:creationId xmlns:a16="http://schemas.microsoft.com/office/drawing/2014/main" id="{640D0066-7301-4491-AE84-D282636131E3}"/>
            </a:ext>
          </a:extLst>
        </xdr:cNvPr>
        <xdr:cNvSpPr txBox="1"/>
      </xdr:nvSpPr>
      <xdr:spPr>
        <a:xfrm>
          <a:off x="17730107" y="2626178"/>
          <a:ext cx="1728000" cy="498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AE45492-0AB8-450C-99E7-7991342C734C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29/12/2023</a:t>
          </a:fld>
          <a:endParaRPr lang="en-US" sz="1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204090</xdr:colOff>
      <xdr:row>12</xdr:row>
      <xdr:rowOff>95249</xdr:rowOff>
    </xdr:from>
    <xdr:to>
      <xdr:col>27</xdr:col>
      <xdr:colOff>408090</xdr:colOff>
      <xdr:row>14</xdr:row>
      <xdr:rowOff>81642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77DB66A1-1C00-45D5-B49A-B83114872F08}"/>
            </a:ext>
          </a:extLst>
        </xdr:cNvPr>
        <xdr:cNvSpPr txBox="1"/>
      </xdr:nvSpPr>
      <xdr:spPr>
        <a:xfrm>
          <a:off x="17730090" y="2381249"/>
          <a:ext cx="1728000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chemeClr val="bg1"/>
              </a:solidFill>
              <a:latin typeface="+mn-lt"/>
            </a:rPr>
            <a:t>FALLA MÁS RECIENTE:</a:t>
          </a:r>
        </a:p>
      </xdr:txBody>
    </xdr:sp>
    <xdr:clientData/>
  </xdr:twoCellAnchor>
  <xdr:twoCellAnchor>
    <xdr:from>
      <xdr:col>12</xdr:col>
      <xdr:colOff>288473</xdr:colOff>
      <xdr:row>12</xdr:row>
      <xdr:rowOff>2719</xdr:rowOff>
    </xdr:from>
    <xdr:to>
      <xdr:col>15</xdr:col>
      <xdr:colOff>261264</xdr:colOff>
      <xdr:row>16</xdr:row>
      <xdr:rowOff>86063</xdr:rowOff>
    </xdr:to>
    <xdr:sp macro="" textlink="">
      <xdr:nvSpPr>
        <xdr:cNvPr id="79" name="Rectángulo: esquinas redondeadas 78">
          <a:extLst>
            <a:ext uri="{FF2B5EF4-FFF2-40B4-BE49-F238E27FC236}">
              <a16:creationId xmlns:a16="http://schemas.microsoft.com/office/drawing/2014/main" id="{1DAD9690-3201-47AC-AE11-4C5B2ADB126A}"/>
            </a:ext>
          </a:extLst>
        </xdr:cNvPr>
        <xdr:cNvSpPr/>
      </xdr:nvSpPr>
      <xdr:spPr>
        <a:xfrm>
          <a:off x="7908473" y="2288719"/>
          <a:ext cx="2258791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315687</xdr:colOff>
      <xdr:row>13</xdr:row>
      <xdr:rowOff>125185</xdr:rowOff>
    </xdr:from>
    <xdr:to>
      <xdr:col>15</xdr:col>
      <xdr:colOff>234045</xdr:colOff>
      <xdr:row>16</xdr:row>
      <xdr:rowOff>57150</xdr:rowOff>
    </xdr:to>
    <xdr:sp macro="" textlink="Analisis!D71">
      <xdr:nvSpPr>
        <xdr:cNvPr id="80" name="CuadroTexto 79">
          <a:extLst>
            <a:ext uri="{FF2B5EF4-FFF2-40B4-BE49-F238E27FC236}">
              <a16:creationId xmlns:a16="http://schemas.microsoft.com/office/drawing/2014/main" id="{FDB9238F-0FE4-45EA-A3E0-ACB52ABE7B41}"/>
            </a:ext>
          </a:extLst>
        </xdr:cNvPr>
        <xdr:cNvSpPr txBox="1"/>
      </xdr:nvSpPr>
      <xdr:spPr>
        <a:xfrm>
          <a:off x="7935687" y="2601685"/>
          <a:ext cx="2204358" cy="50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412E7A6-22A7-4B3B-AA90-9459A996ACDF}" type="TxLink">
            <a:rPr lang="en-US" sz="1800" b="0" i="0" u="none" strike="noStrike">
              <a:solidFill>
                <a:srgbClr val="6661C1"/>
              </a:solidFill>
              <a:latin typeface="Aptos Narrow"/>
              <a:ea typeface="+mn-ea"/>
              <a:cs typeface="+mn-cs"/>
            </a:rPr>
            <a:pPr marL="0" indent="0" algn="ctr"/>
            <a:t>348926</a:t>
          </a:fld>
          <a:endParaRPr lang="en-US" sz="1800" b="0" i="0" u="none" strike="noStrike">
            <a:solidFill>
              <a:srgbClr val="6661C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302079</xdr:colOff>
      <xdr:row>12</xdr:row>
      <xdr:rowOff>111579</xdr:rowOff>
    </xdr:from>
    <xdr:to>
      <xdr:col>15</xdr:col>
      <xdr:colOff>247651</xdr:colOff>
      <xdr:row>14</xdr:row>
      <xdr:rowOff>29936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EFD3733C-B07F-41F1-B6FF-EAE2560036CF}"/>
            </a:ext>
          </a:extLst>
        </xdr:cNvPr>
        <xdr:cNvSpPr txBox="1"/>
      </xdr:nvSpPr>
      <xdr:spPr>
        <a:xfrm>
          <a:off x="7922079" y="2397579"/>
          <a:ext cx="2231572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COSTO</a:t>
          </a:r>
          <a:r>
            <a:rPr lang="en-US" sz="1200" b="0" i="0" u="none" strike="noStrike" baseline="0">
              <a:solidFill>
                <a:srgbClr val="6661C1"/>
              </a:solidFill>
              <a:latin typeface="+mn-lt"/>
            </a:rPr>
            <a:t> DE MATERIALES</a:t>
          </a:r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:</a:t>
          </a:r>
        </a:p>
      </xdr:txBody>
    </xdr:sp>
    <xdr:clientData/>
  </xdr:twoCellAnchor>
  <xdr:twoCellAnchor>
    <xdr:from>
      <xdr:col>15</xdr:col>
      <xdr:colOff>468087</xdr:colOff>
      <xdr:row>12</xdr:row>
      <xdr:rowOff>5441</xdr:rowOff>
    </xdr:from>
    <xdr:to>
      <xdr:col>18</xdr:col>
      <xdr:colOff>440878</xdr:colOff>
      <xdr:row>16</xdr:row>
      <xdr:rowOff>88785</xdr:rowOff>
    </xdr:to>
    <xdr:sp macro="" textlink="">
      <xdr:nvSpPr>
        <xdr:cNvPr id="82" name="Rectángulo: esquinas redondeadas 81">
          <a:extLst>
            <a:ext uri="{FF2B5EF4-FFF2-40B4-BE49-F238E27FC236}">
              <a16:creationId xmlns:a16="http://schemas.microsoft.com/office/drawing/2014/main" id="{9CF64205-086F-4751-A606-E32A5D62B3BC}"/>
            </a:ext>
          </a:extLst>
        </xdr:cNvPr>
        <xdr:cNvSpPr/>
      </xdr:nvSpPr>
      <xdr:spPr>
        <a:xfrm>
          <a:off x="10374087" y="2291441"/>
          <a:ext cx="2258791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15</xdr:col>
      <xdr:colOff>495301</xdr:colOff>
      <xdr:row>13</xdr:row>
      <xdr:rowOff>127907</xdr:rowOff>
    </xdr:from>
    <xdr:to>
      <xdr:col>18</xdr:col>
      <xdr:colOff>413659</xdr:colOff>
      <xdr:row>16</xdr:row>
      <xdr:rowOff>59872</xdr:rowOff>
    </xdr:to>
    <xdr:sp macro="" textlink="Analisis!F71">
      <xdr:nvSpPr>
        <xdr:cNvPr id="83" name="CuadroTexto 82">
          <a:extLst>
            <a:ext uri="{FF2B5EF4-FFF2-40B4-BE49-F238E27FC236}">
              <a16:creationId xmlns:a16="http://schemas.microsoft.com/office/drawing/2014/main" id="{D9B77338-287B-4B21-9F7F-6FB70005D131}"/>
            </a:ext>
          </a:extLst>
        </xdr:cNvPr>
        <xdr:cNvSpPr txBox="1"/>
      </xdr:nvSpPr>
      <xdr:spPr>
        <a:xfrm>
          <a:off x="10401301" y="2604407"/>
          <a:ext cx="2204358" cy="50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8B3E298-2BED-4718-BE86-E84D20EB4B6C}" type="TxLink">
            <a:rPr lang="en-US" sz="1800" b="0" i="0" u="none" strike="noStrike">
              <a:solidFill>
                <a:srgbClr val="6661C1"/>
              </a:solidFill>
              <a:latin typeface="Aptos Narrow"/>
              <a:ea typeface="+mn-ea"/>
              <a:cs typeface="+mn-cs"/>
            </a:rPr>
            <a:pPr marL="0" indent="0" algn="ctr"/>
            <a:t>419</a:t>
          </a:fld>
          <a:endParaRPr lang="en-US" sz="1800" b="0" i="0" u="none" strike="noStrike">
            <a:solidFill>
              <a:srgbClr val="6661C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481693</xdr:colOff>
      <xdr:row>12</xdr:row>
      <xdr:rowOff>114301</xdr:rowOff>
    </xdr:from>
    <xdr:to>
      <xdr:col>18</xdr:col>
      <xdr:colOff>427265</xdr:colOff>
      <xdr:row>14</xdr:row>
      <xdr:rowOff>32658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3D7E220A-78E2-47C5-B68B-32547FB77157}"/>
            </a:ext>
          </a:extLst>
        </xdr:cNvPr>
        <xdr:cNvSpPr txBox="1"/>
      </xdr:nvSpPr>
      <xdr:spPr>
        <a:xfrm>
          <a:off x="10387693" y="2400301"/>
          <a:ext cx="2231572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MÁQUINAS INSERVIBLES:</a:t>
          </a:r>
        </a:p>
      </xdr:txBody>
    </xdr:sp>
    <xdr:clientData/>
  </xdr:twoCellAnchor>
  <xdr:twoCellAnchor>
    <xdr:from>
      <xdr:col>18</xdr:col>
      <xdr:colOff>620487</xdr:colOff>
      <xdr:row>12</xdr:row>
      <xdr:rowOff>8163</xdr:rowOff>
    </xdr:from>
    <xdr:to>
      <xdr:col>21</xdr:col>
      <xdr:colOff>593278</xdr:colOff>
      <xdr:row>16</xdr:row>
      <xdr:rowOff>91507</xdr:rowOff>
    </xdr:to>
    <xdr:sp macro="" textlink="">
      <xdr:nvSpPr>
        <xdr:cNvPr id="85" name="Rectángulo: esquinas redondeadas 84">
          <a:extLst>
            <a:ext uri="{FF2B5EF4-FFF2-40B4-BE49-F238E27FC236}">
              <a16:creationId xmlns:a16="http://schemas.microsoft.com/office/drawing/2014/main" id="{4F9B8DB9-A1CB-4090-93ED-9BA97D07DFBF}"/>
            </a:ext>
          </a:extLst>
        </xdr:cNvPr>
        <xdr:cNvSpPr/>
      </xdr:nvSpPr>
      <xdr:spPr>
        <a:xfrm>
          <a:off x="12812487" y="2294163"/>
          <a:ext cx="2258791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647701</xdr:colOff>
      <xdr:row>13</xdr:row>
      <xdr:rowOff>130629</xdr:rowOff>
    </xdr:from>
    <xdr:to>
      <xdr:col>21</xdr:col>
      <xdr:colOff>566059</xdr:colOff>
      <xdr:row>16</xdr:row>
      <xdr:rowOff>62594</xdr:rowOff>
    </xdr:to>
    <xdr:sp macro="" textlink="Analisis!I71">
      <xdr:nvSpPr>
        <xdr:cNvPr id="86" name="CuadroTexto 85">
          <a:extLst>
            <a:ext uri="{FF2B5EF4-FFF2-40B4-BE49-F238E27FC236}">
              <a16:creationId xmlns:a16="http://schemas.microsoft.com/office/drawing/2014/main" id="{1275DAE8-DFF8-4092-8005-D559AD33DE00}"/>
            </a:ext>
          </a:extLst>
        </xdr:cNvPr>
        <xdr:cNvSpPr txBox="1"/>
      </xdr:nvSpPr>
      <xdr:spPr>
        <a:xfrm>
          <a:off x="12839701" y="2607129"/>
          <a:ext cx="2204358" cy="50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7CAEC48-52F7-401B-8D91-9386CA1FDDEC}" type="TxLink">
            <a:rPr lang="en-US" sz="1800" b="0" i="0" u="none" strike="noStrike">
              <a:solidFill>
                <a:srgbClr val="6661C1"/>
              </a:solidFill>
              <a:latin typeface="Aptos Narrow"/>
              <a:ea typeface="+mn-ea"/>
              <a:cs typeface="+mn-cs"/>
            </a:rPr>
            <a:pPr marL="0" indent="0" algn="ctr"/>
            <a:t>369</a:t>
          </a:fld>
          <a:endParaRPr lang="en-US" sz="1800" b="0" i="0" u="none" strike="noStrike">
            <a:solidFill>
              <a:srgbClr val="6661C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634093</xdr:colOff>
      <xdr:row>12</xdr:row>
      <xdr:rowOff>117023</xdr:rowOff>
    </xdr:from>
    <xdr:to>
      <xdr:col>21</xdr:col>
      <xdr:colOff>579665</xdr:colOff>
      <xdr:row>14</xdr:row>
      <xdr:rowOff>35380</xdr:rowOff>
    </xdr:to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E15E0945-82E5-4E7D-8360-2DBC7C495804}"/>
            </a:ext>
          </a:extLst>
        </xdr:cNvPr>
        <xdr:cNvSpPr txBox="1"/>
      </xdr:nvSpPr>
      <xdr:spPr>
        <a:xfrm>
          <a:off x="12826093" y="2403023"/>
          <a:ext cx="2231572" cy="299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MÁQUINAS EN REPARACIÓN:</a:t>
          </a:r>
        </a:p>
      </xdr:txBody>
    </xdr:sp>
    <xdr:clientData/>
  </xdr:twoCellAnchor>
  <xdr:twoCellAnchor>
    <xdr:from>
      <xdr:col>22</xdr:col>
      <xdr:colOff>24494</xdr:colOff>
      <xdr:row>12</xdr:row>
      <xdr:rowOff>10885</xdr:rowOff>
    </xdr:from>
    <xdr:to>
      <xdr:col>24</xdr:col>
      <xdr:colOff>759285</xdr:colOff>
      <xdr:row>16</xdr:row>
      <xdr:rowOff>94229</xdr:rowOff>
    </xdr:to>
    <xdr:sp macro="" textlink="">
      <xdr:nvSpPr>
        <xdr:cNvPr id="88" name="Rectángulo: esquinas redondeadas 87">
          <a:extLst>
            <a:ext uri="{FF2B5EF4-FFF2-40B4-BE49-F238E27FC236}">
              <a16:creationId xmlns:a16="http://schemas.microsoft.com/office/drawing/2014/main" id="{142898D5-52E5-4582-A9E4-E061E50EFED1}"/>
            </a:ext>
          </a:extLst>
        </xdr:cNvPr>
        <xdr:cNvSpPr/>
      </xdr:nvSpPr>
      <xdr:spPr>
        <a:xfrm>
          <a:off x="15264494" y="2296885"/>
          <a:ext cx="2258791" cy="845344"/>
        </a:xfrm>
        <a:prstGeom prst="round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22</xdr:col>
      <xdr:colOff>51708</xdr:colOff>
      <xdr:row>14</xdr:row>
      <xdr:rowOff>163286</xdr:rowOff>
    </xdr:from>
    <xdr:to>
      <xdr:col>24</xdr:col>
      <xdr:colOff>732066</xdr:colOff>
      <xdr:row>16</xdr:row>
      <xdr:rowOff>24495</xdr:rowOff>
    </xdr:to>
    <xdr:sp macro="" textlink="Analisis!L71">
      <xdr:nvSpPr>
        <xdr:cNvPr id="89" name="CuadroTexto 88">
          <a:extLst>
            <a:ext uri="{FF2B5EF4-FFF2-40B4-BE49-F238E27FC236}">
              <a16:creationId xmlns:a16="http://schemas.microsoft.com/office/drawing/2014/main" id="{DFBFFBC2-C043-411F-8B8F-03DAC6C55274}"/>
            </a:ext>
          </a:extLst>
        </xdr:cNvPr>
        <xdr:cNvSpPr txBox="1"/>
      </xdr:nvSpPr>
      <xdr:spPr>
        <a:xfrm>
          <a:off x="15291708" y="2830286"/>
          <a:ext cx="2204358" cy="242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ED82922-9F81-4AE2-9899-025C0B9D4F26}" type="TxLink">
            <a:rPr lang="en-US" sz="1600" b="0" i="0" u="none" strike="noStrike">
              <a:solidFill>
                <a:srgbClr val="6661C1"/>
              </a:solidFill>
              <a:latin typeface="Aptos Narrow"/>
              <a:ea typeface="+mn-ea"/>
              <a:cs typeface="+mn-cs"/>
            </a:rPr>
            <a:pPr marL="0" indent="0" algn="ctr"/>
            <a:t>15.87142857</a:t>
          </a:fld>
          <a:endParaRPr lang="en-US" sz="1600" b="0" i="0" u="none" strike="noStrike">
            <a:solidFill>
              <a:srgbClr val="6661C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38100</xdr:colOff>
      <xdr:row>12</xdr:row>
      <xdr:rowOff>51710</xdr:rowOff>
    </xdr:from>
    <xdr:to>
      <xdr:col>24</xdr:col>
      <xdr:colOff>745672</xdr:colOff>
      <xdr:row>14</xdr:row>
      <xdr:rowOff>176894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3E4EB30D-30E0-44D8-96CB-C7D453025E28}"/>
            </a:ext>
          </a:extLst>
        </xdr:cNvPr>
        <xdr:cNvSpPr txBox="1"/>
      </xdr:nvSpPr>
      <xdr:spPr>
        <a:xfrm>
          <a:off x="15278100" y="2337710"/>
          <a:ext cx="2231572" cy="5061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PROMEDIO DE TIEMPO</a:t>
          </a:r>
          <a:r>
            <a:rPr lang="en-US" sz="1200" b="0" i="0" u="none" strike="noStrike" baseline="0">
              <a:solidFill>
                <a:srgbClr val="6661C1"/>
              </a:solidFill>
              <a:latin typeface="+mn-lt"/>
            </a:rPr>
            <a:t> DE DEMORA (DÍAS)</a:t>
          </a:r>
          <a:r>
            <a:rPr lang="en-US" sz="1200" b="0" i="0" u="none" strike="noStrike">
              <a:solidFill>
                <a:srgbClr val="6661C1"/>
              </a:solidFill>
              <a:latin typeface="+mn-lt"/>
            </a:rPr>
            <a:t>:</a:t>
          </a:r>
        </a:p>
      </xdr:txBody>
    </xdr:sp>
    <xdr:clientData/>
  </xdr:twoCellAnchor>
  <xdr:twoCellAnchor>
    <xdr:from>
      <xdr:col>27</xdr:col>
      <xdr:colOff>435429</xdr:colOff>
      <xdr:row>12</xdr:row>
      <xdr:rowOff>152399</xdr:rowOff>
    </xdr:from>
    <xdr:to>
      <xdr:col>29</xdr:col>
      <xdr:colOff>272143</xdr:colOff>
      <xdr:row>15</xdr:row>
      <xdr:rowOff>136071</xdr:rowOff>
    </xdr:to>
    <xdr:sp macro="" textlink="Analisis!R72">
      <xdr:nvSpPr>
        <xdr:cNvPr id="91" name="CuadroTexto 90">
          <a:extLst>
            <a:ext uri="{FF2B5EF4-FFF2-40B4-BE49-F238E27FC236}">
              <a16:creationId xmlns:a16="http://schemas.microsoft.com/office/drawing/2014/main" id="{A6C7394A-11AC-4301-B6CF-E7E6752BEE45}"/>
            </a:ext>
          </a:extLst>
        </xdr:cNvPr>
        <xdr:cNvSpPr txBox="1"/>
      </xdr:nvSpPr>
      <xdr:spPr>
        <a:xfrm>
          <a:off x="19485429" y="2438399"/>
          <a:ext cx="1360714" cy="555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A2D5680-0480-46E0-8C22-063A18D12932}" type="TxLink">
            <a:rPr lang="en-US" sz="15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Hace 790 dias</a:t>
          </a:fld>
          <a:endParaRPr lang="en-US" sz="15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394607</xdr:colOff>
      <xdr:row>12</xdr:row>
      <xdr:rowOff>163283</xdr:rowOff>
    </xdr:from>
    <xdr:to>
      <xdr:col>27</xdr:col>
      <xdr:colOff>394607</xdr:colOff>
      <xdr:row>15</xdr:row>
      <xdr:rowOff>167783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B7906099-A603-87C8-051E-9F1E38E6D750}"/>
            </a:ext>
          </a:extLst>
        </xdr:cNvPr>
        <xdr:cNvCxnSpPr/>
      </xdr:nvCxnSpPr>
      <xdr:spPr>
        <a:xfrm>
          <a:off x="19444607" y="2449283"/>
          <a:ext cx="0" cy="57600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163286</xdr:colOff>
      <xdr:row>0</xdr:row>
      <xdr:rowOff>108857</xdr:rowOff>
    </xdr:from>
    <xdr:to>
      <xdr:col>1</xdr:col>
      <xdr:colOff>1492929</xdr:colOff>
      <xdr:row>49</xdr:row>
      <xdr:rowOff>54428</xdr:rowOff>
    </xdr:to>
    <xdr:graphicFrame macro="">
      <xdr:nvGraphicFramePr>
        <xdr:cNvPr id="94" name="Gráfico 93">
          <a:extLst>
            <a:ext uri="{FF2B5EF4-FFF2-40B4-BE49-F238E27FC236}">
              <a16:creationId xmlns:a16="http://schemas.microsoft.com/office/drawing/2014/main" id="{E64496C4-8B73-470A-83BF-A583C7EAF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103754</xdr:colOff>
      <xdr:row>13</xdr:row>
      <xdr:rowOff>85056</xdr:rowOff>
    </xdr:from>
    <xdr:to>
      <xdr:col>1</xdr:col>
      <xdr:colOff>1364116</xdr:colOff>
      <xdr:row>16</xdr:row>
      <xdr:rowOff>13619</xdr:rowOff>
    </xdr:to>
    <xdr:sp macro="" textlink="">
      <xdr:nvSpPr>
        <xdr:cNvPr id="95" name="CuadroTexto 9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1F02C31-004B-42E5-BCED-0F49D160CE4D}"/>
            </a:ext>
          </a:extLst>
        </xdr:cNvPr>
        <xdr:cNvSpPr txBox="1"/>
      </xdr:nvSpPr>
      <xdr:spPr>
        <a:xfrm>
          <a:off x="103754" y="2561556"/>
          <a:ext cx="2947648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>
    <xdr:from>
      <xdr:col>0</xdr:col>
      <xdr:colOff>113278</xdr:colOff>
      <xdr:row>16</xdr:row>
      <xdr:rowOff>166020</xdr:rowOff>
    </xdr:from>
    <xdr:to>
      <xdr:col>1</xdr:col>
      <xdr:colOff>1373640</xdr:colOff>
      <xdr:row>19</xdr:row>
      <xdr:rowOff>94583</xdr:rowOff>
    </xdr:to>
    <xdr:sp macro="" textlink="">
      <xdr:nvSpPr>
        <xdr:cNvPr id="96" name="CuadroTexto 9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EB04965-5E4B-4B4B-8ABA-B628705FB2BF}"/>
            </a:ext>
          </a:extLst>
        </xdr:cNvPr>
        <xdr:cNvSpPr txBox="1"/>
      </xdr:nvSpPr>
      <xdr:spPr>
        <a:xfrm>
          <a:off x="113278" y="3214020"/>
          <a:ext cx="2947648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ANALISIS</a:t>
          </a:r>
        </a:p>
      </xdr:txBody>
    </xdr:sp>
    <xdr:clientData/>
  </xdr:twoCellAnchor>
  <xdr:twoCellAnchor>
    <xdr:from>
      <xdr:col>0</xdr:col>
      <xdr:colOff>110896</xdr:colOff>
      <xdr:row>20</xdr:row>
      <xdr:rowOff>92196</xdr:rowOff>
    </xdr:from>
    <xdr:to>
      <xdr:col>1</xdr:col>
      <xdr:colOff>1371258</xdr:colOff>
      <xdr:row>23</xdr:row>
      <xdr:rowOff>20759</xdr:rowOff>
    </xdr:to>
    <xdr:sp macro="" textlink="">
      <xdr:nvSpPr>
        <xdr:cNvPr id="97" name="CuadroTexto 96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763DE4F-4842-4793-98D3-7648D730A968}"/>
            </a:ext>
          </a:extLst>
        </xdr:cNvPr>
        <xdr:cNvSpPr txBox="1"/>
      </xdr:nvSpPr>
      <xdr:spPr>
        <a:xfrm>
          <a:off x="110896" y="3902196"/>
          <a:ext cx="2947648" cy="5000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300" b="0">
              <a:solidFill>
                <a:schemeClr val="bg1"/>
              </a:solidFill>
            </a:rPr>
            <a:t>DATOS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48150</xdr:colOff>
      <xdr:row>30</xdr:row>
      <xdr:rowOff>136071</xdr:rowOff>
    </xdr:from>
    <xdr:to>
      <xdr:col>3</xdr:col>
      <xdr:colOff>209342</xdr:colOff>
      <xdr:row>42</xdr:row>
      <xdr:rowOff>131256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C851CC-686F-7933-862B-D61F51AD4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728506</xdr:colOff>
      <xdr:row>31</xdr:row>
      <xdr:rowOff>10467</xdr:rowOff>
    </xdr:from>
    <xdr:to>
      <xdr:col>6</xdr:col>
      <xdr:colOff>439615</xdr:colOff>
      <xdr:row>42</xdr:row>
      <xdr:rowOff>26586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7BDA84-9B2D-F1D2-4F4E-F1673F64D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20934</xdr:colOff>
      <xdr:row>30</xdr:row>
      <xdr:rowOff>167472</xdr:rowOff>
    </xdr:from>
    <xdr:to>
      <xdr:col>9</xdr:col>
      <xdr:colOff>334945</xdr:colOff>
      <xdr:row>41</xdr:row>
      <xdr:rowOff>57987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E9EA74F-FC61-EE96-296B-CF8EE1ED8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37682</xdr:colOff>
      <xdr:row>30</xdr:row>
      <xdr:rowOff>41867</xdr:rowOff>
    </xdr:from>
    <xdr:to>
      <xdr:col>12</xdr:col>
      <xdr:colOff>73269</xdr:colOff>
      <xdr:row>41</xdr:row>
      <xdr:rowOff>152190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F67D06-8397-7082-656C-34BABF5CD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764092</xdr:colOff>
      <xdr:row>29</xdr:row>
      <xdr:rowOff>177939</xdr:rowOff>
    </xdr:from>
    <xdr:to>
      <xdr:col>15</xdr:col>
      <xdr:colOff>62802</xdr:colOff>
      <xdr:row>40</xdr:row>
      <xdr:rowOff>146537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5B875D7-E548-D971-3139-563EEF2EA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272143</xdr:colOff>
      <xdr:row>44</xdr:row>
      <xdr:rowOff>136072</xdr:rowOff>
    </xdr:from>
    <xdr:to>
      <xdr:col>3</xdr:col>
      <xdr:colOff>334945</xdr:colOff>
      <xdr:row>58</xdr:row>
      <xdr:rowOff>89388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7AEDA43-BFC3-4165-158E-6DB1838E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644770</xdr:colOff>
      <xdr:row>44</xdr:row>
      <xdr:rowOff>94203</xdr:rowOff>
    </xdr:from>
    <xdr:to>
      <xdr:col>6</xdr:col>
      <xdr:colOff>523352</xdr:colOff>
      <xdr:row>59</xdr:row>
      <xdr:rowOff>5652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D78D9AC-610F-03A9-7655-E5B1277EA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718038</xdr:colOff>
      <xdr:row>44</xdr:row>
      <xdr:rowOff>136072</xdr:rowOff>
    </xdr:from>
    <xdr:to>
      <xdr:col>10</xdr:col>
      <xdr:colOff>41868</xdr:colOff>
      <xdr:row>59</xdr:row>
      <xdr:rowOff>16119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50FEA04-3078-3E83-A242-81C65C188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194686</xdr:colOff>
      <xdr:row>44</xdr:row>
      <xdr:rowOff>167473</xdr:rowOff>
    </xdr:from>
    <xdr:to>
      <xdr:col>12</xdr:col>
      <xdr:colOff>544285</xdr:colOff>
      <xdr:row>58</xdr:row>
      <xdr:rowOff>162657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89A27AB-CF3C-9C1B-21E1-B044011CA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52334</xdr:colOff>
      <xdr:row>44</xdr:row>
      <xdr:rowOff>104670</xdr:rowOff>
    </xdr:from>
    <xdr:to>
      <xdr:col>15</xdr:col>
      <xdr:colOff>475203</xdr:colOff>
      <xdr:row>56</xdr:row>
      <xdr:rowOff>141723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81D14CA-2F50-66E4-962C-D5A681C66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21980</xdr:colOff>
      <xdr:row>87</xdr:row>
      <xdr:rowOff>67616</xdr:rowOff>
    </xdr:from>
    <xdr:to>
      <xdr:col>3</xdr:col>
      <xdr:colOff>303544</xdr:colOff>
      <xdr:row>104</xdr:row>
      <xdr:rowOff>94204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EF53DAA-C204-431E-177E-E8514419B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189453</xdr:colOff>
      <xdr:row>86</xdr:row>
      <xdr:rowOff>161820</xdr:rowOff>
    </xdr:from>
    <xdr:to>
      <xdr:col>7</xdr:col>
      <xdr:colOff>176893</xdr:colOff>
      <xdr:row>101</xdr:row>
      <xdr:rowOff>78921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49D4601-D714-9C38-5B9C-1A2100C1C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137117</xdr:colOff>
      <xdr:row>95</xdr:row>
      <xdr:rowOff>88551</xdr:rowOff>
    </xdr:from>
    <xdr:to>
      <xdr:col>12</xdr:col>
      <xdr:colOff>396700</xdr:colOff>
      <xdr:row>110</xdr:row>
      <xdr:rowOff>5652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C8B1C9A-FAB2-DFAA-448F-7470C3DAA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1046</xdr:colOff>
      <xdr:row>123</xdr:row>
      <xdr:rowOff>172287</xdr:rowOff>
    </xdr:from>
    <xdr:to>
      <xdr:col>5</xdr:col>
      <xdr:colOff>271095</xdr:colOff>
      <xdr:row>138</xdr:row>
      <xdr:rowOff>89388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D42FA6C-0950-F022-6420-861FB7006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681403</xdr:colOff>
      <xdr:row>161</xdr:row>
      <xdr:rowOff>182754</xdr:rowOff>
    </xdr:from>
    <xdr:to>
      <xdr:col>4</xdr:col>
      <xdr:colOff>721178</xdr:colOff>
      <xdr:row>176</xdr:row>
      <xdr:rowOff>99856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CE9014C-7D26-2103-881E-7BF622CA0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63849</xdr:colOff>
      <xdr:row>159</xdr:row>
      <xdr:rowOff>130419</xdr:rowOff>
    </xdr:from>
    <xdr:to>
      <xdr:col>11</xdr:col>
      <xdr:colOff>333898</xdr:colOff>
      <xdr:row>174</xdr:row>
      <xdr:rowOff>47520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B0E916F-35FC-40F6-043F-9D453B5D9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2</xdr:col>
      <xdr:colOff>614311</xdr:colOff>
      <xdr:row>180</xdr:row>
      <xdr:rowOff>108333</xdr:rowOff>
    </xdr:from>
    <xdr:to>
      <xdr:col>4</xdr:col>
      <xdr:colOff>171765</xdr:colOff>
      <xdr:row>194</xdr:row>
      <xdr:rowOff>137641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Trimestre">
              <a:extLst>
                <a:ext uri="{FF2B5EF4-FFF2-40B4-BE49-F238E27FC236}">
                  <a16:creationId xmlns:a16="http://schemas.microsoft.com/office/drawing/2014/main" id="{66939F3E-66B0-9A7C-85D8-B2288EB35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5190" y="3402152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807952</xdr:colOff>
      <xdr:row>180</xdr:row>
      <xdr:rowOff>82165</xdr:rowOff>
    </xdr:from>
    <xdr:to>
      <xdr:col>6</xdr:col>
      <xdr:colOff>511944</xdr:colOff>
      <xdr:row>194</xdr:row>
      <xdr:rowOff>111473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Semestre">
              <a:extLst>
                <a:ext uri="{FF2B5EF4-FFF2-40B4-BE49-F238E27FC236}">
                  <a16:creationId xmlns:a16="http://schemas.microsoft.com/office/drawing/2014/main" id="{27F9AA7D-9383-3EEE-DF86-94733891BE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0177" y="3399535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739916</xdr:colOff>
      <xdr:row>195</xdr:row>
      <xdr:rowOff>97866</xdr:rowOff>
    </xdr:from>
    <xdr:to>
      <xdr:col>7</xdr:col>
      <xdr:colOff>4293</xdr:colOff>
      <xdr:row>209</xdr:row>
      <xdr:rowOff>127174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Máquinas">
              <a:extLst>
                <a:ext uri="{FF2B5EF4-FFF2-40B4-BE49-F238E27FC236}">
                  <a16:creationId xmlns:a16="http://schemas.microsoft.com/office/drawing/2014/main" id="{753BEB29-4D73-58FE-A0DA-78ACDD2A7A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áquin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9504" y="36837152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745150</xdr:colOff>
      <xdr:row>198</xdr:row>
      <xdr:rowOff>50765</xdr:rowOff>
    </xdr:from>
    <xdr:to>
      <xdr:col>2</xdr:col>
      <xdr:colOff>1077164</xdr:colOff>
      <xdr:row>212</xdr:row>
      <xdr:rowOff>80072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Marca">
              <a:extLst>
                <a:ext uri="{FF2B5EF4-FFF2-40B4-BE49-F238E27FC236}">
                  <a16:creationId xmlns:a16="http://schemas.microsoft.com/office/drawing/2014/main" id="{B15C8D8F-4C03-DC6C-C519-0A38887898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9243" y="3735527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373570</xdr:colOff>
      <xdr:row>197</xdr:row>
      <xdr:rowOff>24597</xdr:rowOff>
    </xdr:from>
    <xdr:to>
      <xdr:col>5</xdr:col>
      <xdr:colOff>621848</xdr:colOff>
      <xdr:row>211</xdr:row>
      <xdr:rowOff>53905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Estatus">
              <a:extLst>
                <a:ext uri="{FF2B5EF4-FFF2-40B4-BE49-F238E27FC236}">
                  <a16:creationId xmlns:a16="http://schemas.microsoft.com/office/drawing/2014/main" id="{E4A04465-1764-2C11-16FD-D65BBF2822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2636" y="37140696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332014</xdr:colOff>
      <xdr:row>195</xdr:row>
      <xdr:rowOff>29307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Mes Texto">
              <a:extLst>
                <a:ext uri="{FF2B5EF4-FFF2-40B4-BE49-F238E27FC236}">
                  <a16:creationId xmlns:a16="http://schemas.microsoft.com/office/drawing/2014/main" id="{08912B12-16A3-4F0A-8477-C04DE6D5DC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Tex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093" y="34101593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332014</xdr:colOff>
      <xdr:row>229</xdr:row>
      <xdr:rowOff>29308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Tipo_Equipo">
              <a:extLst>
                <a:ext uri="{FF2B5EF4-FFF2-40B4-BE49-F238E27FC236}">
                  <a16:creationId xmlns:a16="http://schemas.microsoft.com/office/drawing/2014/main" id="{D69D650D-100B-4A24-821A-6B58CDEEE0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Equ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093" y="40507418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DASHBOARD%20DE%20RENDIMIENTO%20ACADEMICO.xlsx" TargetMode="External"/><Relationship Id="rId1" Type="http://schemas.openxmlformats.org/officeDocument/2006/relationships/externalLinkPath" Target="DASHBOARD%20DE%20RENDIMIENTO%20ACADEM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alisis"/>
      <sheetName val="Datos"/>
    </sheetNames>
    <sheetDataSet>
      <sheetData sheetId="0"/>
      <sheetData sheetId="1">
        <row r="17">
          <cell r="I17">
            <v>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ll name" refreshedDate="46078.998689814813" createdVersion="8" refreshedVersion="8" minRefreshableVersion="3" recordCount="1051" xr:uid="{71FEDFBB-3DE9-43CD-8C04-ECEE2BD7A8E4}">
  <cacheSource type="worksheet">
    <worksheetSource name="Datos"/>
  </cacheSource>
  <cacheFields count="22">
    <cacheField name="ID orden" numFmtId="0">
      <sharedItems count="1051">
        <s v="ID-1"/>
        <s v="ID-2"/>
        <s v="ID-3"/>
        <s v="ID-4"/>
        <s v="ID-5"/>
        <s v="ID-6"/>
        <s v="ID-7"/>
        <s v="ID-8"/>
        <s v="ID-9"/>
        <s v="ID-10"/>
        <s v="ID-11"/>
        <s v="ID-12"/>
        <s v="ID-13"/>
        <s v="ID-14"/>
        <s v="ID-15"/>
        <s v="ID-16"/>
        <s v="ID-17"/>
        <s v="ID-18"/>
        <s v="ID-19"/>
        <s v="ID-20"/>
        <s v="ID-21"/>
        <s v="ID-22"/>
        <s v="ID-23"/>
        <s v="ID-24"/>
        <s v="ID-25"/>
        <s v="ID-26"/>
        <s v="ID-27"/>
        <s v="ID-28"/>
        <s v="ID-29"/>
        <s v="ID-30"/>
        <s v="ID-31"/>
        <s v="ID-32"/>
        <s v="ID-33"/>
        <s v="ID-34"/>
        <s v="ID-35"/>
        <s v="ID-36"/>
        <s v="ID-37"/>
        <s v="ID-38"/>
        <s v="ID-39"/>
        <s v="ID-40"/>
        <s v="ID-41"/>
        <s v="ID-42"/>
        <s v="ID-43"/>
        <s v="ID-44"/>
        <s v="ID-45"/>
        <s v="ID-46"/>
        <s v="ID-47"/>
        <s v="ID-48"/>
        <s v="ID-49"/>
        <s v="ID-50"/>
        <s v="ID-51"/>
        <s v="ID-52"/>
        <s v="ID-53"/>
        <s v="ID-54"/>
        <s v="ID-55"/>
        <s v="ID-56"/>
        <s v="ID-57"/>
        <s v="ID-58"/>
        <s v="ID-59"/>
        <s v="ID-60"/>
        <s v="ID-61"/>
        <s v="ID-62"/>
        <s v="ID-63"/>
        <s v="ID-64"/>
        <s v="ID-65"/>
        <s v="ID-66"/>
        <s v="ID-67"/>
        <s v="ID-68"/>
        <s v="ID-69"/>
        <s v="ID-70"/>
        <s v="ID-71"/>
        <s v="ID-72"/>
        <s v="ID-73"/>
        <s v="ID-74"/>
        <s v="ID-75"/>
        <s v="ID-76"/>
        <s v="ID-77"/>
        <s v="ID-78"/>
        <s v="ID-79"/>
        <s v="ID-80"/>
        <s v="ID-81"/>
        <s v="ID-82"/>
        <s v="ID-83"/>
        <s v="ID-84"/>
        <s v="ID-85"/>
        <s v="ID-86"/>
        <s v="ID-87"/>
        <s v="ID-88"/>
        <s v="ID-89"/>
        <s v="ID-90"/>
        <s v="ID-91"/>
        <s v="ID-92"/>
        <s v="ID-93"/>
        <s v="ID-94"/>
        <s v="ID-95"/>
        <s v="ID-96"/>
        <s v="ID-97"/>
        <s v="ID-98"/>
        <s v="ID-99"/>
        <s v="ID-100"/>
        <s v="ID-101"/>
        <s v="ID-102"/>
        <s v="ID-103"/>
        <s v="ID-104"/>
        <s v="ID-105"/>
        <s v="ID-106"/>
        <s v="ID-107"/>
        <s v="ID-108"/>
        <s v="ID-109"/>
        <s v="ID-110"/>
        <s v="ID-111"/>
        <s v="ID-112"/>
        <s v="ID-113"/>
        <s v="ID-114"/>
        <s v="ID-115"/>
        <s v="ID-116"/>
        <s v="ID-117"/>
        <s v="ID-118"/>
        <s v="ID-119"/>
        <s v="ID-120"/>
        <s v="ID-121"/>
        <s v="ID-122"/>
        <s v="ID-123"/>
        <s v="ID-124"/>
        <s v="ID-125"/>
        <s v="ID-126"/>
        <s v="ID-127"/>
        <s v="ID-128"/>
        <s v="ID-129"/>
        <s v="ID-130"/>
        <s v="ID-131"/>
        <s v="ID-132"/>
        <s v="ID-133"/>
        <s v="ID-134"/>
        <s v="ID-135"/>
        <s v="ID-136"/>
        <s v="ID-137"/>
        <s v="ID-138"/>
        <s v="ID-139"/>
        <s v="ID-140"/>
        <s v="ID-141"/>
        <s v="ID-142"/>
        <s v="ID-143"/>
        <s v="ID-144"/>
        <s v="ID-145"/>
        <s v="ID-146"/>
        <s v="ID-147"/>
        <s v="ID-148"/>
        <s v="ID-149"/>
        <s v="ID-150"/>
        <s v="ID-151"/>
        <s v="ID-152"/>
        <s v="ID-153"/>
        <s v="ID-154"/>
        <s v="ID-155"/>
        <s v="ID-156"/>
        <s v="ID-157"/>
        <s v="ID-158"/>
        <s v="ID-159"/>
        <s v="ID-160"/>
        <s v="ID-161"/>
        <s v="ID-162"/>
        <s v="ID-163"/>
        <s v="ID-164"/>
        <s v="ID-165"/>
        <s v="ID-166"/>
        <s v="ID-167"/>
        <s v="ID-168"/>
        <s v="ID-169"/>
        <s v="ID-170"/>
        <s v="ID-171"/>
        <s v="ID-172"/>
        <s v="ID-173"/>
        <s v="ID-174"/>
        <s v="ID-175"/>
        <s v="ID-176"/>
        <s v="ID-177"/>
        <s v="ID-178"/>
        <s v="ID-179"/>
        <s v="ID-180"/>
        <s v="ID-181"/>
        <s v="ID-182"/>
        <s v="ID-183"/>
        <s v="ID-184"/>
        <s v="ID-185"/>
        <s v="ID-186"/>
        <s v="ID-187"/>
        <s v="ID-188"/>
        <s v="ID-189"/>
        <s v="ID-190"/>
        <s v="ID-191"/>
        <s v="ID-192"/>
        <s v="ID-193"/>
        <s v="ID-194"/>
        <s v="ID-195"/>
        <s v="ID-196"/>
        <s v="ID-197"/>
        <s v="ID-198"/>
        <s v="ID-199"/>
        <s v="ID-200"/>
        <s v="ID-201"/>
        <s v="ID-202"/>
        <s v="ID-203"/>
        <s v="ID-204"/>
        <s v="ID-205"/>
        <s v="ID-206"/>
        <s v="ID-207"/>
        <s v="ID-208"/>
        <s v="ID-209"/>
        <s v="ID-210"/>
        <s v="ID-211"/>
        <s v="ID-212"/>
        <s v="ID-213"/>
        <s v="ID-214"/>
        <s v="ID-215"/>
        <s v="ID-216"/>
        <s v="ID-217"/>
        <s v="ID-218"/>
        <s v="ID-219"/>
        <s v="ID-220"/>
        <s v="ID-221"/>
        <s v="ID-222"/>
        <s v="ID-223"/>
        <s v="ID-224"/>
        <s v="ID-225"/>
        <s v="ID-226"/>
        <s v="ID-227"/>
        <s v="ID-228"/>
        <s v="ID-229"/>
        <s v="ID-230"/>
        <s v="ID-231"/>
        <s v="ID-232"/>
        <s v="ID-233"/>
        <s v="ID-234"/>
        <s v="ID-235"/>
        <s v="ID-236"/>
        <s v="ID-237"/>
        <s v="ID-238"/>
        <s v="ID-239"/>
        <s v="ID-240"/>
        <s v="ID-241"/>
        <s v="ID-242"/>
        <s v="ID-243"/>
        <s v="ID-244"/>
        <s v="ID-245"/>
        <s v="ID-246"/>
        <s v="ID-247"/>
        <s v="ID-248"/>
        <s v="ID-249"/>
        <s v="ID-250"/>
        <s v="ID-251"/>
        <s v="ID-252"/>
        <s v="ID-253"/>
        <s v="ID-254"/>
        <s v="ID-255"/>
        <s v="ID-256"/>
        <s v="ID-257"/>
        <s v="ID-258"/>
        <s v="ID-259"/>
        <s v="ID-260"/>
        <s v="ID-261"/>
        <s v="ID-262"/>
        <s v="ID-263"/>
        <s v="ID-264"/>
        <s v="ID-265"/>
        <s v="ID-266"/>
        <s v="ID-267"/>
        <s v="ID-268"/>
        <s v="ID-269"/>
        <s v="ID-270"/>
        <s v="ID-271"/>
        <s v="ID-272"/>
        <s v="ID-273"/>
        <s v="ID-274"/>
        <s v="ID-275"/>
        <s v="ID-276"/>
        <s v="ID-277"/>
        <s v="ID-278"/>
        <s v="ID-279"/>
        <s v="ID-280"/>
        <s v="ID-281"/>
        <s v="ID-282"/>
        <s v="ID-283"/>
        <s v="ID-284"/>
        <s v="ID-285"/>
        <s v="ID-286"/>
        <s v="ID-287"/>
        <s v="ID-288"/>
        <s v="ID-289"/>
        <s v="ID-290"/>
        <s v="ID-291"/>
        <s v="ID-292"/>
        <s v="ID-293"/>
        <s v="ID-294"/>
        <s v="ID-295"/>
        <s v="ID-296"/>
        <s v="ID-297"/>
        <s v="ID-298"/>
        <s v="ID-299"/>
        <s v="ID-300"/>
        <s v="ID-301"/>
        <s v="ID-302"/>
        <s v="ID-303"/>
        <s v="ID-304"/>
        <s v="ID-305"/>
        <s v="ID-306"/>
        <s v="ID-307"/>
        <s v="ID-308"/>
        <s v="ID-309"/>
        <s v="ID-310"/>
        <s v="ID-311"/>
        <s v="ID-312"/>
        <s v="ID-313"/>
        <s v="ID-314"/>
        <s v="ID-315"/>
        <s v="ID-316"/>
        <s v="ID-317"/>
        <s v="ID-318"/>
        <s v="ID-319"/>
        <s v="ID-320"/>
        <s v="ID-321"/>
        <s v="ID-322"/>
        <s v="ID-323"/>
        <s v="ID-324"/>
        <s v="ID-325"/>
        <s v="ID-326"/>
        <s v="ID-327"/>
        <s v="ID-328"/>
        <s v="ID-329"/>
        <s v="ID-330"/>
        <s v="ID-331"/>
        <s v="ID-332"/>
        <s v="ID-333"/>
        <s v="ID-334"/>
        <s v="ID-335"/>
        <s v="ID-336"/>
        <s v="ID-337"/>
        <s v="ID-338"/>
        <s v="ID-339"/>
        <s v="ID-340"/>
        <s v="ID-341"/>
        <s v="ID-342"/>
        <s v="ID-343"/>
        <s v="ID-344"/>
        <s v="ID-345"/>
        <s v="ID-346"/>
        <s v="ID-347"/>
        <s v="ID-348"/>
        <s v="ID-349"/>
        <s v="ID-350"/>
        <s v="ID-351"/>
        <s v="ID-352"/>
        <s v="ID-353"/>
        <s v="ID-354"/>
        <s v="ID-355"/>
        <s v="ID-356"/>
        <s v="ID-357"/>
        <s v="ID-358"/>
        <s v="ID-359"/>
        <s v="ID-360"/>
        <s v="ID-361"/>
        <s v="ID-362"/>
        <s v="ID-363"/>
        <s v="ID-364"/>
        <s v="ID-365"/>
        <s v="ID-366"/>
        <s v="ID-367"/>
        <s v="ID-368"/>
        <s v="ID-369"/>
        <s v="ID-370"/>
        <s v="ID-371"/>
        <s v="ID-372"/>
        <s v="ID-373"/>
        <s v="ID-374"/>
        <s v="ID-375"/>
        <s v="ID-376"/>
        <s v="ID-377"/>
        <s v="ID-378"/>
        <s v="ID-379"/>
        <s v="ID-380"/>
        <s v="ID-381"/>
        <s v="ID-382"/>
        <s v="ID-383"/>
        <s v="ID-384"/>
        <s v="ID-385"/>
        <s v="ID-386"/>
        <s v="ID-387"/>
        <s v="ID-388"/>
        <s v="ID-389"/>
        <s v="ID-390"/>
        <s v="ID-391"/>
        <s v="ID-392"/>
        <s v="ID-393"/>
        <s v="ID-394"/>
        <s v="ID-395"/>
        <s v="ID-396"/>
        <s v="ID-397"/>
        <s v="ID-398"/>
        <s v="ID-399"/>
        <s v="ID-400"/>
        <s v="ID-401"/>
        <s v="ID-402"/>
        <s v="ID-403"/>
        <s v="ID-404"/>
        <s v="ID-405"/>
        <s v="ID-406"/>
        <s v="ID-407"/>
        <s v="ID-408"/>
        <s v="ID-409"/>
        <s v="ID-410"/>
        <s v="ID-411"/>
        <s v="ID-412"/>
        <s v="ID-413"/>
        <s v="ID-414"/>
        <s v="ID-415"/>
        <s v="ID-416"/>
        <s v="ID-417"/>
        <s v="ID-418"/>
        <s v="ID-419"/>
        <s v="ID-420"/>
        <s v="ID-421"/>
        <s v="ID-422"/>
        <s v="ID-423"/>
        <s v="ID-424"/>
        <s v="ID-425"/>
        <s v="ID-426"/>
        <s v="ID-427"/>
        <s v="ID-428"/>
        <s v="ID-429"/>
        <s v="ID-430"/>
        <s v="ID-431"/>
        <s v="ID-432"/>
        <s v="ID-433"/>
        <s v="ID-434"/>
        <s v="ID-435"/>
        <s v="ID-436"/>
        <s v="ID-437"/>
        <s v="ID-438"/>
        <s v="ID-439"/>
        <s v="ID-440"/>
        <s v="ID-441"/>
        <s v="ID-442"/>
        <s v="ID-443"/>
        <s v="ID-444"/>
        <s v="ID-445"/>
        <s v="ID-446"/>
        <s v="ID-447"/>
        <s v="ID-448"/>
        <s v="ID-449"/>
        <s v="ID-450"/>
        <s v="ID-451"/>
        <s v="ID-452"/>
        <s v="ID-453"/>
        <s v="ID-454"/>
        <s v="ID-455"/>
        <s v="ID-456"/>
        <s v="ID-457"/>
        <s v="ID-458"/>
        <s v="ID-459"/>
        <s v="ID-460"/>
        <s v="ID-461"/>
        <s v="ID-462"/>
        <s v="ID-463"/>
        <s v="ID-464"/>
        <s v="ID-465"/>
        <s v="ID-466"/>
        <s v="ID-467"/>
        <s v="ID-468"/>
        <s v="ID-469"/>
        <s v="ID-470"/>
        <s v="ID-471"/>
        <s v="ID-472"/>
        <s v="ID-473"/>
        <s v="ID-474"/>
        <s v="ID-475"/>
        <s v="ID-476"/>
        <s v="ID-477"/>
        <s v="ID-478"/>
        <s v="ID-479"/>
        <s v="ID-480"/>
        <s v="ID-481"/>
        <s v="ID-482"/>
        <s v="ID-483"/>
        <s v="ID-484"/>
        <s v="ID-485"/>
        <s v="ID-486"/>
        <s v="ID-487"/>
        <s v="ID-488"/>
        <s v="ID-489"/>
        <s v="ID-490"/>
        <s v="ID-491"/>
        <s v="ID-492"/>
        <s v="ID-493"/>
        <s v="ID-494"/>
        <s v="ID-495"/>
        <s v="ID-496"/>
        <s v="ID-497"/>
        <s v="ID-498"/>
        <s v="ID-499"/>
        <s v="ID-500"/>
        <s v="ID-501"/>
        <s v="ID-502"/>
        <s v="ID-503"/>
        <s v="ID-504"/>
        <s v="ID-505"/>
        <s v="ID-506"/>
        <s v="ID-507"/>
        <s v="ID-508"/>
        <s v="ID-509"/>
        <s v="ID-510"/>
        <s v="ID-511"/>
        <s v="ID-512"/>
        <s v="ID-513"/>
        <s v="ID-514"/>
        <s v="ID-515"/>
        <s v="ID-516"/>
        <s v="ID-517"/>
        <s v="ID-518"/>
        <s v="ID-519"/>
        <s v="ID-520"/>
        <s v="ID-521"/>
        <s v="ID-522"/>
        <s v="ID-523"/>
        <s v="ID-524"/>
        <s v="ID-525"/>
        <s v="ID-526"/>
        <s v="ID-527"/>
        <s v="ID-528"/>
        <s v="ID-529"/>
        <s v="ID-530"/>
        <s v="ID-531"/>
        <s v="ID-532"/>
        <s v="ID-533"/>
        <s v="ID-534"/>
        <s v="ID-535"/>
        <s v="ID-536"/>
        <s v="ID-537"/>
        <s v="ID-538"/>
        <s v="ID-539"/>
        <s v="ID-540"/>
        <s v="ID-541"/>
        <s v="ID-542"/>
        <s v="ID-543"/>
        <s v="ID-544"/>
        <s v="ID-545"/>
        <s v="ID-546"/>
        <s v="ID-547"/>
        <s v="ID-548"/>
        <s v="ID-549"/>
        <s v="ID-550"/>
        <s v="ID-551"/>
        <s v="ID-552"/>
        <s v="ID-553"/>
        <s v="ID-554"/>
        <s v="ID-555"/>
        <s v="ID-556"/>
        <s v="ID-557"/>
        <s v="ID-558"/>
        <s v="ID-559"/>
        <s v="ID-560"/>
        <s v="ID-561"/>
        <s v="ID-562"/>
        <s v="ID-563"/>
        <s v="ID-564"/>
        <s v="ID-565"/>
        <s v="ID-566"/>
        <s v="ID-567"/>
        <s v="ID-568"/>
        <s v="ID-569"/>
        <s v="ID-570"/>
        <s v="ID-571"/>
        <s v="ID-572"/>
        <s v="ID-573"/>
        <s v="ID-574"/>
        <s v="ID-575"/>
        <s v="ID-576"/>
        <s v="ID-577"/>
        <s v="ID-578"/>
        <s v="ID-579"/>
        <s v="ID-580"/>
        <s v="ID-581"/>
        <s v="ID-582"/>
        <s v="ID-583"/>
        <s v="ID-584"/>
        <s v="ID-585"/>
        <s v="ID-586"/>
        <s v="ID-587"/>
        <s v="ID-588"/>
        <s v="ID-589"/>
        <s v="ID-590"/>
        <s v="ID-591"/>
        <s v="ID-592"/>
        <s v="ID-593"/>
        <s v="ID-594"/>
        <s v="ID-595"/>
        <s v="ID-596"/>
        <s v="ID-597"/>
        <s v="ID-598"/>
        <s v="ID-599"/>
        <s v="ID-600"/>
        <s v="ID-601"/>
        <s v="ID-602"/>
        <s v="ID-603"/>
        <s v="ID-604"/>
        <s v="ID-605"/>
        <s v="ID-606"/>
        <s v="ID-607"/>
        <s v="ID-608"/>
        <s v="ID-609"/>
        <s v="ID-610"/>
        <s v="ID-611"/>
        <s v="ID-612"/>
        <s v="ID-613"/>
        <s v="ID-614"/>
        <s v="ID-615"/>
        <s v="ID-616"/>
        <s v="ID-617"/>
        <s v="ID-618"/>
        <s v="ID-619"/>
        <s v="ID-620"/>
        <s v="ID-621"/>
        <s v="ID-622"/>
        <s v="ID-623"/>
        <s v="ID-624"/>
        <s v="ID-625"/>
        <s v="ID-626"/>
        <s v="ID-627"/>
        <s v="ID-628"/>
        <s v="ID-629"/>
        <s v="ID-630"/>
        <s v="ID-631"/>
        <s v="ID-632"/>
        <s v="ID-633"/>
        <s v="ID-634"/>
        <s v="ID-635"/>
        <s v="ID-636"/>
        <s v="ID-637"/>
        <s v="ID-638"/>
        <s v="ID-639"/>
        <s v="ID-640"/>
        <s v="ID-641"/>
        <s v="ID-642"/>
        <s v="ID-643"/>
        <s v="ID-644"/>
        <s v="ID-645"/>
        <s v="ID-646"/>
        <s v="ID-647"/>
        <s v="ID-648"/>
        <s v="ID-649"/>
        <s v="ID-650"/>
        <s v="ID-651"/>
        <s v="ID-652"/>
        <s v="ID-653"/>
        <s v="ID-654"/>
        <s v="ID-655"/>
        <s v="ID-656"/>
        <s v="ID-657"/>
        <s v="ID-658"/>
        <s v="ID-659"/>
        <s v="ID-660"/>
        <s v="ID-661"/>
        <s v="ID-662"/>
        <s v="ID-663"/>
        <s v="ID-664"/>
        <s v="ID-665"/>
        <s v="ID-666"/>
        <s v="ID-667"/>
        <s v="ID-668"/>
        <s v="ID-669"/>
        <s v="ID-670"/>
        <s v="ID-671"/>
        <s v="ID-672"/>
        <s v="ID-673"/>
        <s v="ID-674"/>
        <s v="ID-675"/>
        <s v="ID-676"/>
        <s v="ID-677"/>
        <s v="ID-678"/>
        <s v="ID-679"/>
        <s v="ID-680"/>
        <s v="ID-681"/>
        <s v="ID-682"/>
        <s v="ID-683"/>
        <s v="ID-684"/>
        <s v="ID-685"/>
        <s v="ID-686"/>
        <s v="ID-687"/>
        <s v="ID-688"/>
        <s v="ID-689"/>
        <s v="ID-690"/>
        <s v="ID-691"/>
        <s v="ID-692"/>
        <s v="ID-693"/>
        <s v="ID-694"/>
        <s v="ID-695"/>
        <s v="ID-696"/>
        <s v="ID-697"/>
        <s v="ID-698"/>
        <s v="ID-699"/>
        <s v="ID-700"/>
        <s v="ID-701"/>
        <s v="ID-702"/>
        <s v="ID-703"/>
        <s v="ID-704"/>
        <s v="ID-705"/>
        <s v="ID-706"/>
        <s v="ID-707"/>
        <s v="ID-708"/>
        <s v="ID-709"/>
        <s v="ID-710"/>
        <s v="ID-711"/>
        <s v="ID-712"/>
        <s v="ID-713"/>
        <s v="ID-714"/>
        <s v="ID-715"/>
        <s v="ID-716"/>
        <s v="ID-717"/>
        <s v="ID-718"/>
        <s v="ID-719"/>
        <s v="ID-720"/>
        <s v="ID-721"/>
        <s v="ID-722"/>
        <s v="ID-723"/>
        <s v="ID-724"/>
        <s v="ID-725"/>
        <s v="ID-726"/>
        <s v="ID-727"/>
        <s v="ID-728"/>
        <s v="ID-729"/>
        <s v="ID-730"/>
        <s v="ID-731"/>
        <s v="ID-732"/>
        <s v="ID-733"/>
        <s v="ID-734"/>
        <s v="ID-735"/>
        <s v="ID-736"/>
        <s v="ID-737"/>
        <s v="ID-738"/>
        <s v="ID-739"/>
        <s v="ID-740"/>
        <s v="ID-741"/>
        <s v="ID-742"/>
        <s v="ID-743"/>
        <s v="ID-744"/>
        <s v="ID-745"/>
        <s v="ID-746"/>
        <s v="ID-747"/>
        <s v="ID-748"/>
        <s v="ID-749"/>
        <s v="ID-750"/>
        <s v="ID-751"/>
        <s v="ID-752"/>
        <s v="ID-753"/>
        <s v="ID-754"/>
        <s v="ID-755"/>
        <s v="ID-756"/>
        <s v="ID-757"/>
        <s v="ID-758"/>
        <s v="ID-759"/>
        <s v="ID-760"/>
        <s v="ID-761"/>
        <s v="ID-762"/>
        <s v="ID-763"/>
        <s v="ID-764"/>
        <s v="ID-765"/>
        <s v="ID-766"/>
        <s v="ID-767"/>
        <s v="ID-768"/>
        <s v="ID-769"/>
        <s v="ID-770"/>
        <s v="ID-771"/>
        <s v="ID-772"/>
        <s v="ID-773"/>
        <s v="ID-774"/>
        <s v="ID-775"/>
        <s v="ID-776"/>
        <s v="ID-777"/>
        <s v="ID-778"/>
        <s v="ID-779"/>
        <s v="ID-780"/>
        <s v="ID-781"/>
        <s v="ID-782"/>
        <s v="ID-783"/>
        <s v="ID-784"/>
        <s v="ID-785"/>
        <s v="ID-786"/>
        <s v="ID-787"/>
        <s v="ID-788"/>
        <s v="ID-789"/>
        <s v="ID-790"/>
        <s v="ID-791"/>
        <s v="ID-792"/>
        <s v="ID-793"/>
        <s v="ID-794"/>
        <s v="ID-795"/>
        <s v="ID-796"/>
        <s v="ID-797"/>
        <s v="ID-798"/>
        <s v="ID-799"/>
        <s v="ID-800"/>
        <s v="ID-801"/>
        <s v="ID-802"/>
        <s v="ID-803"/>
        <s v="ID-804"/>
        <s v="ID-805"/>
        <s v="ID-806"/>
        <s v="ID-807"/>
        <s v="ID-808"/>
        <s v="ID-809"/>
        <s v="ID-810"/>
        <s v="ID-811"/>
        <s v="ID-812"/>
        <s v="ID-813"/>
        <s v="ID-814"/>
        <s v="ID-815"/>
        <s v="ID-816"/>
        <s v="ID-817"/>
        <s v="ID-818"/>
        <s v="ID-819"/>
        <s v="ID-820"/>
        <s v="ID-821"/>
        <s v="ID-822"/>
        <s v="ID-823"/>
        <s v="ID-824"/>
        <s v="ID-825"/>
        <s v="ID-826"/>
        <s v="ID-827"/>
        <s v="ID-828"/>
        <s v="ID-829"/>
        <s v="ID-830"/>
        <s v="ID-831"/>
        <s v="ID-832"/>
        <s v="ID-833"/>
        <s v="ID-834"/>
        <s v="ID-835"/>
        <s v="ID-836"/>
        <s v="ID-837"/>
        <s v="ID-838"/>
        <s v="ID-839"/>
        <s v="ID-840"/>
        <s v="ID-841"/>
        <s v="ID-842"/>
        <s v="ID-843"/>
        <s v="ID-844"/>
        <s v="ID-845"/>
        <s v="ID-846"/>
        <s v="ID-847"/>
        <s v="ID-848"/>
        <s v="ID-849"/>
        <s v="ID-850"/>
        <s v="ID-851"/>
        <s v="ID-852"/>
        <s v="ID-853"/>
        <s v="ID-854"/>
        <s v="ID-855"/>
        <s v="ID-856"/>
        <s v="ID-857"/>
        <s v="ID-858"/>
        <s v="ID-859"/>
        <s v="ID-860"/>
        <s v="ID-861"/>
        <s v="ID-862"/>
        <s v="ID-863"/>
        <s v="ID-864"/>
        <s v="ID-865"/>
        <s v="ID-866"/>
        <s v="ID-867"/>
        <s v="ID-868"/>
        <s v="ID-869"/>
        <s v="ID-870"/>
        <s v="ID-871"/>
        <s v="ID-872"/>
        <s v="ID-873"/>
        <s v="ID-874"/>
        <s v="ID-875"/>
        <s v="ID-876"/>
        <s v="ID-877"/>
        <s v="ID-878"/>
        <s v="ID-879"/>
        <s v="ID-880"/>
        <s v="ID-881"/>
        <s v="ID-882"/>
        <s v="ID-883"/>
        <s v="ID-884"/>
        <s v="ID-885"/>
        <s v="ID-886"/>
        <s v="ID-887"/>
        <s v="ID-888"/>
        <s v="ID-889"/>
        <s v="ID-890"/>
        <s v="ID-891"/>
        <s v="ID-892"/>
        <s v="ID-893"/>
        <s v="ID-894"/>
        <s v="ID-895"/>
        <s v="ID-896"/>
        <s v="ID-897"/>
        <s v="ID-898"/>
        <s v="ID-899"/>
        <s v="ID-900"/>
        <s v="ID-901"/>
        <s v="ID-902"/>
        <s v="ID-903"/>
        <s v="ID-904"/>
        <s v="ID-905"/>
        <s v="ID-906"/>
        <s v="ID-907"/>
        <s v="ID-908"/>
        <s v="ID-909"/>
        <s v="ID-910"/>
        <s v="ID-911"/>
        <s v="ID-912"/>
        <s v="ID-913"/>
        <s v="ID-914"/>
        <s v="ID-915"/>
        <s v="ID-916"/>
        <s v="ID-917"/>
        <s v="ID-918"/>
        <s v="ID-919"/>
        <s v="ID-920"/>
        <s v="ID-921"/>
        <s v="ID-922"/>
        <s v="ID-923"/>
        <s v="ID-924"/>
        <s v="ID-925"/>
        <s v="ID-926"/>
        <s v="ID-927"/>
        <s v="ID-928"/>
        <s v="ID-929"/>
        <s v="ID-930"/>
        <s v="ID-931"/>
        <s v="ID-932"/>
        <s v="ID-933"/>
        <s v="ID-934"/>
        <s v="ID-935"/>
        <s v="ID-936"/>
        <s v="ID-937"/>
        <s v="ID-938"/>
        <s v="ID-939"/>
        <s v="ID-940"/>
        <s v="ID-941"/>
        <s v="ID-942"/>
        <s v="ID-943"/>
        <s v="ID-944"/>
        <s v="ID-945"/>
        <s v="ID-946"/>
        <s v="ID-947"/>
        <s v="ID-948"/>
        <s v="ID-949"/>
        <s v="ID-950"/>
        <s v="ID-951"/>
        <s v="ID-952"/>
        <s v="ID-953"/>
        <s v="ID-954"/>
        <s v="ID-955"/>
        <s v="ID-956"/>
        <s v="ID-957"/>
        <s v="ID-958"/>
        <s v="ID-959"/>
        <s v="ID-960"/>
        <s v="ID-961"/>
        <s v="ID-962"/>
        <s v="ID-963"/>
        <s v="ID-964"/>
        <s v="ID-965"/>
        <s v="ID-966"/>
        <s v="ID-967"/>
        <s v="ID-968"/>
        <s v="ID-969"/>
        <s v="ID-970"/>
        <s v="ID-971"/>
        <s v="ID-972"/>
        <s v="ID-973"/>
        <s v="ID-974"/>
        <s v="ID-975"/>
        <s v="ID-976"/>
        <s v="ID-977"/>
        <s v="ID-978"/>
        <s v="ID-979"/>
        <s v="ID-980"/>
        <s v="ID-981"/>
        <s v="ID-982"/>
        <s v="ID-983"/>
        <s v="ID-984"/>
        <s v="ID-985"/>
        <s v="ID-986"/>
        <s v="ID-987"/>
        <s v="ID-988"/>
        <s v="ID-989"/>
        <s v="ID-990"/>
        <s v="ID-991"/>
        <s v="ID-992"/>
        <s v="ID-993"/>
        <s v="ID-994"/>
        <s v="ID-995"/>
        <s v="ID-996"/>
        <s v="ID-997"/>
        <s v="ID-998"/>
        <s v="ID-999"/>
        <s v="ID-1000"/>
        <s v="ID-1001"/>
        <s v="ID-1002"/>
        <s v="ID-1003"/>
        <s v="ID-1004"/>
        <s v="ID-1005"/>
        <s v="ID-1006"/>
        <s v="ID-1007"/>
        <s v="ID-1008"/>
        <s v="ID-1009"/>
        <s v="ID-1010"/>
        <s v="ID-1011"/>
        <s v="ID-1012"/>
        <s v="ID-1013"/>
        <s v="ID-1014"/>
        <s v="ID-1015"/>
        <s v="ID-1016"/>
        <s v="ID-1017"/>
        <s v="ID-1018"/>
        <s v="ID-1019"/>
        <s v="ID-1020"/>
        <s v="ID-1021"/>
        <s v="ID-1022"/>
        <s v="ID-1023"/>
        <s v="ID-1024"/>
        <s v="ID-1025"/>
        <s v="ID-1026"/>
        <s v="ID-1027"/>
        <s v="ID-1028"/>
        <s v="ID-1029"/>
        <s v="ID-1030"/>
        <s v="ID-1031"/>
        <s v="ID-1032"/>
        <s v="ID-1033"/>
        <s v="ID-1034"/>
        <s v="ID-1035"/>
        <s v="ID-1036"/>
        <s v="ID-1037"/>
        <s v="ID-1038"/>
        <s v="ID-1039"/>
        <s v="ID-1040"/>
        <s v="ID-1041"/>
        <s v="ID-1042"/>
        <s v="ID-1043"/>
        <s v="ID-1044"/>
        <s v="ID-1045"/>
        <s v="ID-1046"/>
        <s v="ID-1047"/>
        <s v="ID-1048"/>
        <s v="ID-1049"/>
        <s v="ID-1050"/>
        <s v="ID-1051"/>
      </sharedItems>
    </cacheField>
    <cacheField name="Fecha" numFmtId="14">
      <sharedItems containsSemiMixedTypes="0" containsNonDate="0" containsDate="1" containsString="0" minDate="2023-01-01T00:00:00" maxDate="2023-12-30T00:00:00" count="33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4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8T00:00:00"/>
        <d v="2023-09-19T00:00:00"/>
        <d v="2023-09-20T00:00:00"/>
        <d v="2023-09-21T00:00:00"/>
        <d v="2023-09-22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6T00:00:00"/>
        <d v="2023-10-28T00:00:00"/>
        <d v="2023-10-29T00:00:00"/>
        <d v="2023-10-30T00:00:00"/>
        <d v="2023-10-31T00:00:00"/>
        <d v="2023-11-02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</sharedItems>
      <fieldGroup par="21"/>
    </cacheField>
    <cacheField name="Mes Texto" numFmtId="0">
      <sharedItems count="12">
        <s v="Ene"/>
        <s v="Feb"/>
        <s v="Mar"/>
        <s v="Abr"/>
        <s v="May"/>
        <s v="Jun"/>
        <s v="Jul"/>
        <s v="Ago"/>
        <s v="Set"/>
        <s v="Oct"/>
        <s v="Nov"/>
        <s v="Dic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rimestre" numFmtId="0">
      <sharedItems count="4">
        <s v="T1"/>
        <s v="T2"/>
        <s v="T3"/>
        <s v="T4"/>
      </sharedItems>
    </cacheField>
    <cacheField name="Semestre" numFmtId="0">
      <sharedItems count="2">
        <s v="Sem 1"/>
        <s v="Sem 2"/>
      </sharedItems>
    </cacheField>
    <cacheField name="Código_Máquina" numFmtId="0">
      <sharedItems/>
    </cacheField>
    <cacheField name="Máquinas" numFmtId="0">
      <sharedItems count="42">
        <s v="Rebanadoras"/>
        <s v="Descueradoras, despieladoras y deshuesadoras."/>
        <s v="Exprimidores"/>
        <s v="Laminadoras de masa industriales"/>
        <s v="Básculas electrónicas"/>
        <s v="Moledoras y cutters."/>
        <s v="Empacadoras de bandejas "/>
        <s v="Peladoras"/>
        <s v="Horno de convección a vapor"/>
        <s v="Freidoras"/>
        <s v="Etiquetadoras y Codificadoras"/>
        <s v="Máquinas de envasado al vacío"/>
        <s v="Lavadoras"/>
        <s v="Amasadoras industriales o batidoras "/>
        <s v="Cortadoras"/>
        <s v="Mesas de corte"/>
        <s v="Abatidor de temperatura"/>
        <s v="Amasadoras "/>
        <s v="Pailas "/>
        <s v="Formadoras de cajas"/>
        <s v="Procesadores de alimentos"/>
        <s v="Llenadoras"/>
        <s v="Máquinas termoselladoras de envase rígido"/>
        <s v="Lavadoras Industriales"/>
        <s v="Hornos"/>
        <s v="Selladoras"/>
        <s v="Trilladoras de granos"/>
        <s v="Esterilizadores y pasteurizadores "/>
        <s v="Embutidoras y productos embutidos."/>
        <s v="Clasificadoras"/>
        <s v="Prensas"/>
        <s v="Molinos de carne"/>
        <s v="Extractores de aceites esenciales"/>
        <s v="Cámaras frigoríficas "/>
        <s v="Extractores"/>
        <s v="Cepilladoras"/>
        <s v="Divisoras de masas"/>
        <s v="Batidoras para la mezcla de ingredientes"/>
        <s v="Autoclave (Cocedor Pasteurizador)"/>
        <s v="Separador de espinas y pieles"/>
        <s v="Máquinas termoformadoras de envase flexible"/>
        <s v="Mezcladoras y emulsificadoras."/>
      </sharedItems>
    </cacheField>
    <cacheField name="Tipo_Equipo" numFmtId="0">
      <sharedItems count="5">
        <s v="Procesamiento"/>
        <s v="Pesaje y medición"/>
        <s v="Envasado"/>
        <s v="Limpieza y Saneamiento"/>
        <s v="Almacenamiento"/>
      </sharedItems>
    </cacheField>
    <cacheField name="Marca" numFmtId="0">
      <sharedItems count="27">
        <s v="Net"/>
        <s v="eiro"/>
        <s v="Corsar"/>
        <s v="Haman"/>
        <s v="Ciscoy"/>
        <s v="Ngsi"/>
        <s v="Zye"/>
        <s v="Belki"/>
        <s v="Cany"/>
        <s v="QNA"/>
        <s v="Loiss"/>
        <s v="Woxt"/>
        <s v="ARock"/>
        <s v="Noss"/>
        <s v="LiGs"/>
        <s v="Digit"/>
        <s v="Tel"/>
        <s v="Logit"/>
        <s v="Millen"/>
        <s v="Voda"/>
        <s v="Asis"/>
        <s v="Mik"/>
        <s v="Nite"/>
        <s v="Wac"/>
        <s v="Devo"/>
        <s v="Acern"/>
        <s v="Egel"/>
      </sharedItems>
    </cacheField>
    <cacheField name="Actividades a Realizar" numFmtId="0">
      <sharedItems/>
    </cacheField>
    <cacheField name="Estatus" numFmtId="0">
      <sharedItems count="2">
        <s v="Correctivo"/>
        <s v="Preventivo"/>
      </sharedItems>
    </cacheField>
    <cacheField name="Frecuencia_M.P. " numFmtId="0">
      <sharedItems containsMixedTypes="1" containsNumber="1" containsInteger="1" minValue="0" maxValue="0"/>
    </cacheField>
    <cacheField name="Día_Inicio" numFmtId="14">
      <sharedItems containsSemiMixedTypes="0" containsNonDate="0" containsDate="1" containsString="0" minDate="2023-01-01T00:00:00" maxDate="2023-12-30T00:00:00"/>
    </cacheField>
    <cacheField name="Fecha_Final" numFmtId="14">
      <sharedItems containsSemiMixedTypes="0" containsNonDate="0" containsDate="1" containsString="0" minDate="2023-01-08T00:00:00" maxDate="2024-12-24T00:00:00"/>
    </cacheField>
    <cacheField name="Diagnostico" numFmtId="0">
      <sharedItems count="3">
        <s v="Inservible"/>
        <s v="-"/>
        <s v="Reparación"/>
      </sharedItems>
    </cacheField>
    <cacheField name="Tiempo_Demora(Días)" numFmtId="0">
      <sharedItems containsSemiMixedTypes="0" containsString="0" containsNumber="1" containsInteger="1" minValue="0" maxValue="30" count="31">
        <n v="0"/>
        <n v="22"/>
        <n v="25"/>
        <n v="28"/>
        <n v="7"/>
        <n v="18"/>
        <n v="26"/>
        <n v="16"/>
        <n v="8"/>
        <n v="5"/>
        <n v="23"/>
        <n v="3"/>
        <n v="6"/>
        <n v="12"/>
        <n v="17"/>
        <n v="1"/>
        <n v="2"/>
        <n v="29"/>
        <n v="11"/>
        <n v="27"/>
        <n v="9"/>
        <n v="14"/>
        <n v="21"/>
        <n v="30"/>
        <n v="15"/>
        <n v="24"/>
        <n v="20"/>
        <n v="19"/>
        <n v="4"/>
        <n v="13"/>
        <n v="10"/>
      </sharedItems>
    </cacheField>
    <cacheField name="Costo_Mano_Obra" numFmtId="164">
      <sharedItems containsSemiMixedTypes="0" containsString="0" containsNumber="1" containsInteger="1" minValue="0" maxValue="1200"/>
    </cacheField>
    <cacheField name="Costo_Materiales" numFmtId="164">
      <sharedItems containsSemiMixedTypes="0" containsString="0" containsNumber="1" containsInteger="1" minValue="0" maxValue="1000"/>
    </cacheField>
    <cacheField name="Estado_Mantenimiento" numFmtId="0">
      <sharedItems count="5">
        <s v="-"/>
        <s v="Ejecutado"/>
        <s v="Pendiente"/>
        <s v="Reprogramado"/>
        <s v="No Ejecutado"/>
      </sharedItems>
    </cacheField>
    <cacheField name="Días (Fecha)" numFmtId="0" databaseField="0">
      <fieldGroup base="1">
        <rangePr groupBy="days" startDate="2023-01-01T00:00:00" endDate="2023-12-30T00:00:00"/>
        <groupItems count="368">
          <s v="&lt;1/01/2023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0/12/2023"/>
        </groupItems>
      </fieldGroup>
    </cacheField>
    <cacheField name="Meses (Fecha)" numFmtId="0" databaseField="0">
      <fieldGroup base="1">
        <rangePr groupBy="months" startDate="2023-01-01T00:00:00" endDate="2023-12-30T00:00:00"/>
        <groupItems count="14">
          <s v="&lt;1/01/2023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 pivotCacheId="19894214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">
  <r>
    <x v="0"/>
    <x v="0"/>
    <x v="0"/>
    <x v="0"/>
    <x v="0"/>
    <x v="0"/>
    <s v="M0018"/>
    <x v="0"/>
    <x v="0"/>
    <x v="0"/>
    <s v="Inspección de engranes"/>
    <x v="0"/>
    <n v="0"/>
    <d v="2023-01-01T00:00:00"/>
    <d v="2023-01-20T00:00:00"/>
    <x v="0"/>
    <x v="0"/>
    <n v="0"/>
    <n v="0"/>
    <x v="0"/>
  </r>
  <r>
    <x v="1"/>
    <x v="0"/>
    <x v="0"/>
    <x v="0"/>
    <x v="0"/>
    <x v="0"/>
    <s v="M0037"/>
    <x v="1"/>
    <x v="0"/>
    <x v="1"/>
    <s v="Revisió Ajuste y/o de bandas, correas y poleas"/>
    <x v="0"/>
    <n v="0"/>
    <d v="2023-01-01T00:00:00"/>
    <d v="2023-01-11T00:00:00"/>
    <x v="0"/>
    <x v="0"/>
    <n v="0"/>
    <n v="0"/>
    <x v="0"/>
  </r>
  <r>
    <x v="2"/>
    <x v="0"/>
    <x v="0"/>
    <x v="0"/>
    <x v="0"/>
    <x v="0"/>
    <s v="M0034"/>
    <x v="2"/>
    <x v="0"/>
    <x v="2"/>
    <s v="Observación de posibles daños"/>
    <x v="1"/>
    <s v="90 Trimestral"/>
    <d v="2023-01-01T00:00:00"/>
    <d v="2023-04-01T00:00:00"/>
    <x v="1"/>
    <x v="0"/>
    <n v="210"/>
    <n v="778"/>
    <x v="1"/>
  </r>
  <r>
    <x v="3"/>
    <x v="1"/>
    <x v="0"/>
    <x v="0"/>
    <x v="0"/>
    <x v="0"/>
    <s v="M0012"/>
    <x v="3"/>
    <x v="0"/>
    <x v="3"/>
    <s v="Inspección y/o reemplazo de boquillas"/>
    <x v="0"/>
    <n v="0"/>
    <d v="2023-01-02T00:00:00"/>
    <d v="2023-01-15T00:00:00"/>
    <x v="0"/>
    <x v="0"/>
    <n v="0"/>
    <n v="0"/>
    <x v="0"/>
  </r>
  <r>
    <x v="4"/>
    <x v="1"/>
    <x v="0"/>
    <x v="0"/>
    <x v="0"/>
    <x v="0"/>
    <s v="M0033"/>
    <x v="0"/>
    <x v="0"/>
    <x v="4"/>
    <s v="Observación de posibles daños"/>
    <x v="1"/>
    <s v="60 Bimestral"/>
    <d v="2023-01-02T00:00:00"/>
    <d v="2023-03-03T00:00:00"/>
    <x v="1"/>
    <x v="0"/>
    <n v="899"/>
    <n v="130"/>
    <x v="1"/>
  </r>
  <r>
    <x v="5"/>
    <x v="1"/>
    <x v="0"/>
    <x v="0"/>
    <x v="0"/>
    <x v="0"/>
    <s v="M0019"/>
    <x v="4"/>
    <x v="1"/>
    <x v="5"/>
    <s v="Inspección y/o reemplazo de toderas"/>
    <x v="0"/>
    <n v="0"/>
    <d v="2023-01-02T00:00:00"/>
    <d v="2023-01-24T00:00:00"/>
    <x v="2"/>
    <x v="1"/>
    <n v="332"/>
    <n v="121"/>
    <x v="2"/>
  </r>
  <r>
    <x v="6"/>
    <x v="2"/>
    <x v="0"/>
    <x v="0"/>
    <x v="0"/>
    <x v="0"/>
    <s v="M0039"/>
    <x v="5"/>
    <x v="0"/>
    <x v="3"/>
    <s v="Ajuste general de máquinas"/>
    <x v="0"/>
    <n v="0"/>
    <d v="2023-01-03T00:00:00"/>
    <d v="2023-01-28T00:00:00"/>
    <x v="2"/>
    <x v="2"/>
    <n v="932"/>
    <n v="439"/>
    <x v="3"/>
  </r>
  <r>
    <x v="7"/>
    <x v="2"/>
    <x v="0"/>
    <x v="0"/>
    <x v="0"/>
    <x v="0"/>
    <s v="M0027"/>
    <x v="6"/>
    <x v="2"/>
    <x v="6"/>
    <s v="Inspección de tuberías "/>
    <x v="0"/>
    <n v="0"/>
    <d v="2023-01-03T00:00:00"/>
    <d v="2023-01-31T00:00:00"/>
    <x v="2"/>
    <x v="3"/>
    <n v="928"/>
    <n v="995"/>
    <x v="1"/>
  </r>
  <r>
    <x v="8"/>
    <x v="2"/>
    <x v="0"/>
    <x v="0"/>
    <x v="0"/>
    <x v="0"/>
    <s v="M0031"/>
    <x v="7"/>
    <x v="0"/>
    <x v="7"/>
    <s v="Observación de posibles daños"/>
    <x v="1"/>
    <s v="360 Anual"/>
    <d v="2023-01-03T00:00:00"/>
    <d v="2023-12-29T00:00:00"/>
    <x v="1"/>
    <x v="0"/>
    <n v="296"/>
    <n v="193"/>
    <x v="1"/>
  </r>
  <r>
    <x v="9"/>
    <x v="2"/>
    <x v="0"/>
    <x v="0"/>
    <x v="0"/>
    <x v="0"/>
    <s v="M0005"/>
    <x v="8"/>
    <x v="0"/>
    <x v="8"/>
    <s v="Inspección y/o reemplazado de filtros de aire"/>
    <x v="0"/>
    <n v="0"/>
    <d v="2023-01-03T00:00:00"/>
    <d v="2023-01-20T00:00:00"/>
    <x v="0"/>
    <x v="0"/>
    <n v="0"/>
    <n v="0"/>
    <x v="0"/>
  </r>
  <r>
    <x v="10"/>
    <x v="2"/>
    <x v="0"/>
    <x v="0"/>
    <x v="0"/>
    <x v="0"/>
    <s v="M0021"/>
    <x v="9"/>
    <x v="0"/>
    <x v="9"/>
    <s v="Inspección y/o reemplazado de filtros de aceite"/>
    <x v="0"/>
    <n v="0"/>
    <d v="2023-01-03T00:00:00"/>
    <d v="2023-01-08T00:00:00"/>
    <x v="0"/>
    <x v="0"/>
    <n v="0"/>
    <n v="0"/>
    <x v="0"/>
  </r>
  <r>
    <x v="11"/>
    <x v="2"/>
    <x v="0"/>
    <x v="0"/>
    <x v="0"/>
    <x v="0"/>
    <s v="M0042"/>
    <x v="10"/>
    <x v="2"/>
    <x v="10"/>
    <s v="Inspección de Frenos"/>
    <x v="0"/>
    <n v="0"/>
    <d v="2023-01-03T00:00:00"/>
    <d v="2023-01-10T00:00:00"/>
    <x v="2"/>
    <x v="4"/>
    <n v="610"/>
    <n v="481"/>
    <x v="4"/>
  </r>
  <r>
    <x v="12"/>
    <x v="3"/>
    <x v="0"/>
    <x v="0"/>
    <x v="0"/>
    <x v="0"/>
    <s v="M0005"/>
    <x v="8"/>
    <x v="0"/>
    <x v="8"/>
    <s v="Observación de posibles daños"/>
    <x v="1"/>
    <s v="60 Bimestral"/>
    <d v="2023-01-04T00:00:00"/>
    <d v="2023-03-05T00:00:00"/>
    <x v="1"/>
    <x v="0"/>
    <n v="561"/>
    <n v="151"/>
    <x v="1"/>
  </r>
  <r>
    <x v="13"/>
    <x v="3"/>
    <x v="0"/>
    <x v="0"/>
    <x v="0"/>
    <x v="0"/>
    <s v="M0026"/>
    <x v="11"/>
    <x v="2"/>
    <x v="11"/>
    <s v="Inspección de gases"/>
    <x v="0"/>
    <n v="0"/>
    <d v="2023-01-04T00:00:00"/>
    <d v="2023-01-18T00:00:00"/>
    <x v="0"/>
    <x v="0"/>
    <n v="0"/>
    <n v="0"/>
    <x v="0"/>
  </r>
  <r>
    <x v="14"/>
    <x v="3"/>
    <x v="0"/>
    <x v="0"/>
    <x v="0"/>
    <x v="0"/>
    <s v="M0029"/>
    <x v="12"/>
    <x v="3"/>
    <x v="12"/>
    <s v="Observación de posibles daños"/>
    <x v="1"/>
    <s v="15 Quincenal"/>
    <d v="2023-01-04T00:00:00"/>
    <d v="2023-01-19T00:00:00"/>
    <x v="1"/>
    <x v="0"/>
    <n v="423"/>
    <n v="816"/>
    <x v="1"/>
  </r>
  <r>
    <x v="15"/>
    <x v="4"/>
    <x v="0"/>
    <x v="0"/>
    <x v="0"/>
    <x v="0"/>
    <s v="M0020"/>
    <x v="13"/>
    <x v="0"/>
    <x v="13"/>
    <s v="Inspección y/o reemplazado de cuchillas"/>
    <x v="0"/>
    <n v="0"/>
    <d v="2023-01-05T00:00:00"/>
    <d v="2023-01-23T00:00:00"/>
    <x v="2"/>
    <x v="5"/>
    <n v="1011"/>
    <n v="548"/>
    <x v="3"/>
  </r>
  <r>
    <x v="16"/>
    <x v="4"/>
    <x v="0"/>
    <x v="0"/>
    <x v="0"/>
    <x v="0"/>
    <s v="M0037"/>
    <x v="1"/>
    <x v="0"/>
    <x v="1"/>
    <s v="Inspección de nivel de com¿bustible"/>
    <x v="0"/>
    <n v="0"/>
    <d v="2023-01-05T00:00:00"/>
    <d v="2023-01-31T00:00:00"/>
    <x v="2"/>
    <x v="6"/>
    <n v="276"/>
    <n v="969"/>
    <x v="4"/>
  </r>
  <r>
    <x v="17"/>
    <x v="4"/>
    <x v="0"/>
    <x v="0"/>
    <x v="0"/>
    <x v="0"/>
    <s v="M0032"/>
    <x v="14"/>
    <x v="0"/>
    <x v="8"/>
    <s v="Revisión de válvulas"/>
    <x v="0"/>
    <n v="0"/>
    <d v="2023-01-05T00:00:00"/>
    <d v="2023-01-21T00:00:00"/>
    <x v="2"/>
    <x v="7"/>
    <n v="788"/>
    <n v="565"/>
    <x v="1"/>
  </r>
  <r>
    <x v="18"/>
    <x v="4"/>
    <x v="0"/>
    <x v="0"/>
    <x v="0"/>
    <x v="0"/>
    <s v="M0013"/>
    <x v="15"/>
    <x v="0"/>
    <x v="14"/>
    <s v="Limpieza y ajuste de inyectores"/>
    <x v="0"/>
    <n v="0"/>
    <d v="2023-01-05T00:00:00"/>
    <d v="2023-02-02T00:00:00"/>
    <x v="0"/>
    <x v="0"/>
    <n v="0"/>
    <n v="0"/>
    <x v="0"/>
  </r>
  <r>
    <x v="19"/>
    <x v="4"/>
    <x v="0"/>
    <x v="0"/>
    <x v="0"/>
    <x v="0"/>
    <s v="M0002"/>
    <x v="16"/>
    <x v="0"/>
    <x v="12"/>
    <s v="Limpieza y ajuste de terminales de baterías"/>
    <x v="0"/>
    <n v="0"/>
    <d v="2023-01-05T00:00:00"/>
    <d v="2023-01-18T00:00:00"/>
    <x v="0"/>
    <x v="0"/>
    <n v="0"/>
    <n v="0"/>
    <x v="0"/>
  </r>
  <r>
    <x v="20"/>
    <x v="4"/>
    <x v="0"/>
    <x v="0"/>
    <x v="0"/>
    <x v="0"/>
    <s v="M0009"/>
    <x v="17"/>
    <x v="0"/>
    <x v="15"/>
    <s v="Verificación del sistema de enfriado"/>
    <x v="0"/>
    <n v="0"/>
    <d v="2023-01-05T00:00:00"/>
    <d v="2023-01-29T00:00:00"/>
    <x v="0"/>
    <x v="0"/>
    <n v="0"/>
    <n v="0"/>
    <x v="0"/>
  </r>
  <r>
    <x v="21"/>
    <x v="4"/>
    <x v="0"/>
    <x v="0"/>
    <x v="0"/>
    <x v="0"/>
    <s v="M0013"/>
    <x v="15"/>
    <x v="0"/>
    <x v="14"/>
    <s v="Limpieza de ventilador"/>
    <x v="0"/>
    <n v="0"/>
    <d v="2023-01-05T00:00:00"/>
    <d v="2023-01-10T00:00:00"/>
    <x v="0"/>
    <x v="0"/>
    <n v="0"/>
    <n v="0"/>
    <x v="0"/>
  </r>
  <r>
    <x v="22"/>
    <x v="4"/>
    <x v="0"/>
    <x v="0"/>
    <x v="0"/>
    <x v="0"/>
    <s v="M0023"/>
    <x v="18"/>
    <x v="0"/>
    <x v="16"/>
    <s v="Limpieza general"/>
    <x v="0"/>
    <n v="0"/>
    <d v="2023-01-05T00:00:00"/>
    <d v="2023-01-13T00:00:00"/>
    <x v="2"/>
    <x v="8"/>
    <n v="1086"/>
    <n v="468"/>
    <x v="4"/>
  </r>
  <r>
    <x v="23"/>
    <x v="4"/>
    <x v="0"/>
    <x v="0"/>
    <x v="0"/>
    <x v="0"/>
    <s v="M0014"/>
    <x v="19"/>
    <x v="2"/>
    <x v="17"/>
    <s v="Inspección de engranes"/>
    <x v="0"/>
    <n v="0"/>
    <d v="2023-01-05T00:00:00"/>
    <d v="2023-01-25T00:00:00"/>
    <x v="0"/>
    <x v="0"/>
    <n v="0"/>
    <n v="0"/>
    <x v="0"/>
  </r>
  <r>
    <x v="24"/>
    <x v="5"/>
    <x v="0"/>
    <x v="0"/>
    <x v="0"/>
    <x v="0"/>
    <s v="M0017"/>
    <x v="20"/>
    <x v="0"/>
    <x v="18"/>
    <s v="Observación de posibles daños"/>
    <x v="1"/>
    <s v="15 Quincenal"/>
    <d v="2023-01-06T00:00:00"/>
    <d v="2023-01-21T00:00:00"/>
    <x v="1"/>
    <x v="0"/>
    <n v="701"/>
    <n v="992"/>
    <x v="1"/>
  </r>
  <r>
    <x v="25"/>
    <x v="5"/>
    <x v="0"/>
    <x v="0"/>
    <x v="0"/>
    <x v="0"/>
    <s v="M0021"/>
    <x v="9"/>
    <x v="0"/>
    <x v="9"/>
    <s v="Observación de posibles daños"/>
    <x v="0"/>
    <n v="0"/>
    <d v="2023-01-06T00:00:00"/>
    <d v="2023-01-11T00:00:00"/>
    <x v="2"/>
    <x v="9"/>
    <n v="431"/>
    <n v="176"/>
    <x v="4"/>
  </r>
  <r>
    <x v="26"/>
    <x v="5"/>
    <x v="0"/>
    <x v="0"/>
    <x v="0"/>
    <x v="0"/>
    <s v="M0021"/>
    <x v="9"/>
    <x v="0"/>
    <x v="9"/>
    <s v="Inspección y/o reemplazo de boquillas"/>
    <x v="0"/>
    <n v="0"/>
    <d v="2023-01-06T00:00:00"/>
    <d v="2023-01-29T00:00:00"/>
    <x v="2"/>
    <x v="10"/>
    <n v="800"/>
    <n v="613"/>
    <x v="1"/>
  </r>
  <r>
    <x v="27"/>
    <x v="5"/>
    <x v="0"/>
    <x v="0"/>
    <x v="0"/>
    <x v="0"/>
    <s v="M0039"/>
    <x v="5"/>
    <x v="0"/>
    <x v="3"/>
    <s v="Inspección y/o reemplazo de tubos de contacto"/>
    <x v="0"/>
    <n v="0"/>
    <d v="2023-01-06T00:00:00"/>
    <d v="2023-02-04T00:00:00"/>
    <x v="0"/>
    <x v="0"/>
    <n v="0"/>
    <n v="0"/>
    <x v="0"/>
  </r>
  <r>
    <x v="28"/>
    <x v="6"/>
    <x v="0"/>
    <x v="0"/>
    <x v="0"/>
    <x v="0"/>
    <s v="M0024"/>
    <x v="21"/>
    <x v="2"/>
    <x v="19"/>
    <s v="Inspección y/o reemplazo de toderas"/>
    <x v="0"/>
    <n v="0"/>
    <d v="2023-01-07T00:00:00"/>
    <d v="2023-01-31T00:00:00"/>
    <x v="0"/>
    <x v="0"/>
    <n v="0"/>
    <n v="0"/>
    <x v="0"/>
  </r>
  <r>
    <x v="29"/>
    <x v="6"/>
    <x v="0"/>
    <x v="0"/>
    <x v="0"/>
    <x v="0"/>
    <s v="M0002"/>
    <x v="16"/>
    <x v="0"/>
    <x v="12"/>
    <s v="Ajuste general de máquinas"/>
    <x v="0"/>
    <n v="0"/>
    <d v="2023-01-07T00:00:00"/>
    <d v="2023-02-01T00:00:00"/>
    <x v="0"/>
    <x v="0"/>
    <n v="0"/>
    <n v="0"/>
    <x v="0"/>
  </r>
  <r>
    <x v="30"/>
    <x v="7"/>
    <x v="0"/>
    <x v="0"/>
    <x v="0"/>
    <x v="0"/>
    <s v="M0003"/>
    <x v="22"/>
    <x v="2"/>
    <x v="20"/>
    <s v="Inspección de tuberías "/>
    <x v="0"/>
    <n v="0"/>
    <d v="2023-01-08T00:00:00"/>
    <d v="2023-02-06T00:00:00"/>
    <x v="0"/>
    <x v="0"/>
    <n v="0"/>
    <n v="0"/>
    <x v="0"/>
  </r>
  <r>
    <x v="31"/>
    <x v="7"/>
    <x v="0"/>
    <x v="0"/>
    <x v="0"/>
    <x v="0"/>
    <s v="M0043"/>
    <x v="23"/>
    <x v="3"/>
    <x v="21"/>
    <s v="Inspección de mangeras"/>
    <x v="0"/>
    <n v="0"/>
    <d v="2023-01-08T00:00:00"/>
    <d v="2023-01-11T00:00:00"/>
    <x v="2"/>
    <x v="11"/>
    <n v="555"/>
    <n v="886"/>
    <x v="4"/>
  </r>
  <r>
    <x v="32"/>
    <x v="7"/>
    <x v="0"/>
    <x v="0"/>
    <x v="0"/>
    <x v="0"/>
    <s v="M0027"/>
    <x v="6"/>
    <x v="2"/>
    <x v="6"/>
    <s v="Observación de posibles daños"/>
    <x v="1"/>
    <s v="15 Quincenal"/>
    <d v="2023-01-08T00:00:00"/>
    <d v="2023-01-23T00:00:00"/>
    <x v="1"/>
    <x v="0"/>
    <n v="207"/>
    <n v="805"/>
    <x v="1"/>
  </r>
  <r>
    <x v="33"/>
    <x v="8"/>
    <x v="0"/>
    <x v="0"/>
    <x v="0"/>
    <x v="0"/>
    <s v="M0022"/>
    <x v="24"/>
    <x v="0"/>
    <x v="22"/>
    <s v="Inspección y/o reemplazado de filtros de aceite"/>
    <x v="0"/>
    <n v="0"/>
    <d v="2023-01-09T00:00:00"/>
    <d v="2023-02-01T00:00:00"/>
    <x v="2"/>
    <x v="10"/>
    <n v="454"/>
    <n v="782"/>
    <x v="4"/>
  </r>
  <r>
    <x v="34"/>
    <x v="8"/>
    <x v="0"/>
    <x v="0"/>
    <x v="0"/>
    <x v="0"/>
    <s v="M0014"/>
    <x v="19"/>
    <x v="2"/>
    <x v="17"/>
    <s v="Inspección de Frenos"/>
    <x v="0"/>
    <n v="0"/>
    <d v="2023-01-09T00:00:00"/>
    <d v="2023-01-19T00:00:00"/>
    <x v="0"/>
    <x v="0"/>
    <n v="0"/>
    <n v="0"/>
    <x v="0"/>
  </r>
  <r>
    <x v="35"/>
    <x v="8"/>
    <x v="0"/>
    <x v="0"/>
    <x v="0"/>
    <x v="0"/>
    <s v="M0025"/>
    <x v="25"/>
    <x v="2"/>
    <x v="23"/>
    <s v="Mantenimiento general"/>
    <x v="0"/>
    <n v="0"/>
    <d v="2023-01-09T00:00:00"/>
    <d v="2023-01-15T00:00:00"/>
    <x v="2"/>
    <x v="12"/>
    <n v="605"/>
    <n v="902"/>
    <x v="3"/>
  </r>
  <r>
    <x v="36"/>
    <x v="8"/>
    <x v="0"/>
    <x v="0"/>
    <x v="0"/>
    <x v="0"/>
    <s v="M0023"/>
    <x v="18"/>
    <x v="0"/>
    <x v="16"/>
    <s v="Inspección de gases"/>
    <x v="0"/>
    <n v="0"/>
    <d v="2023-01-09T00:00:00"/>
    <d v="2023-01-31T00:00:00"/>
    <x v="2"/>
    <x v="1"/>
    <n v="774"/>
    <n v="538"/>
    <x v="1"/>
  </r>
  <r>
    <x v="37"/>
    <x v="9"/>
    <x v="0"/>
    <x v="0"/>
    <x v="0"/>
    <x v="0"/>
    <s v="M0008"/>
    <x v="26"/>
    <x v="0"/>
    <x v="24"/>
    <s v="Inspección y/o reemplazado de escobillas"/>
    <x v="0"/>
    <n v="0"/>
    <d v="2023-01-10T00:00:00"/>
    <d v="2023-02-09T00:00:00"/>
    <x v="0"/>
    <x v="0"/>
    <n v="0"/>
    <n v="0"/>
    <x v="0"/>
  </r>
  <r>
    <x v="38"/>
    <x v="9"/>
    <x v="0"/>
    <x v="0"/>
    <x v="0"/>
    <x v="0"/>
    <s v="M0036"/>
    <x v="27"/>
    <x v="0"/>
    <x v="15"/>
    <s v="Observación de posibles daños"/>
    <x v="1"/>
    <s v="15 Quincenal"/>
    <d v="2023-01-10T00:00:00"/>
    <d v="2023-01-25T00:00:00"/>
    <x v="1"/>
    <x v="0"/>
    <n v="1119"/>
    <n v="698"/>
    <x v="1"/>
  </r>
  <r>
    <x v="39"/>
    <x v="9"/>
    <x v="0"/>
    <x v="0"/>
    <x v="0"/>
    <x v="0"/>
    <s v="M0041"/>
    <x v="28"/>
    <x v="0"/>
    <x v="17"/>
    <s v="Inspección de nivel de com¿bustible"/>
    <x v="0"/>
    <n v="0"/>
    <d v="2023-01-10T00:00:00"/>
    <d v="2023-02-01T00:00:00"/>
    <x v="2"/>
    <x v="1"/>
    <n v="847"/>
    <n v="728"/>
    <x v="1"/>
  </r>
  <r>
    <x v="40"/>
    <x v="9"/>
    <x v="0"/>
    <x v="0"/>
    <x v="0"/>
    <x v="0"/>
    <s v="M0043"/>
    <x v="23"/>
    <x v="3"/>
    <x v="21"/>
    <s v="Observación de posibles daños"/>
    <x v="1"/>
    <s v="360 Anual"/>
    <d v="2023-01-10T00:00:00"/>
    <d v="2024-01-05T00:00:00"/>
    <x v="1"/>
    <x v="0"/>
    <n v="407"/>
    <n v="724"/>
    <x v="1"/>
  </r>
  <r>
    <x v="41"/>
    <x v="9"/>
    <x v="0"/>
    <x v="0"/>
    <x v="0"/>
    <x v="0"/>
    <s v="M0019"/>
    <x v="4"/>
    <x v="1"/>
    <x v="5"/>
    <s v="Limpieza y ajuste de inyectores"/>
    <x v="0"/>
    <n v="0"/>
    <d v="2023-01-10T00:00:00"/>
    <d v="2023-01-30T00:00:00"/>
    <x v="0"/>
    <x v="0"/>
    <n v="0"/>
    <n v="0"/>
    <x v="0"/>
  </r>
  <r>
    <x v="42"/>
    <x v="10"/>
    <x v="0"/>
    <x v="0"/>
    <x v="0"/>
    <x v="0"/>
    <s v="M0029"/>
    <x v="12"/>
    <x v="3"/>
    <x v="12"/>
    <s v="Observación de posibles daños"/>
    <x v="1"/>
    <s v="180 Semestral"/>
    <d v="2023-01-11T00:00:00"/>
    <d v="2023-07-10T00:00:00"/>
    <x v="1"/>
    <x v="0"/>
    <n v="1024"/>
    <n v="475"/>
    <x v="1"/>
  </r>
  <r>
    <x v="43"/>
    <x v="10"/>
    <x v="0"/>
    <x v="0"/>
    <x v="0"/>
    <x v="0"/>
    <s v="M0028"/>
    <x v="29"/>
    <x v="0"/>
    <x v="25"/>
    <s v="Verificación del sistema de enfriado"/>
    <x v="0"/>
    <n v="0"/>
    <d v="2023-01-11T00:00:00"/>
    <d v="2023-02-01T00:00:00"/>
    <x v="0"/>
    <x v="0"/>
    <n v="0"/>
    <n v="0"/>
    <x v="0"/>
  </r>
  <r>
    <x v="44"/>
    <x v="10"/>
    <x v="0"/>
    <x v="0"/>
    <x v="0"/>
    <x v="0"/>
    <s v="M0037"/>
    <x v="1"/>
    <x v="0"/>
    <x v="1"/>
    <s v="Observación de posibles daños"/>
    <x v="1"/>
    <s v="15 Quincenal"/>
    <d v="2023-01-11T00:00:00"/>
    <d v="2023-01-26T00:00:00"/>
    <x v="1"/>
    <x v="0"/>
    <n v="793"/>
    <n v="803"/>
    <x v="1"/>
  </r>
  <r>
    <x v="45"/>
    <x v="10"/>
    <x v="0"/>
    <x v="0"/>
    <x v="0"/>
    <x v="0"/>
    <s v="M0019"/>
    <x v="4"/>
    <x v="1"/>
    <x v="5"/>
    <s v="Limpieza general"/>
    <x v="0"/>
    <n v="0"/>
    <d v="2023-01-11T00:00:00"/>
    <d v="2023-01-23T00:00:00"/>
    <x v="2"/>
    <x v="13"/>
    <n v="556"/>
    <n v="734"/>
    <x v="2"/>
  </r>
  <r>
    <x v="46"/>
    <x v="11"/>
    <x v="0"/>
    <x v="0"/>
    <x v="0"/>
    <x v="0"/>
    <s v="M0037"/>
    <x v="1"/>
    <x v="0"/>
    <x v="1"/>
    <s v="Observación de posibles daños"/>
    <x v="1"/>
    <s v="30 Mensual"/>
    <d v="2023-01-12T00:00:00"/>
    <d v="2023-02-11T00:00:00"/>
    <x v="1"/>
    <x v="0"/>
    <n v="835"/>
    <n v="480"/>
    <x v="1"/>
  </r>
  <r>
    <x v="47"/>
    <x v="11"/>
    <x v="0"/>
    <x v="0"/>
    <x v="0"/>
    <x v="0"/>
    <s v="M0023"/>
    <x v="18"/>
    <x v="0"/>
    <x v="16"/>
    <s v="Revisió Ajuste y/o de bandas, correas y poleas"/>
    <x v="0"/>
    <n v="0"/>
    <d v="2023-01-12T00:00:00"/>
    <d v="2023-01-21T00:00:00"/>
    <x v="0"/>
    <x v="0"/>
    <n v="0"/>
    <n v="0"/>
    <x v="0"/>
  </r>
  <r>
    <x v="48"/>
    <x v="11"/>
    <x v="0"/>
    <x v="0"/>
    <x v="0"/>
    <x v="0"/>
    <s v="M0013"/>
    <x v="15"/>
    <x v="0"/>
    <x v="14"/>
    <s v="Observación de posibles daños"/>
    <x v="1"/>
    <s v="60 Bimestral"/>
    <d v="2023-01-12T00:00:00"/>
    <d v="2023-03-13T00:00:00"/>
    <x v="1"/>
    <x v="0"/>
    <n v="465"/>
    <n v="591"/>
    <x v="1"/>
  </r>
  <r>
    <x v="49"/>
    <x v="12"/>
    <x v="0"/>
    <x v="0"/>
    <x v="0"/>
    <x v="0"/>
    <s v="M0020"/>
    <x v="13"/>
    <x v="0"/>
    <x v="13"/>
    <s v="Inspección y/o reemplazo de boquillas"/>
    <x v="0"/>
    <n v="0"/>
    <d v="2023-01-13T00:00:00"/>
    <d v="2023-01-31T00:00:00"/>
    <x v="2"/>
    <x v="5"/>
    <n v="1188"/>
    <n v="286"/>
    <x v="3"/>
  </r>
  <r>
    <x v="50"/>
    <x v="12"/>
    <x v="0"/>
    <x v="0"/>
    <x v="0"/>
    <x v="0"/>
    <s v="M0025"/>
    <x v="25"/>
    <x v="2"/>
    <x v="23"/>
    <s v="Inspección y/o reemplazo de tubos de contacto"/>
    <x v="0"/>
    <n v="0"/>
    <d v="2023-01-13T00:00:00"/>
    <d v="2023-02-08T00:00:00"/>
    <x v="2"/>
    <x v="6"/>
    <n v="872"/>
    <n v="686"/>
    <x v="1"/>
  </r>
  <r>
    <x v="51"/>
    <x v="12"/>
    <x v="0"/>
    <x v="0"/>
    <x v="0"/>
    <x v="0"/>
    <s v="M0038"/>
    <x v="30"/>
    <x v="0"/>
    <x v="26"/>
    <s v="Inspección y/o reemplazo de toderas"/>
    <x v="0"/>
    <n v="0"/>
    <d v="2023-01-13T00:00:00"/>
    <d v="2023-02-05T00:00:00"/>
    <x v="2"/>
    <x v="10"/>
    <n v="1166"/>
    <n v="244"/>
    <x v="1"/>
  </r>
  <r>
    <x v="52"/>
    <x v="13"/>
    <x v="0"/>
    <x v="0"/>
    <x v="0"/>
    <x v="0"/>
    <s v="M0016"/>
    <x v="31"/>
    <x v="0"/>
    <x v="21"/>
    <s v="Observación de posibles daños"/>
    <x v="1"/>
    <s v="7 Semanal"/>
    <d v="2023-01-15T00:00:00"/>
    <d v="2023-01-22T00:00:00"/>
    <x v="1"/>
    <x v="0"/>
    <n v="573"/>
    <n v="196"/>
    <x v="1"/>
  </r>
  <r>
    <x v="53"/>
    <x v="13"/>
    <x v="0"/>
    <x v="0"/>
    <x v="0"/>
    <x v="0"/>
    <s v="M0037"/>
    <x v="1"/>
    <x v="0"/>
    <x v="1"/>
    <s v="Inspección de tuberías "/>
    <x v="0"/>
    <n v="0"/>
    <d v="2023-01-15T00:00:00"/>
    <d v="2023-02-13T00:00:00"/>
    <x v="0"/>
    <x v="0"/>
    <n v="0"/>
    <n v="0"/>
    <x v="0"/>
  </r>
  <r>
    <x v="54"/>
    <x v="13"/>
    <x v="0"/>
    <x v="0"/>
    <x v="0"/>
    <x v="0"/>
    <s v="M0014"/>
    <x v="19"/>
    <x v="2"/>
    <x v="17"/>
    <s v="Inspección de mangeras"/>
    <x v="0"/>
    <n v="0"/>
    <d v="2023-01-15T00:00:00"/>
    <d v="2023-02-11T00:00:00"/>
    <x v="0"/>
    <x v="0"/>
    <n v="0"/>
    <n v="0"/>
    <x v="0"/>
  </r>
  <r>
    <x v="55"/>
    <x v="14"/>
    <x v="0"/>
    <x v="0"/>
    <x v="0"/>
    <x v="0"/>
    <s v="M0003"/>
    <x v="22"/>
    <x v="2"/>
    <x v="20"/>
    <s v="Inspección y/o reemplazado de filtros de aire"/>
    <x v="0"/>
    <n v="0"/>
    <d v="2023-01-16T00:00:00"/>
    <d v="2023-02-02T00:00:00"/>
    <x v="2"/>
    <x v="14"/>
    <n v="971"/>
    <n v="151"/>
    <x v="2"/>
  </r>
  <r>
    <x v="56"/>
    <x v="14"/>
    <x v="0"/>
    <x v="0"/>
    <x v="0"/>
    <x v="0"/>
    <s v="M0018"/>
    <x v="0"/>
    <x v="0"/>
    <x v="0"/>
    <s v="Inspección y/o reemplazado de filtros de aceite"/>
    <x v="0"/>
    <n v="0"/>
    <d v="2023-01-16T00:00:00"/>
    <d v="2023-01-25T00:00:00"/>
    <x v="0"/>
    <x v="0"/>
    <n v="0"/>
    <n v="0"/>
    <x v="0"/>
  </r>
  <r>
    <x v="57"/>
    <x v="14"/>
    <x v="0"/>
    <x v="0"/>
    <x v="0"/>
    <x v="0"/>
    <s v="M0039"/>
    <x v="5"/>
    <x v="0"/>
    <x v="3"/>
    <s v="Inspección de Frenos"/>
    <x v="0"/>
    <n v="0"/>
    <d v="2023-01-16T00:00:00"/>
    <d v="2023-02-04T00:00:00"/>
    <x v="0"/>
    <x v="0"/>
    <n v="0"/>
    <n v="0"/>
    <x v="0"/>
  </r>
  <r>
    <x v="58"/>
    <x v="14"/>
    <x v="0"/>
    <x v="0"/>
    <x v="0"/>
    <x v="0"/>
    <s v="M0006"/>
    <x v="32"/>
    <x v="0"/>
    <x v="4"/>
    <s v="Mantenimiento general"/>
    <x v="0"/>
    <n v="0"/>
    <d v="2023-01-16T00:00:00"/>
    <d v="2023-02-12T00:00:00"/>
    <x v="0"/>
    <x v="0"/>
    <n v="0"/>
    <n v="0"/>
    <x v="0"/>
  </r>
  <r>
    <x v="59"/>
    <x v="14"/>
    <x v="0"/>
    <x v="0"/>
    <x v="0"/>
    <x v="0"/>
    <s v="M0033"/>
    <x v="0"/>
    <x v="0"/>
    <x v="4"/>
    <s v="Inspección de gases"/>
    <x v="0"/>
    <n v="0"/>
    <d v="2023-01-16T00:00:00"/>
    <d v="2023-01-19T00:00:00"/>
    <x v="2"/>
    <x v="11"/>
    <n v="1010"/>
    <n v="584"/>
    <x v="3"/>
  </r>
  <r>
    <x v="60"/>
    <x v="14"/>
    <x v="0"/>
    <x v="0"/>
    <x v="0"/>
    <x v="0"/>
    <s v="M0002"/>
    <x v="16"/>
    <x v="0"/>
    <x v="12"/>
    <s v="Observación de posibles daños"/>
    <x v="1"/>
    <s v="90 Trimestral"/>
    <d v="2023-01-16T00:00:00"/>
    <d v="2023-04-16T00:00:00"/>
    <x v="1"/>
    <x v="0"/>
    <n v="951"/>
    <n v="430"/>
    <x v="1"/>
  </r>
  <r>
    <x v="61"/>
    <x v="15"/>
    <x v="0"/>
    <x v="0"/>
    <x v="0"/>
    <x v="0"/>
    <s v="M0028"/>
    <x v="29"/>
    <x v="0"/>
    <x v="25"/>
    <s v="Inspección y/o reemplazado de cuchillas"/>
    <x v="0"/>
    <n v="0"/>
    <d v="2023-01-17T00:00:00"/>
    <d v="2023-02-07T00:00:00"/>
    <x v="0"/>
    <x v="0"/>
    <n v="0"/>
    <n v="0"/>
    <x v="0"/>
  </r>
  <r>
    <x v="62"/>
    <x v="15"/>
    <x v="0"/>
    <x v="0"/>
    <x v="0"/>
    <x v="0"/>
    <s v="M0020"/>
    <x v="13"/>
    <x v="0"/>
    <x v="13"/>
    <s v="Observación de posibles daños"/>
    <x v="1"/>
    <s v="90 Trimestral"/>
    <d v="2023-01-17T00:00:00"/>
    <d v="2023-04-17T00:00:00"/>
    <x v="1"/>
    <x v="0"/>
    <n v="1094"/>
    <n v="904"/>
    <x v="1"/>
  </r>
  <r>
    <x v="63"/>
    <x v="15"/>
    <x v="0"/>
    <x v="0"/>
    <x v="0"/>
    <x v="0"/>
    <s v="M0041"/>
    <x v="28"/>
    <x v="0"/>
    <x v="17"/>
    <s v="Revisión de válvulas"/>
    <x v="0"/>
    <n v="0"/>
    <d v="2023-01-17T00:00:00"/>
    <d v="2023-01-18T00:00:00"/>
    <x v="2"/>
    <x v="15"/>
    <n v="524"/>
    <n v="624"/>
    <x v="3"/>
  </r>
  <r>
    <x v="64"/>
    <x v="15"/>
    <x v="0"/>
    <x v="0"/>
    <x v="0"/>
    <x v="0"/>
    <s v="M0029"/>
    <x v="12"/>
    <x v="3"/>
    <x v="12"/>
    <s v="Limpieza y ajuste de inyectores"/>
    <x v="0"/>
    <n v="0"/>
    <d v="2023-01-17T00:00:00"/>
    <d v="2023-01-20T00:00:00"/>
    <x v="0"/>
    <x v="0"/>
    <n v="0"/>
    <n v="0"/>
    <x v="0"/>
  </r>
  <r>
    <x v="65"/>
    <x v="16"/>
    <x v="0"/>
    <x v="0"/>
    <x v="0"/>
    <x v="0"/>
    <s v="M0022"/>
    <x v="24"/>
    <x v="0"/>
    <x v="22"/>
    <s v="Limpieza y ajuste de terminales de baterías"/>
    <x v="0"/>
    <n v="0"/>
    <d v="2023-01-19T00:00:00"/>
    <d v="2023-01-26T00:00:00"/>
    <x v="0"/>
    <x v="0"/>
    <n v="0"/>
    <n v="0"/>
    <x v="0"/>
  </r>
  <r>
    <x v="66"/>
    <x v="16"/>
    <x v="0"/>
    <x v="0"/>
    <x v="0"/>
    <x v="0"/>
    <s v="M0015"/>
    <x v="33"/>
    <x v="4"/>
    <x v="10"/>
    <s v="Observación de posibles daños"/>
    <x v="1"/>
    <s v="15 Quincenal"/>
    <d v="2023-01-19T00:00:00"/>
    <d v="2023-02-03T00:00:00"/>
    <x v="1"/>
    <x v="0"/>
    <n v="807"/>
    <n v="864"/>
    <x v="1"/>
  </r>
  <r>
    <x v="67"/>
    <x v="17"/>
    <x v="0"/>
    <x v="0"/>
    <x v="0"/>
    <x v="0"/>
    <s v="M0037"/>
    <x v="1"/>
    <x v="0"/>
    <x v="1"/>
    <s v="Limpieza de ventilador"/>
    <x v="0"/>
    <n v="0"/>
    <d v="2023-01-20T00:00:00"/>
    <d v="2023-01-22T00:00:00"/>
    <x v="2"/>
    <x v="16"/>
    <n v="301"/>
    <n v="145"/>
    <x v="2"/>
  </r>
  <r>
    <x v="68"/>
    <x v="18"/>
    <x v="0"/>
    <x v="0"/>
    <x v="0"/>
    <x v="0"/>
    <s v="M0034"/>
    <x v="2"/>
    <x v="0"/>
    <x v="2"/>
    <s v="Observación de posibles daños"/>
    <x v="1"/>
    <s v="15 Quincenal"/>
    <d v="2023-01-21T00:00:00"/>
    <d v="2023-02-05T00:00:00"/>
    <x v="1"/>
    <x v="0"/>
    <n v="1082"/>
    <n v="637"/>
    <x v="1"/>
  </r>
  <r>
    <x v="69"/>
    <x v="19"/>
    <x v="0"/>
    <x v="0"/>
    <x v="0"/>
    <x v="0"/>
    <s v="M0043"/>
    <x v="23"/>
    <x v="3"/>
    <x v="21"/>
    <s v="Inspección de engranes"/>
    <x v="0"/>
    <n v="0"/>
    <d v="2023-01-22T00:00:00"/>
    <d v="2023-02-17T00:00:00"/>
    <x v="0"/>
    <x v="0"/>
    <n v="0"/>
    <n v="0"/>
    <x v="0"/>
  </r>
  <r>
    <x v="70"/>
    <x v="19"/>
    <x v="0"/>
    <x v="0"/>
    <x v="0"/>
    <x v="0"/>
    <s v="M0020"/>
    <x v="13"/>
    <x v="0"/>
    <x v="13"/>
    <s v="Revisió Ajuste y/o de bandas, correas y poleas"/>
    <x v="0"/>
    <n v="0"/>
    <d v="2023-01-22T00:00:00"/>
    <d v="2023-02-20T00:00:00"/>
    <x v="2"/>
    <x v="17"/>
    <n v="908"/>
    <n v="355"/>
    <x v="2"/>
  </r>
  <r>
    <x v="71"/>
    <x v="19"/>
    <x v="0"/>
    <x v="0"/>
    <x v="0"/>
    <x v="0"/>
    <s v="M0002"/>
    <x v="16"/>
    <x v="0"/>
    <x v="12"/>
    <s v="Observación de posibles daños"/>
    <x v="0"/>
    <n v="0"/>
    <d v="2023-01-22T00:00:00"/>
    <d v="2023-02-16T00:00:00"/>
    <x v="2"/>
    <x v="2"/>
    <n v="442"/>
    <n v="949"/>
    <x v="1"/>
  </r>
  <r>
    <x v="72"/>
    <x v="19"/>
    <x v="0"/>
    <x v="0"/>
    <x v="0"/>
    <x v="0"/>
    <s v="M0032"/>
    <x v="14"/>
    <x v="0"/>
    <x v="8"/>
    <s v="Observación de posibles daños"/>
    <x v="1"/>
    <s v="7 Semanal"/>
    <d v="2023-01-22T00:00:00"/>
    <d v="2023-01-29T00:00:00"/>
    <x v="1"/>
    <x v="0"/>
    <n v="451"/>
    <n v="580"/>
    <x v="1"/>
  </r>
  <r>
    <x v="73"/>
    <x v="19"/>
    <x v="0"/>
    <x v="0"/>
    <x v="0"/>
    <x v="0"/>
    <s v="M0024"/>
    <x v="21"/>
    <x v="2"/>
    <x v="19"/>
    <s v="Inspección y/o reemplazo de tubos de contacto"/>
    <x v="0"/>
    <n v="0"/>
    <d v="2023-01-22T00:00:00"/>
    <d v="2023-02-02T00:00:00"/>
    <x v="2"/>
    <x v="18"/>
    <n v="778"/>
    <n v="313"/>
    <x v="4"/>
  </r>
  <r>
    <x v="74"/>
    <x v="19"/>
    <x v="0"/>
    <x v="0"/>
    <x v="0"/>
    <x v="0"/>
    <s v="M0041"/>
    <x v="28"/>
    <x v="0"/>
    <x v="17"/>
    <s v="Observación de posibles daños"/>
    <x v="1"/>
    <s v="360 Anual"/>
    <d v="2023-01-22T00:00:00"/>
    <d v="2024-01-17T00:00:00"/>
    <x v="1"/>
    <x v="0"/>
    <n v="289"/>
    <n v="166"/>
    <x v="1"/>
  </r>
  <r>
    <x v="75"/>
    <x v="19"/>
    <x v="0"/>
    <x v="0"/>
    <x v="0"/>
    <x v="0"/>
    <s v="M0035"/>
    <x v="34"/>
    <x v="0"/>
    <x v="24"/>
    <s v="Ajuste general de máquinas"/>
    <x v="0"/>
    <n v="0"/>
    <d v="2023-01-22T00:00:00"/>
    <d v="2023-02-16T00:00:00"/>
    <x v="2"/>
    <x v="2"/>
    <n v="529"/>
    <n v="253"/>
    <x v="4"/>
  </r>
  <r>
    <x v="76"/>
    <x v="19"/>
    <x v="0"/>
    <x v="0"/>
    <x v="0"/>
    <x v="0"/>
    <s v="M0031"/>
    <x v="7"/>
    <x v="0"/>
    <x v="7"/>
    <s v="Observación de posibles daños"/>
    <x v="1"/>
    <s v="60 Bimestral"/>
    <d v="2023-01-22T00:00:00"/>
    <d v="2023-03-23T00:00:00"/>
    <x v="1"/>
    <x v="0"/>
    <n v="485"/>
    <n v="327"/>
    <x v="1"/>
  </r>
  <r>
    <x v="77"/>
    <x v="20"/>
    <x v="0"/>
    <x v="0"/>
    <x v="0"/>
    <x v="0"/>
    <s v="M0002"/>
    <x v="16"/>
    <x v="0"/>
    <x v="12"/>
    <s v="Inspección de mangeras"/>
    <x v="0"/>
    <n v="0"/>
    <d v="2023-01-23T00:00:00"/>
    <d v="2023-02-16T00:00:00"/>
    <x v="0"/>
    <x v="0"/>
    <n v="0"/>
    <n v="0"/>
    <x v="0"/>
  </r>
  <r>
    <x v="78"/>
    <x v="20"/>
    <x v="0"/>
    <x v="0"/>
    <x v="0"/>
    <x v="0"/>
    <s v="M0038"/>
    <x v="30"/>
    <x v="0"/>
    <x v="26"/>
    <s v="Observación de posibles daños"/>
    <x v="1"/>
    <s v="90 Trimestral"/>
    <d v="2023-01-23T00:00:00"/>
    <d v="2023-04-23T00:00:00"/>
    <x v="1"/>
    <x v="0"/>
    <n v="478"/>
    <n v="539"/>
    <x v="1"/>
  </r>
  <r>
    <x v="79"/>
    <x v="21"/>
    <x v="0"/>
    <x v="0"/>
    <x v="0"/>
    <x v="0"/>
    <s v="M0005"/>
    <x v="8"/>
    <x v="0"/>
    <x v="8"/>
    <s v="Inspección y/o reemplazado de filtros de aceite"/>
    <x v="0"/>
    <n v="0"/>
    <d v="2023-01-24T00:00:00"/>
    <d v="2023-02-17T00:00:00"/>
    <x v="0"/>
    <x v="0"/>
    <n v="0"/>
    <n v="0"/>
    <x v="0"/>
  </r>
  <r>
    <x v="80"/>
    <x v="21"/>
    <x v="0"/>
    <x v="0"/>
    <x v="0"/>
    <x v="0"/>
    <s v="M0035"/>
    <x v="34"/>
    <x v="0"/>
    <x v="24"/>
    <s v="Inspección de Frenos"/>
    <x v="0"/>
    <n v="0"/>
    <d v="2023-01-24T00:00:00"/>
    <d v="2023-02-18T00:00:00"/>
    <x v="0"/>
    <x v="0"/>
    <n v="0"/>
    <n v="0"/>
    <x v="0"/>
  </r>
  <r>
    <x v="81"/>
    <x v="22"/>
    <x v="0"/>
    <x v="0"/>
    <x v="0"/>
    <x v="0"/>
    <s v="M0043"/>
    <x v="23"/>
    <x v="3"/>
    <x v="21"/>
    <s v="Mantenimiento general"/>
    <x v="0"/>
    <n v="0"/>
    <d v="2023-01-25T00:00:00"/>
    <d v="2023-02-07T00:00:00"/>
    <x v="0"/>
    <x v="0"/>
    <n v="0"/>
    <n v="0"/>
    <x v="0"/>
  </r>
  <r>
    <x v="82"/>
    <x v="22"/>
    <x v="0"/>
    <x v="0"/>
    <x v="0"/>
    <x v="0"/>
    <s v="M0030"/>
    <x v="35"/>
    <x v="0"/>
    <x v="20"/>
    <s v="Observación de posibles daños"/>
    <x v="1"/>
    <s v="90 Trimestral"/>
    <d v="2023-01-25T00:00:00"/>
    <d v="2023-04-25T00:00:00"/>
    <x v="1"/>
    <x v="0"/>
    <n v="743"/>
    <n v="600"/>
    <x v="1"/>
  </r>
  <r>
    <x v="83"/>
    <x v="22"/>
    <x v="0"/>
    <x v="0"/>
    <x v="0"/>
    <x v="0"/>
    <s v="M0003"/>
    <x v="22"/>
    <x v="2"/>
    <x v="20"/>
    <s v="Inspección y/o reemplazado de escobillas"/>
    <x v="0"/>
    <n v="0"/>
    <d v="2023-01-25T00:00:00"/>
    <d v="2023-02-13T00:00:00"/>
    <x v="0"/>
    <x v="0"/>
    <n v="0"/>
    <n v="0"/>
    <x v="0"/>
  </r>
  <r>
    <x v="84"/>
    <x v="23"/>
    <x v="0"/>
    <x v="0"/>
    <x v="0"/>
    <x v="0"/>
    <s v="M0020"/>
    <x v="13"/>
    <x v="0"/>
    <x v="13"/>
    <s v="Inspección y/o reemplazado de cuchillas"/>
    <x v="0"/>
    <n v="0"/>
    <d v="2023-01-27T00:00:00"/>
    <d v="2023-02-07T00:00:00"/>
    <x v="0"/>
    <x v="0"/>
    <n v="0"/>
    <n v="0"/>
    <x v="0"/>
  </r>
  <r>
    <x v="85"/>
    <x v="24"/>
    <x v="0"/>
    <x v="0"/>
    <x v="0"/>
    <x v="0"/>
    <s v="M0042"/>
    <x v="10"/>
    <x v="2"/>
    <x v="10"/>
    <s v="Inspección de nivel de com¿bustible"/>
    <x v="0"/>
    <n v="0"/>
    <d v="2023-01-28T00:00:00"/>
    <d v="2023-02-19T00:00:00"/>
    <x v="2"/>
    <x v="1"/>
    <n v="1130"/>
    <n v="940"/>
    <x v="4"/>
  </r>
  <r>
    <x v="86"/>
    <x v="24"/>
    <x v="0"/>
    <x v="0"/>
    <x v="0"/>
    <x v="0"/>
    <s v="M0012"/>
    <x v="3"/>
    <x v="0"/>
    <x v="3"/>
    <s v="Revisión de válvulas"/>
    <x v="0"/>
    <n v="0"/>
    <d v="2023-01-28T00:00:00"/>
    <d v="2023-02-13T00:00:00"/>
    <x v="2"/>
    <x v="7"/>
    <n v="428"/>
    <n v="488"/>
    <x v="2"/>
  </r>
  <r>
    <x v="87"/>
    <x v="24"/>
    <x v="0"/>
    <x v="0"/>
    <x v="0"/>
    <x v="0"/>
    <s v="M0014"/>
    <x v="19"/>
    <x v="2"/>
    <x v="17"/>
    <s v="Limpieza y ajuste de inyectores"/>
    <x v="0"/>
    <n v="0"/>
    <d v="2023-01-28T00:00:00"/>
    <d v="2023-02-13T00:00:00"/>
    <x v="2"/>
    <x v="7"/>
    <n v="559"/>
    <n v="698"/>
    <x v="3"/>
  </r>
  <r>
    <x v="88"/>
    <x v="25"/>
    <x v="0"/>
    <x v="0"/>
    <x v="0"/>
    <x v="0"/>
    <s v="M0021"/>
    <x v="9"/>
    <x v="0"/>
    <x v="9"/>
    <s v="Observación de posibles daños"/>
    <x v="1"/>
    <s v="90 Trimestral"/>
    <d v="2023-01-29T00:00:00"/>
    <d v="2023-04-29T00:00:00"/>
    <x v="1"/>
    <x v="0"/>
    <n v="268"/>
    <n v="966"/>
    <x v="1"/>
  </r>
  <r>
    <x v="89"/>
    <x v="25"/>
    <x v="0"/>
    <x v="0"/>
    <x v="0"/>
    <x v="0"/>
    <s v="M0015"/>
    <x v="33"/>
    <x v="4"/>
    <x v="10"/>
    <s v="Verificación del sistema de enfriado"/>
    <x v="0"/>
    <n v="0"/>
    <d v="2023-01-29T00:00:00"/>
    <d v="2023-02-25T00:00:00"/>
    <x v="2"/>
    <x v="19"/>
    <n v="632"/>
    <n v="918"/>
    <x v="4"/>
  </r>
  <r>
    <x v="90"/>
    <x v="26"/>
    <x v="0"/>
    <x v="0"/>
    <x v="0"/>
    <x v="0"/>
    <s v="M0016"/>
    <x v="31"/>
    <x v="0"/>
    <x v="21"/>
    <s v="Observación de posibles daños"/>
    <x v="1"/>
    <s v="7 Semanal"/>
    <d v="2023-01-30T00:00:00"/>
    <d v="2023-02-06T00:00:00"/>
    <x v="1"/>
    <x v="0"/>
    <n v="1072"/>
    <n v="499"/>
    <x v="1"/>
  </r>
  <r>
    <x v="91"/>
    <x v="26"/>
    <x v="0"/>
    <x v="0"/>
    <x v="0"/>
    <x v="0"/>
    <s v="M0011"/>
    <x v="36"/>
    <x v="0"/>
    <x v="26"/>
    <s v="Limpieza general"/>
    <x v="0"/>
    <n v="0"/>
    <d v="2023-01-30T00:00:00"/>
    <d v="2023-02-28T00:00:00"/>
    <x v="0"/>
    <x v="0"/>
    <n v="0"/>
    <n v="0"/>
    <x v="0"/>
  </r>
  <r>
    <x v="92"/>
    <x v="26"/>
    <x v="0"/>
    <x v="0"/>
    <x v="0"/>
    <x v="0"/>
    <s v="M0010"/>
    <x v="37"/>
    <x v="0"/>
    <x v="1"/>
    <s v="Inspección de engranes"/>
    <x v="0"/>
    <n v="0"/>
    <d v="2023-01-30T00:00:00"/>
    <d v="2023-02-27T00:00:00"/>
    <x v="2"/>
    <x v="3"/>
    <n v="690"/>
    <n v="215"/>
    <x v="4"/>
  </r>
  <r>
    <x v="93"/>
    <x v="27"/>
    <x v="0"/>
    <x v="0"/>
    <x v="0"/>
    <x v="0"/>
    <s v="M0016"/>
    <x v="31"/>
    <x v="0"/>
    <x v="21"/>
    <s v="Revisió Ajuste y/o de bandas, correas y poleas"/>
    <x v="0"/>
    <n v="0"/>
    <d v="2023-01-31T00:00:00"/>
    <d v="2023-02-09T00:00:00"/>
    <x v="2"/>
    <x v="20"/>
    <n v="1108"/>
    <n v="806"/>
    <x v="4"/>
  </r>
  <r>
    <x v="94"/>
    <x v="27"/>
    <x v="0"/>
    <x v="0"/>
    <x v="0"/>
    <x v="0"/>
    <s v="M0031"/>
    <x v="7"/>
    <x v="0"/>
    <x v="7"/>
    <s v="Observación de posibles daños"/>
    <x v="0"/>
    <n v="0"/>
    <d v="2023-01-31T00:00:00"/>
    <d v="2023-03-01T00:00:00"/>
    <x v="2"/>
    <x v="17"/>
    <n v="656"/>
    <n v="191"/>
    <x v="4"/>
  </r>
  <r>
    <x v="95"/>
    <x v="27"/>
    <x v="0"/>
    <x v="0"/>
    <x v="0"/>
    <x v="0"/>
    <s v="M0034"/>
    <x v="2"/>
    <x v="0"/>
    <x v="2"/>
    <s v="Inspección y/o reemplazo de boquillas"/>
    <x v="0"/>
    <n v="0"/>
    <d v="2023-01-31T00:00:00"/>
    <d v="2023-02-23T00:00:00"/>
    <x v="0"/>
    <x v="0"/>
    <n v="0"/>
    <n v="0"/>
    <x v="0"/>
  </r>
  <r>
    <x v="96"/>
    <x v="28"/>
    <x v="1"/>
    <x v="1"/>
    <x v="0"/>
    <x v="0"/>
    <s v="M0017"/>
    <x v="20"/>
    <x v="0"/>
    <x v="18"/>
    <s v="Observación de posibles daños"/>
    <x v="1"/>
    <s v="90 Trimestral"/>
    <d v="2023-02-01T00:00:00"/>
    <d v="2023-05-02T00:00:00"/>
    <x v="1"/>
    <x v="0"/>
    <n v="763"/>
    <n v="295"/>
    <x v="1"/>
  </r>
  <r>
    <x v="97"/>
    <x v="28"/>
    <x v="1"/>
    <x v="1"/>
    <x v="0"/>
    <x v="0"/>
    <s v="M0028"/>
    <x v="29"/>
    <x v="0"/>
    <x v="25"/>
    <s v="Inspección y/o reemplazo de toderas"/>
    <x v="0"/>
    <n v="0"/>
    <d v="2023-02-01T00:00:00"/>
    <d v="2023-02-16T00:00:00"/>
    <x v="0"/>
    <x v="0"/>
    <n v="0"/>
    <n v="0"/>
    <x v="0"/>
  </r>
  <r>
    <x v="98"/>
    <x v="28"/>
    <x v="1"/>
    <x v="1"/>
    <x v="0"/>
    <x v="0"/>
    <s v="M0043"/>
    <x v="23"/>
    <x v="3"/>
    <x v="21"/>
    <s v="Observación de posibles daños"/>
    <x v="1"/>
    <s v="180 Semestral"/>
    <d v="2023-02-01T00:00:00"/>
    <d v="2023-07-31T00:00:00"/>
    <x v="1"/>
    <x v="0"/>
    <n v="519"/>
    <n v="505"/>
    <x v="1"/>
  </r>
  <r>
    <x v="99"/>
    <x v="28"/>
    <x v="1"/>
    <x v="1"/>
    <x v="0"/>
    <x v="0"/>
    <s v="M0023"/>
    <x v="18"/>
    <x v="0"/>
    <x v="16"/>
    <s v="Inspección de tuberías "/>
    <x v="0"/>
    <n v="0"/>
    <d v="2023-02-01T00:00:00"/>
    <d v="2023-02-03T00:00:00"/>
    <x v="2"/>
    <x v="16"/>
    <n v="849"/>
    <n v="451"/>
    <x v="4"/>
  </r>
  <r>
    <x v="100"/>
    <x v="29"/>
    <x v="1"/>
    <x v="1"/>
    <x v="0"/>
    <x v="0"/>
    <s v="M0003"/>
    <x v="22"/>
    <x v="2"/>
    <x v="20"/>
    <s v="Inspección de mangeras"/>
    <x v="0"/>
    <n v="0"/>
    <d v="2023-02-02T00:00:00"/>
    <d v="2023-02-05T00:00:00"/>
    <x v="0"/>
    <x v="0"/>
    <n v="0"/>
    <n v="0"/>
    <x v="0"/>
  </r>
  <r>
    <x v="101"/>
    <x v="29"/>
    <x v="1"/>
    <x v="1"/>
    <x v="0"/>
    <x v="0"/>
    <s v="M0031"/>
    <x v="7"/>
    <x v="0"/>
    <x v="7"/>
    <s v="Inspección y/o reemplazado de filtros de aire"/>
    <x v="0"/>
    <n v="0"/>
    <d v="2023-02-02T00:00:00"/>
    <d v="2023-02-05T00:00:00"/>
    <x v="0"/>
    <x v="0"/>
    <n v="0"/>
    <n v="0"/>
    <x v="0"/>
  </r>
  <r>
    <x v="102"/>
    <x v="30"/>
    <x v="1"/>
    <x v="1"/>
    <x v="0"/>
    <x v="0"/>
    <s v="M0029"/>
    <x v="12"/>
    <x v="3"/>
    <x v="12"/>
    <s v="Inspección y/o reemplazado de filtros de aceite"/>
    <x v="0"/>
    <n v="0"/>
    <d v="2023-02-04T00:00:00"/>
    <d v="2023-02-10T00:00:00"/>
    <x v="2"/>
    <x v="12"/>
    <n v="676"/>
    <n v="345"/>
    <x v="4"/>
  </r>
  <r>
    <x v="103"/>
    <x v="30"/>
    <x v="1"/>
    <x v="1"/>
    <x v="0"/>
    <x v="0"/>
    <s v="M0009"/>
    <x v="17"/>
    <x v="0"/>
    <x v="15"/>
    <s v="Inspección de Frenos"/>
    <x v="0"/>
    <n v="0"/>
    <d v="2023-02-04T00:00:00"/>
    <d v="2023-02-11T00:00:00"/>
    <x v="2"/>
    <x v="4"/>
    <n v="892"/>
    <n v="941"/>
    <x v="1"/>
  </r>
  <r>
    <x v="104"/>
    <x v="30"/>
    <x v="1"/>
    <x v="1"/>
    <x v="0"/>
    <x v="0"/>
    <s v="M0027"/>
    <x v="6"/>
    <x v="2"/>
    <x v="6"/>
    <s v="Mantenimiento general"/>
    <x v="0"/>
    <n v="0"/>
    <d v="2023-02-04T00:00:00"/>
    <d v="2023-03-05T00:00:00"/>
    <x v="2"/>
    <x v="17"/>
    <n v="424"/>
    <n v="810"/>
    <x v="4"/>
  </r>
  <r>
    <x v="105"/>
    <x v="30"/>
    <x v="1"/>
    <x v="1"/>
    <x v="0"/>
    <x v="0"/>
    <s v="M0008"/>
    <x v="26"/>
    <x v="0"/>
    <x v="24"/>
    <s v="Inspección de gases"/>
    <x v="0"/>
    <n v="0"/>
    <d v="2023-02-04T00:00:00"/>
    <d v="2023-03-01T00:00:00"/>
    <x v="2"/>
    <x v="2"/>
    <n v="678"/>
    <n v="484"/>
    <x v="3"/>
  </r>
  <r>
    <x v="106"/>
    <x v="30"/>
    <x v="1"/>
    <x v="1"/>
    <x v="0"/>
    <x v="0"/>
    <s v="M0029"/>
    <x v="12"/>
    <x v="3"/>
    <x v="12"/>
    <s v="Observación de posibles daños"/>
    <x v="1"/>
    <s v="360 Anual"/>
    <d v="2023-02-04T00:00:00"/>
    <d v="2024-01-30T00:00:00"/>
    <x v="1"/>
    <x v="0"/>
    <n v="692"/>
    <n v="249"/>
    <x v="1"/>
  </r>
  <r>
    <x v="107"/>
    <x v="30"/>
    <x v="1"/>
    <x v="1"/>
    <x v="0"/>
    <x v="0"/>
    <s v="M0010"/>
    <x v="37"/>
    <x v="0"/>
    <x v="1"/>
    <s v="Inspección y/o reemplazado de cuchillas"/>
    <x v="0"/>
    <n v="0"/>
    <d v="2023-02-04T00:00:00"/>
    <d v="2023-02-26T00:00:00"/>
    <x v="2"/>
    <x v="1"/>
    <n v="514"/>
    <n v="913"/>
    <x v="4"/>
  </r>
  <r>
    <x v="108"/>
    <x v="31"/>
    <x v="1"/>
    <x v="1"/>
    <x v="0"/>
    <x v="0"/>
    <s v="M0010"/>
    <x v="37"/>
    <x v="0"/>
    <x v="1"/>
    <s v="Observación de posibles daños"/>
    <x v="1"/>
    <s v="15 Quincenal"/>
    <d v="2023-02-05T00:00:00"/>
    <d v="2023-02-20T00:00:00"/>
    <x v="1"/>
    <x v="0"/>
    <n v="1127"/>
    <n v="375"/>
    <x v="1"/>
  </r>
  <r>
    <x v="109"/>
    <x v="31"/>
    <x v="1"/>
    <x v="1"/>
    <x v="0"/>
    <x v="0"/>
    <s v="M0017"/>
    <x v="20"/>
    <x v="0"/>
    <x v="18"/>
    <s v="Revisión de válvulas"/>
    <x v="0"/>
    <n v="0"/>
    <d v="2023-02-05T00:00:00"/>
    <d v="2023-02-24T00:00:00"/>
    <x v="0"/>
    <x v="0"/>
    <n v="0"/>
    <n v="0"/>
    <x v="0"/>
  </r>
  <r>
    <x v="110"/>
    <x v="31"/>
    <x v="1"/>
    <x v="1"/>
    <x v="0"/>
    <x v="0"/>
    <s v="M0013"/>
    <x v="15"/>
    <x v="0"/>
    <x v="14"/>
    <s v="Limpieza y ajuste de inyectores"/>
    <x v="0"/>
    <n v="0"/>
    <d v="2023-02-05T00:00:00"/>
    <d v="2023-02-19T00:00:00"/>
    <x v="2"/>
    <x v="21"/>
    <n v="657"/>
    <n v="448"/>
    <x v="4"/>
  </r>
  <r>
    <x v="111"/>
    <x v="31"/>
    <x v="1"/>
    <x v="1"/>
    <x v="0"/>
    <x v="0"/>
    <s v="M0041"/>
    <x v="28"/>
    <x v="0"/>
    <x v="17"/>
    <s v="Limpieza y ajuste de terminales de baterías"/>
    <x v="0"/>
    <n v="0"/>
    <d v="2023-02-05T00:00:00"/>
    <d v="2023-02-19T00:00:00"/>
    <x v="2"/>
    <x v="21"/>
    <n v="1069"/>
    <n v="202"/>
    <x v="2"/>
  </r>
  <r>
    <x v="112"/>
    <x v="31"/>
    <x v="1"/>
    <x v="1"/>
    <x v="0"/>
    <x v="0"/>
    <s v="M0001"/>
    <x v="38"/>
    <x v="0"/>
    <x v="25"/>
    <s v="Verificación del sistema de enfriado"/>
    <x v="0"/>
    <n v="0"/>
    <d v="2023-02-05T00:00:00"/>
    <d v="2023-02-26T00:00:00"/>
    <x v="2"/>
    <x v="22"/>
    <n v="228"/>
    <n v="195"/>
    <x v="3"/>
  </r>
  <r>
    <x v="113"/>
    <x v="32"/>
    <x v="1"/>
    <x v="1"/>
    <x v="0"/>
    <x v="0"/>
    <s v="M0007"/>
    <x v="39"/>
    <x v="0"/>
    <x v="2"/>
    <s v="Limpieza de ventilador"/>
    <x v="0"/>
    <n v="0"/>
    <d v="2023-02-06T00:00:00"/>
    <d v="2023-02-14T00:00:00"/>
    <x v="0"/>
    <x v="0"/>
    <n v="0"/>
    <n v="0"/>
    <x v="0"/>
  </r>
  <r>
    <x v="114"/>
    <x v="32"/>
    <x v="1"/>
    <x v="1"/>
    <x v="0"/>
    <x v="0"/>
    <s v="M0012"/>
    <x v="3"/>
    <x v="0"/>
    <x v="3"/>
    <s v="Limpieza general"/>
    <x v="0"/>
    <n v="0"/>
    <d v="2023-02-06T00:00:00"/>
    <d v="2023-02-15T00:00:00"/>
    <x v="0"/>
    <x v="0"/>
    <n v="0"/>
    <n v="0"/>
    <x v="0"/>
  </r>
  <r>
    <x v="115"/>
    <x v="33"/>
    <x v="1"/>
    <x v="1"/>
    <x v="0"/>
    <x v="0"/>
    <s v="M0035"/>
    <x v="34"/>
    <x v="0"/>
    <x v="24"/>
    <s v="Inspección de engranes"/>
    <x v="0"/>
    <n v="0"/>
    <d v="2023-02-07T00:00:00"/>
    <d v="2023-03-02T00:00:00"/>
    <x v="0"/>
    <x v="0"/>
    <n v="0"/>
    <n v="0"/>
    <x v="0"/>
  </r>
  <r>
    <x v="116"/>
    <x v="33"/>
    <x v="1"/>
    <x v="1"/>
    <x v="0"/>
    <x v="0"/>
    <s v="M0014"/>
    <x v="19"/>
    <x v="2"/>
    <x v="17"/>
    <s v="Revisió Ajuste y/o de bandas, correas y poleas"/>
    <x v="0"/>
    <n v="0"/>
    <d v="2023-02-07T00:00:00"/>
    <d v="2023-03-04T00:00:00"/>
    <x v="2"/>
    <x v="2"/>
    <n v="955"/>
    <n v="135"/>
    <x v="4"/>
  </r>
  <r>
    <x v="117"/>
    <x v="34"/>
    <x v="1"/>
    <x v="1"/>
    <x v="0"/>
    <x v="0"/>
    <s v="M0032"/>
    <x v="14"/>
    <x v="0"/>
    <x v="8"/>
    <s v="Observación de posibles daños"/>
    <x v="0"/>
    <n v="0"/>
    <d v="2023-02-08T00:00:00"/>
    <d v="2023-02-10T00:00:00"/>
    <x v="2"/>
    <x v="16"/>
    <n v="950"/>
    <n v="450"/>
    <x v="1"/>
  </r>
  <r>
    <x v="118"/>
    <x v="34"/>
    <x v="1"/>
    <x v="1"/>
    <x v="0"/>
    <x v="0"/>
    <s v="M0021"/>
    <x v="9"/>
    <x v="0"/>
    <x v="9"/>
    <s v="Inspección y/o reemplazo de boquillas"/>
    <x v="0"/>
    <n v="0"/>
    <d v="2023-02-08T00:00:00"/>
    <d v="2023-02-11T00:00:00"/>
    <x v="2"/>
    <x v="11"/>
    <n v="933"/>
    <n v="927"/>
    <x v="1"/>
  </r>
  <r>
    <x v="119"/>
    <x v="34"/>
    <x v="1"/>
    <x v="1"/>
    <x v="0"/>
    <x v="0"/>
    <s v="M0014"/>
    <x v="19"/>
    <x v="2"/>
    <x v="17"/>
    <s v="Inspección y/o reemplazo de tubos de contacto"/>
    <x v="0"/>
    <n v="0"/>
    <d v="2023-02-08T00:00:00"/>
    <d v="2023-03-01T00:00:00"/>
    <x v="0"/>
    <x v="0"/>
    <n v="0"/>
    <n v="0"/>
    <x v="0"/>
  </r>
  <r>
    <x v="120"/>
    <x v="35"/>
    <x v="1"/>
    <x v="1"/>
    <x v="0"/>
    <x v="0"/>
    <s v="M0010"/>
    <x v="37"/>
    <x v="0"/>
    <x v="1"/>
    <s v="Observación de posibles daños"/>
    <x v="1"/>
    <s v="30 Mensual"/>
    <d v="2023-02-09T00:00:00"/>
    <d v="2023-03-11T00:00:00"/>
    <x v="1"/>
    <x v="0"/>
    <n v="502"/>
    <n v="486"/>
    <x v="1"/>
  </r>
  <r>
    <x v="121"/>
    <x v="36"/>
    <x v="1"/>
    <x v="1"/>
    <x v="0"/>
    <x v="0"/>
    <s v="M0030"/>
    <x v="35"/>
    <x v="0"/>
    <x v="20"/>
    <s v="Ajuste general de máquinas"/>
    <x v="0"/>
    <n v="0"/>
    <d v="2023-02-10T00:00:00"/>
    <d v="2023-02-27T00:00:00"/>
    <x v="2"/>
    <x v="14"/>
    <n v="368"/>
    <n v="504"/>
    <x v="3"/>
  </r>
  <r>
    <x v="122"/>
    <x v="36"/>
    <x v="1"/>
    <x v="1"/>
    <x v="0"/>
    <x v="0"/>
    <s v="M0006"/>
    <x v="32"/>
    <x v="0"/>
    <x v="4"/>
    <s v="Inspección de tuberías "/>
    <x v="0"/>
    <n v="0"/>
    <d v="2023-02-10T00:00:00"/>
    <d v="2023-03-12T00:00:00"/>
    <x v="2"/>
    <x v="23"/>
    <n v="787"/>
    <n v="575"/>
    <x v="4"/>
  </r>
  <r>
    <x v="123"/>
    <x v="37"/>
    <x v="1"/>
    <x v="1"/>
    <x v="0"/>
    <x v="0"/>
    <s v="M0002"/>
    <x v="16"/>
    <x v="0"/>
    <x v="12"/>
    <s v="Inspección de mangeras"/>
    <x v="0"/>
    <n v="0"/>
    <d v="2023-02-11T00:00:00"/>
    <d v="2023-02-26T00:00:00"/>
    <x v="2"/>
    <x v="24"/>
    <n v="936"/>
    <n v="362"/>
    <x v="1"/>
  </r>
  <r>
    <x v="124"/>
    <x v="37"/>
    <x v="1"/>
    <x v="1"/>
    <x v="0"/>
    <x v="0"/>
    <s v="M0033"/>
    <x v="0"/>
    <x v="0"/>
    <x v="4"/>
    <s v="Inspección y/o reemplazado de filtros de aire"/>
    <x v="0"/>
    <n v="0"/>
    <d v="2023-02-11T00:00:00"/>
    <d v="2023-03-07T00:00:00"/>
    <x v="2"/>
    <x v="25"/>
    <n v="983"/>
    <n v="938"/>
    <x v="1"/>
  </r>
  <r>
    <x v="125"/>
    <x v="37"/>
    <x v="1"/>
    <x v="1"/>
    <x v="0"/>
    <x v="0"/>
    <s v="M0030"/>
    <x v="35"/>
    <x v="0"/>
    <x v="20"/>
    <s v="Inspección y/o reemplazado de filtros de aceite"/>
    <x v="0"/>
    <n v="0"/>
    <d v="2023-02-11T00:00:00"/>
    <d v="2023-03-11T00:00:00"/>
    <x v="0"/>
    <x v="0"/>
    <n v="0"/>
    <n v="0"/>
    <x v="0"/>
  </r>
  <r>
    <x v="126"/>
    <x v="37"/>
    <x v="1"/>
    <x v="1"/>
    <x v="0"/>
    <x v="0"/>
    <s v="M0019"/>
    <x v="4"/>
    <x v="1"/>
    <x v="5"/>
    <s v="Observación de posibles daños"/>
    <x v="1"/>
    <s v="90 Trimestral"/>
    <d v="2023-02-11T00:00:00"/>
    <d v="2023-05-12T00:00:00"/>
    <x v="1"/>
    <x v="0"/>
    <n v="1081"/>
    <n v="789"/>
    <x v="1"/>
  </r>
  <r>
    <x v="127"/>
    <x v="37"/>
    <x v="1"/>
    <x v="1"/>
    <x v="0"/>
    <x v="0"/>
    <s v="M0037"/>
    <x v="1"/>
    <x v="0"/>
    <x v="1"/>
    <s v="Mantenimiento general"/>
    <x v="0"/>
    <n v="0"/>
    <d v="2023-02-11T00:00:00"/>
    <d v="2023-02-20T00:00:00"/>
    <x v="2"/>
    <x v="20"/>
    <n v="852"/>
    <n v="567"/>
    <x v="4"/>
  </r>
  <r>
    <x v="128"/>
    <x v="37"/>
    <x v="1"/>
    <x v="1"/>
    <x v="0"/>
    <x v="0"/>
    <s v="M0009"/>
    <x v="17"/>
    <x v="0"/>
    <x v="15"/>
    <s v="Inspección de gases"/>
    <x v="0"/>
    <n v="0"/>
    <d v="2023-02-11T00:00:00"/>
    <d v="2023-02-18T00:00:00"/>
    <x v="0"/>
    <x v="0"/>
    <n v="0"/>
    <n v="0"/>
    <x v="0"/>
  </r>
  <r>
    <x v="129"/>
    <x v="37"/>
    <x v="1"/>
    <x v="1"/>
    <x v="0"/>
    <x v="0"/>
    <s v="M0010"/>
    <x v="37"/>
    <x v="0"/>
    <x v="1"/>
    <s v="Inspección y/o reemplazado de escobillas"/>
    <x v="0"/>
    <n v="0"/>
    <d v="2023-02-11T00:00:00"/>
    <d v="2023-02-28T00:00:00"/>
    <x v="0"/>
    <x v="0"/>
    <n v="0"/>
    <n v="0"/>
    <x v="0"/>
  </r>
  <r>
    <x v="130"/>
    <x v="38"/>
    <x v="1"/>
    <x v="1"/>
    <x v="0"/>
    <x v="0"/>
    <s v="M0042"/>
    <x v="10"/>
    <x v="2"/>
    <x v="10"/>
    <s v="Inspección y/o reemplazado de cuchillas"/>
    <x v="0"/>
    <n v="0"/>
    <d v="2023-02-12T00:00:00"/>
    <d v="2023-03-09T00:00:00"/>
    <x v="0"/>
    <x v="0"/>
    <n v="0"/>
    <n v="0"/>
    <x v="0"/>
  </r>
  <r>
    <x v="131"/>
    <x v="38"/>
    <x v="1"/>
    <x v="1"/>
    <x v="0"/>
    <x v="0"/>
    <s v="M0017"/>
    <x v="20"/>
    <x v="0"/>
    <x v="18"/>
    <s v="Inspección de nivel de com¿bustible"/>
    <x v="0"/>
    <n v="0"/>
    <d v="2023-02-12T00:00:00"/>
    <d v="2023-02-15T00:00:00"/>
    <x v="2"/>
    <x v="11"/>
    <n v="339"/>
    <n v="480"/>
    <x v="4"/>
  </r>
  <r>
    <x v="132"/>
    <x v="39"/>
    <x v="1"/>
    <x v="1"/>
    <x v="0"/>
    <x v="0"/>
    <s v="M0007"/>
    <x v="39"/>
    <x v="0"/>
    <x v="2"/>
    <s v="Revisión de válvulas"/>
    <x v="0"/>
    <n v="0"/>
    <d v="2023-02-13T00:00:00"/>
    <d v="2023-02-27T00:00:00"/>
    <x v="2"/>
    <x v="21"/>
    <n v="487"/>
    <n v="588"/>
    <x v="2"/>
  </r>
  <r>
    <x v="133"/>
    <x v="39"/>
    <x v="1"/>
    <x v="1"/>
    <x v="0"/>
    <x v="0"/>
    <s v="M0003"/>
    <x v="22"/>
    <x v="2"/>
    <x v="20"/>
    <s v="Limpieza y ajuste de inyectores"/>
    <x v="0"/>
    <n v="0"/>
    <d v="2023-02-13T00:00:00"/>
    <d v="2023-02-20T00:00:00"/>
    <x v="2"/>
    <x v="4"/>
    <n v="652"/>
    <n v="217"/>
    <x v="1"/>
  </r>
  <r>
    <x v="134"/>
    <x v="39"/>
    <x v="1"/>
    <x v="1"/>
    <x v="0"/>
    <x v="0"/>
    <s v="M0034"/>
    <x v="2"/>
    <x v="0"/>
    <x v="2"/>
    <s v="Observación de posibles daños"/>
    <x v="1"/>
    <s v="30 Mensual"/>
    <d v="2023-02-13T00:00:00"/>
    <d v="2023-03-15T00:00:00"/>
    <x v="1"/>
    <x v="0"/>
    <n v="477"/>
    <n v="245"/>
    <x v="1"/>
  </r>
  <r>
    <x v="135"/>
    <x v="40"/>
    <x v="1"/>
    <x v="1"/>
    <x v="0"/>
    <x v="0"/>
    <s v="M0029"/>
    <x v="12"/>
    <x v="3"/>
    <x v="12"/>
    <s v="Verificación del sistema de enfriado"/>
    <x v="0"/>
    <n v="0"/>
    <d v="2023-02-14T00:00:00"/>
    <d v="2023-03-14T00:00:00"/>
    <x v="0"/>
    <x v="0"/>
    <n v="0"/>
    <n v="0"/>
    <x v="0"/>
  </r>
  <r>
    <x v="136"/>
    <x v="40"/>
    <x v="1"/>
    <x v="1"/>
    <x v="0"/>
    <x v="0"/>
    <s v="M0010"/>
    <x v="37"/>
    <x v="0"/>
    <x v="1"/>
    <s v="Limpieza de ventilador"/>
    <x v="0"/>
    <n v="0"/>
    <d v="2023-02-14T00:00:00"/>
    <d v="2023-03-13T00:00:00"/>
    <x v="0"/>
    <x v="0"/>
    <n v="0"/>
    <n v="0"/>
    <x v="0"/>
  </r>
  <r>
    <x v="137"/>
    <x v="40"/>
    <x v="1"/>
    <x v="1"/>
    <x v="0"/>
    <x v="0"/>
    <s v="M0031"/>
    <x v="7"/>
    <x v="0"/>
    <x v="7"/>
    <s v="Limpieza general"/>
    <x v="0"/>
    <n v="0"/>
    <d v="2023-02-14T00:00:00"/>
    <d v="2023-02-26T00:00:00"/>
    <x v="2"/>
    <x v="13"/>
    <n v="914"/>
    <n v="922"/>
    <x v="4"/>
  </r>
  <r>
    <x v="138"/>
    <x v="40"/>
    <x v="1"/>
    <x v="1"/>
    <x v="0"/>
    <x v="0"/>
    <s v="M0035"/>
    <x v="34"/>
    <x v="0"/>
    <x v="24"/>
    <s v="Observación de posibles daños"/>
    <x v="1"/>
    <s v="15 Quincenal"/>
    <d v="2023-02-14T00:00:00"/>
    <d v="2023-03-01T00:00:00"/>
    <x v="1"/>
    <x v="0"/>
    <n v="572"/>
    <n v="457"/>
    <x v="1"/>
  </r>
  <r>
    <x v="139"/>
    <x v="40"/>
    <x v="1"/>
    <x v="1"/>
    <x v="0"/>
    <x v="0"/>
    <s v="M0015"/>
    <x v="33"/>
    <x v="4"/>
    <x v="10"/>
    <s v="Revisió Ajuste y/o de bandas, correas y poleas"/>
    <x v="0"/>
    <n v="0"/>
    <d v="2023-02-14T00:00:00"/>
    <d v="2023-02-27T00:00:00"/>
    <x v="0"/>
    <x v="0"/>
    <n v="0"/>
    <n v="0"/>
    <x v="0"/>
  </r>
  <r>
    <x v="140"/>
    <x v="41"/>
    <x v="1"/>
    <x v="1"/>
    <x v="0"/>
    <x v="0"/>
    <s v="M0009"/>
    <x v="17"/>
    <x v="0"/>
    <x v="15"/>
    <s v="Observación de posibles daños"/>
    <x v="1"/>
    <s v="360 Anual"/>
    <d v="2023-02-16T00:00:00"/>
    <d v="2024-02-11T00:00:00"/>
    <x v="1"/>
    <x v="0"/>
    <n v="1188"/>
    <n v="268"/>
    <x v="1"/>
  </r>
  <r>
    <x v="141"/>
    <x v="42"/>
    <x v="1"/>
    <x v="1"/>
    <x v="0"/>
    <x v="0"/>
    <s v="M0023"/>
    <x v="18"/>
    <x v="0"/>
    <x v="16"/>
    <s v="Inspección y/o reemplazo de boquillas"/>
    <x v="0"/>
    <n v="0"/>
    <d v="2023-02-17T00:00:00"/>
    <d v="2023-03-04T00:00:00"/>
    <x v="2"/>
    <x v="24"/>
    <n v="572"/>
    <n v="267"/>
    <x v="4"/>
  </r>
  <r>
    <x v="142"/>
    <x v="42"/>
    <x v="1"/>
    <x v="1"/>
    <x v="0"/>
    <x v="0"/>
    <s v="M0033"/>
    <x v="0"/>
    <x v="0"/>
    <x v="4"/>
    <s v="Inspección y/o reemplazo de tubos de contacto"/>
    <x v="0"/>
    <n v="0"/>
    <d v="2023-02-17T00:00:00"/>
    <d v="2023-03-07T00:00:00"/>
    <x v="2"/>
    <x v="5"/>
    <n v="377"/>
    <n v="920"/>
    <x v="1"/>
  </r>
  <r>
    <x v="143"/>
    <x v="42"/>
    <x v="1"/>
    <x v="1"/>
    <x v="0"/>
    <x v="0"/>
    <s v="M0041"/>
    <x v="28"/>
    <x v="0"/>
    <x v="17"/>
    <s v="Inspección y/o reemplazo de toderas"/>
    <x v="0"/>
    <n v="0"/>
    <d v="2023-02-17T00:00:00"/>
    <d v="2023-03-19T00:00:00"/>
    <x v="2"/>
    <x v="23"/>
    <n v="936"/>
    <n v="842"/>
    <x v="2"/>
  </r>
  <r>
    <x v="144"/>
    <x v="43"/>
    <x v="1"/>
    <x v="1"/>
    <x v="0"/>
    <x v="0"/>
    <s v="M0029"/>
    <x v="12"/>
    <x v="3"/>
    <x v="12"/>
    <s v="Ajuste general de máquinas"/>
    <x v="0"/>
    <n v="0"/>
    <d v="2023-02-18T00:00:00"/>
    <d v="2023-03-16T00:00:00"/>
    <x v="2"/>
    <x v="6"/>
    <n v="337"/>
    <n v="378"/>
    <x v="4"/>
  </r>
  <r>
    <x v="145"/>
    <x v="43"/>
    <x v="1"/>
    <x v="1"/>
    <x v="0"/>
    <x v="0"/>
    <s v="M0024"/>
    <x v="21"/>
    <x v="2"/>
    <x v="19"/>
    <s v="Inspección de tuberías "/>
    <x v="0"/>
    <n v="0"/>
    <d v="2023-02-18T00:00:00"/>
    <d v="2023-02-20T00:00:00"/>
    <x v="2"/>
    <x v="16"/>
    <n v="668"/>
    <n v="480"/>
    <x v="4"/>
  </r>
  <r>
    <x v="146"/>
    <x v="44"/>
    <x v="1"/>
    <x v="1"/>
    <x v="0"/>
    <x v="0"/>
    <s v="M0041"/>
    <x v="28"/>
    <x v="0"/>
    <x v="17"/>
    <s v="Inspección de mangeras"/>
    <x v="0"/>
    <n v="0"/>
    <d v="2023-02-19T00:00:00"/>
    <d v="2023-02-26T00:00:00"/>
    <x v="2"/>
    <x v="4"/>
    <n v="403"/>
    <n v="711"/>
    <x v="4"/>
  </r>
  <r>
    <x v="147"/>
    <x v="44"/>
    <x v="1"/>
    <x v="1"/>
    <x v="0"/>
    <x v="0"/>
    <s v="M0018"/>
    <x v="0"/>
    <x v="0"/>
    <x v="0"/>
    <s v="Inspección y/o reemplazado de filtros de aire"/>
    <x v="0"/>
    <n v="0"/>
    <d v="2023-02-19T00:00:00"/>
    <d v="2023-02-26T00:00:00"/>
    <x v="2"/>
    <x v="4"/>
    <n v="847"/>
    <n v="186"/>
    <x v="2"/>
  </r>
  <r>
    <x v="148"/>
    <x v="44"/>
    <x v="1"/>
    <x v="1"/>
    <x v="0"/>
    <x v="0"/>
    <s v="M0006"/>
    <x v="32"/>
    <x v="0"/>
    <x v="4"/>
    <s v="Inspección y/o reemplazado de filtros de aceite"/>
    <x v="0"/>
    <n v="0"/>
    <d v="2023-02-19T00:00:00"/>
    <d v="2023-02-20T00:00:00"/>
    <x v="2"/>
    <x v="15"/>
    <n v="717"/>
    <n v="382"/>
    <x v="2"/>
  </r>
  <r>
    <x v="149"/>
    <x v="45"/>
    <x v="1"/>
    <x v="1"/>
    <x v="0"/>
    <x v="0"/>
    <s v="M0019"/>
    <x v="4"/>
    <x v="1"/>
    <x v="5"/>
    <s v="Inspección de Frenos"/>
    <x v="0"/>
    <n v="0"/>
    <d v="2023-02-20T00:00:00"/>
    <d v="2023-02-21T00:00:00"/>
    <x v="0"/>
    <x v="0"/>
    <n v="0"/>
    <n v="0"/>
    <x v="0"/>
  </r>
  <r>
    <x v="150"/>
    <x v="45"/>
    <x v="1"/>
    <x v="1"/>
    <x v="0"/>
    <x v="0"/>
    <s v="M0010"/>
    <x v="37"/>
    <x v="0"/>
    <x v="1"/>
    <s v="Observación de posibles daños"/>
    <x v="1"/>
    <s v="60 Bimestral"/>
    <d v="2023-02-20T00:00:00"/>
    <d v="2023-04-21T00:00:00"/>
    <x v="1"/>
    <x v="0"/>
    <n v="427"/>
    <n v="170"/>
    <x v="1"/>
  </r>
  <r>
    <x v="151"/>
    <x v="45"/>
    <x v="1"/>
    <x v="1"/>
    <x v="0"/>
    <x v="0"/>
    <s v="M0030"/>
    <x v="35"/>
    <x v="0"/>
    <x v="20"/>
    <s v="Inspección de gases"/>
    <x v="0"/>
    <n v="0"/>
    <d v="2023-02-20T00:00:00"/>
    <d v="2023-03-16T00:00:00"/>
    <x v="2"/>
    <x v="25"/>
    <n v="1175"/>
    <n v="884"/>
    <x v="1"/>
  </r>
  <r>
    <x v="152"/>
    <x v="45"/>
    <x v="1"/>
    <x v="1"/>
    <x v="0"/>
    <x v="0"/>
    <s v="M0009"/>
    <x v="17"/>
    <x v="0"/>
    <x v="15"/>
    <s v="Observación de posibles daños"/>
    <x v="1"/>
    <s v="7 Semanal"/>
    <d v="2023-02-20T00:00:00"/>
    <d v="2023-02-27T00:00:00"/>
    <x v="1"/>
    <x v="0"/>
    <n v="424"/>
    <n v="258"/>
    <x v="1"/>
  </r>
  <r>
    <x v="153"/>
    <x v="45"/>
    <x v="1"/>
    <x v="1"/>
    <x v="0"/>
    <x v="0"/>
    <s v="M0037"/>
    <x v="1"/>
    <x v="0"/>
    <x v="1"/>
    <s v="Inspección y/o reemplazado de cuchillas"/>
    <x v="0"/>
    <n v="0"/>
    <d v="2023-02-20T00:00:00"/>
    <d v="2023-03-20T00:00:00"/>
    <x v="2"/>
    <x v="3"/>
    <n v="447"/>
    <n v="940"/>
    <x v="1"/>
  </r>
  <r>
    <x v="154"/>
    <x v="46"/>
    <x v="1"/>
    <x v="1"/>
    <x v="0"/>
    <x v="0"/>
    <s v="M0030"/>
    <x v="35"/>
    <x v="0"/>
    <x v="20"/>
    <s v="Observación de posibles daños"/>
    <x v="1"/>
    <s v="360 Anual"/>
    <d v="2023-02-21T00:00:00"/>
    <d v="2024-02-16T00:00:00"/>
    <x v="1"/>
    <x v="0"/>
    <n v="868"/>
    <n v="751"/>
    <x v="1"/>
  </r>
  <r>
    <x v="155"/>
    <x v="46"/>
    <x v="1"/>
    <x v="1"/>
    <x v="0"/>
    <x v="0"/>
    <s v="M0038"/>
    <x v="30"/>
    <x v="0"/>
    <x v="26"/>
    <s v="Revisión de válvulas"/>
    <x v="0"/>
    <n v="0"/>
    <d v="2023-02-21T00:00:00"/>
    <d v="2023-03-04T00:00:00"/>
    <x v="2"/>
    <x v="18"/>
    <n v="688"/>
    <n v="454"/>
    <x v="4"/>
  </r>
  <r>
    <x v="156"/>
    <x v="47"/>
    <x v="1"/>
    <x v="1"/>
    <x v="0"/>
    <x v="0"/>
    <s v="M0004"/>
    <x v="40"/>
    <x v="2"/>
    <x v="7"/>
    <s v="Observación de posibles daños"/>
    <x v="1"/>
    <s v="180 Semestral"/>
    <d v="2023-02-22T00:00:00"/>
    <d v="2023-08-21T00:00:00"/>
    <x v="1"/>
    <x v="0"/>
    <n v="497"/>
    <n v="910"/>
    <x v="1"/>
  </r>
  <r>
    <x v="157"/>
    <x v="47"/>
    <x v="1"/>
    <x v="1"/>
    <x v="0"/>
    <x v="0"/>
    <s v="M0003"/>
    <x v="22"/>
    <x v="2"/>
    <x v="20"/>
    <s v="Limpieza y ajuste de terminales de baterías"/>
    <x v="0"/>
    <n v="0"/>
    <d v="2023-02-22T00:00:00"/>
    <d v="2023-03-19T00:00:00"/>
    <x v="0"/>
    <x v="0"/>
    <n v="0"/>
    <n v="0"/>
    <x v="0"/>
  </r>
  <r>
    <x v="158"/>
    <x v="48"/>
    <x v="1"/>
    <x v="1"/>
    <x v="0"/>
    <x v="0"/>
    <s v="M0040"/>
    <x v="41"/>
    <x v="0"/>
    <x v="14"/>
    <s v="Observación de posibles daños"/>
    <x v="1"/>
    <s v="60 Bimestral"/>
    <d v="2023-02-23T00:00:00"/>
    <d v="2023-04-24T00:00:00"/>
    <x v="1"/>
    <x v="0"/>
    <n v="1102"/>
    <n v="271"/>
    <x v="1"/>
  </r>
  <r>
    <x v="159"/>
    <x v="48"/>
    <x v="1"/>
    <x v="1"/>
    <x v="0"/>
    <x v="0"/>
    <s v="M0010"/>
    <x v="37"/>
    <x v="0"/>
    <x v="1"/>
    <s v="Limpieza de ventilador"/>
    <x v="0"/>
    <n v="0"/>
    <d v="2023-02-23T00:00:00"/>
    <d v="2023-03-11T00:00:00"/>
    <x v="0"/>
    <x v="0"/>
    <n v="0"/>
    <n v="0"/>
    <x v="0"/>
  </r>
  <r>
    <x v="160"/>
    <x v="48"/>
    <x v="1"/>
    <x v="1"/>
    <x v="0"/>
    <x v="0"/>
    <s v="M0033"/>
    <x v="0"/>
    <x v="0"/>
    <x v="4"/>
    <s v="Observación de posibles daños"/>
    <x v="1"/>
    <s v="90 Trimestral"/>
    <d v="2023-02-23T00:00:00"/>
    <d v="2023-05-24T00:00:00"/>
    <x v="1"/>
    <x v="0"/>
    <n v="845"/>
    <n v="409"/>
    <x v="1"/>
  </r>
  <r>
    <x v="161"/>
    <x v="48"/>
    <x v="1"/>
    <x v="1"/>
    <x v="0"/>
    <x v="0"/>
    <s v="M0036"/>
    <x v="27"/>
    <x v="0"/>
    <x v="15"/>
    <s v="Inspección de engranes"/>
    <x v="0"/>
    <n v="0"/>
    <d v="2023-02-23T00:00:00"/>
    <d v="2023-03-17T00:00:00"/>
    <x v="2"/>
    <x v="1"/>
    <n v="884"/>
    <n v="560"/>
    <x v="4"/>
  </r>
  <r>
    <x v="162"/>
    <x v="48"/>
    <x v="1"/>
    <x v="1"/>
    <x v="0"/>
    <x v="0"/>
    <s v="M0024"/>
    <x v="21"/>
    <x v="2"/>
    <x v="19"/>
    <s v="Observación de posibles daños"/>
    <x v="1"/>
    <s v="15 Quincenal"/>
    <d v="2023-02-23T00:00:00"/>
    <d v="2023-03-10T00:00:00"/>
    <x v="1"/>
    <x v="0"/>
    <n v="572"/>
    <n v="814"/>
    <x v="1"/>
  </r>
  <r>
    <x v="163"/>
    <x v="49"/>
    <x v="1"/>
    <x v="1"/>
    <x v="0"/>
    <x v="0"/>
    <s v="M0006"/>
    <x v="32"/>
    <x v="0"/>
    <x v="4"/>
    <s v="Observación de posibles daños"/>
    <x v="0"/>
    <n v="0"/>
    <d v="2023-02-24T00:00:00"/>
    <d v="2023-03-02T00:00:00"/>
    <x v="0"/>
    <x v="0"/>
    <n v="0"/>
    <n v="0"/>
    <x v="0"/>
  </r>
  <r>
    <x v="164"/>
    <x v="49"/>
    <x v="1"/>
    <x v="1"/>
    <x v="0"/>
    <x v="0"/>
    <s v="M0041"/>
    <x v="28"/>
    <x v="0"/>
    <x v="17"/>
    <s v="Inspección y/o reemplazo de boquillas"/>
    <x v="0"/>
    <n v="0"/>
    <d v="2023-02-24T00:00:00"/>
    <d v="2023-03-04T00:00:00"/>
    <x v="2"/>
    <x v="8"/>
    <n v="476"/>
    <n v="493"/>
    <x v="3"/>
  </r>
  <r>
    <x v="165"/>
    <x v="49"/>
    <x v="1"/>
    <x v="1"/>
    <x v="0"/>
    <x v="0"/>
    <s v="M0043"/>
    <x v="23"/>
    <x v="3"/>
    <x v="21"/>
    <s v="Inspección y/o reemplazo de tubos de contacto"/>
    <x v="0"/>
    <n v="0"/>
    <d v="2023-02-24T00:00:00"/>
    <d v="2023-03-12T00:00:00"/>
    <x v="2"/>
    <x v="7"/>
    <n v="602"/>
    <n v="576"/>
    <x v="2"/>
  </r>
  <r>
    <x v="166"/>
    <x v="49"/>
    <x v="1"/>
    <x v="1"/>
    <x v="0"/>
    <x v="0"/>
    <s v="M0015"/>
    <x v="33"/>
    <x v="4"/>
    <x v="10"/>
    <s v="Observación de posibles daños"/>
    <x v="1"/>
    <s v="90 Trimestral"/>
    <d v="2023-02-24T00:00:00"/>
    <d v="2023-05-25T00:00:00"/>
    <x v="1"/>
    <x v="0"/>
    <n v="380"/>
    <n v="961"/>
    <x v="1"/>
  </r>
  <r>
    <x v="167"/>
    <x v="50"/>
    <x v="1"/>
    <x v="1"/>
    <x v="0"/>
    <x v="0"/>
    <s v="M0034"/>
    <x v="2"/>
    <x v="0"/>
    <x v="2"/>
    <s v="Ajuste general de máquinas"/>
    <x v="0"/>
    <n v="0"/>
    <d v="2023-02-25T00:00:00"/>
    <d v="2023-03-14T00:00:00"/>
    <x v="0"/>
    <x v="0"/>
    <n v="0"/>
    <n v="0"/>
    <x v="0"/>
  </r>
  <r>
    <x v="168"/>
    <x v="50"/>
    <x v="1"/>
    <x v="1"/>
    <x v="0"/>
    <x v="0"/>
    <s v="M0004"/>
    <x v="40"/>
    <x v="2"/>
    <x v="7"/>
    <s v="Observación de posibles daños"/>
    <x v="1"/>
    <s v="15 Quincenal"/>
    <d v="2023-02-25T00:00:00"/>
    <d v="2023-03-12T00:00:00"/>
    <x v="1"/>
    <x v="0"/>
    <n v="489"/>
    <n v="704"/>
    <x v="1"/>
  </r>
  <r>
    <x v="169"/>
    <x v="50"/>
    <x v="1"/>
    <x v="1"/>
    <x v="0"/>
    <x v="0"/>
    <s v="M0011"/>
    <x v="36"/>
    <x v="0"/>
    <x v="26"/>
    <s v="Inspección de mangeras"/>
    <x v="0"/>
    <n v="0"/>
    <d v="2023-02-25T00:00:00"/>
    <d v="2023-03-06T00:00:00"/>
    <x v="2"/>
    <x v="20"/>
    <n v="1038"/>
    <n v="231"/>
    <x v="4"/>
  </r>
  <r>
    <x v="170"/>
    <x v="51"/>
    <x v="1"/>
    <x v="1"/>
    <x v="0"/>
    <x v="0"/>
    <s v="M0012"/>
    <x v="3"/>
    <x v="0"/>
    <x v="3"/>
    <s v="Inspección y/o reemplazado de filtros de aire"/>
    <x v="0"/>
    <n v="0"/>
    <d v="2023-02-26T00:00:00"/>
    <d v="2023-03-06T00:00:00"/>
    <x v="0"/>
    <x v="0"/>
    <n v="0"/>
    <n v="0"/>
    <x v="0"/>
  </r>
  <r>
    <x v="171"/>
    <x v="51"/>
    <x v="1"/>
    <x v="1"/>
    <x v="0"/>
    <x v="0"/>
    <s v="M0020"/>
    <x v="13"/>
    <x v="0"/>
    <x v="13"/>
    <s v="Inspección y/o reemplazado de filtros de aceite"/>
    <x v="0"/>
    <n v="0"/>
    <d v="2023-02-26T00:00:00"/>
    <d v="2023-02-27T00:00:00"/>
    <x v="2"/>
    <x v="15"/>
    <n v="956"/>
    <n v="604"/>
    <x v="4"/>
  </r>
  <r>
    <x v="172"/>
    <x v="51"/>
    <x v="1"/>
    <x v="1"/>
    <x v="0"/>
    <x v="0"/>
    <s v="M0006"/>
    <x v="32"/>
    <x v="0"/>
    <x v="4"/>
    <s v="Observación de posibles daños"/>
    <x v="1"/>
    <s v="180 Semestral"/>
    <d v="2023-02-26T00:00:00"/>
    <d v="2023-08-25T00:00:00"/>
    <x v="1"/>
    <x v="0"/>
    <n v="1197"/>
    <n v="920"/>
    <x v="1"/>
  </r>
  <r>
    <x v="173"/>
    <x v="51"/>
    <x v="1"/>
    <x v="1"/>
    <x v="0"/>
    <x v="0"/>
    <s v="M0031"/>
    <x v="7"/>
    <x v="0"/>
    <x v="7"/>
    <s v="Mantenimiento general"/>
    <x v="0"/>
    <n v="0"/>
    <d v="2023-02-26T00:00:00"/>
    <d v="2023-03-05T00:00:00"/>
    <x v="2"/>
    <x v="4"/>
    <n v="354"/>
    <n v="731"/>
    <x v="3"/>
  </r>
  <r>
    <x v="174"/>
    <x v="51"/>
    <x v="1"/>
    <x v="1"/>
    <x v="0"/>
    <x v="0"/>
    <s v="M0008"/>
    <x v="26"/>
    <x v="0"/>
    <x v="24"/>
    <s v="Inspección de gases"/>
    <x v="0"/>
    <n v="0"/>
    <d v="2023-02-26T00:00:00"/>
    <d v="2023-03-21T00:00:00"/>
    <x v="2"/>
    <x v="10"/>
    <n v="465"/>
    <n v="238"/>
    <x v="1"/>
  </r>
  <r>
    <x v="175"/>
    <x v="51"/>
    <x v="1"/>
    <x v="1"/>
    <x v="0"/>
    <x v="0"/>
    <s v="M0037"/>
    <x v="1"/>
    <x v="0"/>
    <x v="1"/>
    <s v="Inspección y/o reemplazado de escobillas"/>
    <x v="0"/>
    <n v="0"/>
    <d v="2023-02-26T00:00:00"/>
    <d v="2023-03-15T00:00:00"/>
    <x v="0"/>
    <x v="0"/>
    <n v="0"/>
    <n v="0"/>
    <x v="0"/>
  </r>
  <r>
    <x v="176"/>
    <x v="52"/>
    <x v="1"/>
    <x v="1"/>
    <x v="0"/>
    <x v="0"/>
    <s v="M0025"/>
    <x v="25"/>
    <x v="2"/>
    <x v="23"/>
    <s v="Inspección y/o reemplazado de cuchillas"/>
    <x v="0"/>
    <n v="0"/>
    <d v="2023-02-27T00:00:00"/>
    <d v="2023-03-16T00:00:00"/>
    <x v="0"/>
    <x v="0"/>
    <n v="0"/>
    <n v="0"/>
    <x v="0"/>
  </r>
  <r>
    <x v="177"/>
    <x v="52"/>
    <x v="1"/>
    <x v="1"/>
    <x v="0"/>
    <x v="0"/>
    <s v="M0002"/>
    <x v="16"/>
    <x v="0"/>
    <x v="12"/>
    <s v="Inspección de nivel de com¿bustible"/>
    <x v="0"/>
    <n v="0"/>
    <d v="2023-02-27T00:00:00"/>
    <d v="2023-03-25T00:00:00"/>
    <x v="0"/>
    <x v="0"/>
    <n v="0"/>
    <n v="0"/>
    <x v="0"/>
  </r>
  <r>
    <x v="178"/>
    <x v="53"/>
    <x v="2"/>
    <x v="2"/>
    <x v="0"/>
    <x v="0"/>
    <s v="M0011"/>
    <x v="36"/>
    <x v="0"/>
    <x v="26"/>
    <s v="Revisión de válvulas"/>
    <x v="0"/>
    <n v="0"/>
    <d v="2023-03-01T00:00:00"/>
    <d v="2023-03-06T00:00:00"/>
    <x v="2"/>
    <x v="9"/>
    <n v="858"/>
    <n v="594"/>
    <x v="1"/>
  </r>
  <r>
    <x v="179"/>
    <x v="53"/>
    <x v="2"/>
    <x v="2"/>
    <x v="0"/>
    <x v="0"/>
    <s v="M0027"/>
    <x v="6"/>
    <x v="2"/>
    <x v="6"/>
    <s v="Limpieza y ajuste de inyectores"/>
    <x v="0"/>
    <n v="0"/>
    <d v="2023-03-01T00:00:00"/>
    <d v="2023-03-20T00:00:00"/>
    <x v="0"/>
    <x v="0"/>
    <n v="0"/>
    <n v="0"/>
    <x v="0"/>
  </r>
  <r>
    <x v="180"/>
    <x v="53"/>
    <x v="2"/>
    <x v="2"/>
    <x v="0"/>
    <x v="0"/>
    <s v="M0034"/>
    <x v="2"/>
    <x v="0"/>
    <x v="2"/>
    <s v="Observación de posibles daños"/>
    <x v="1"/>
    <s v="90 Trimestral"/>
    <d v="2023-03-01T00:00:00"/>
    <d v="2023-05-30T00:00:00"/>
    <x v="1"/>
    <x v="0"/>
    <n v="906"/>
    <n v="923"/>
    <x v="1"/>
  </r>
  <r>
    <x v="181"/>
    <x v="53"/>
    <x v="2"/>
    <x v="2"/>
    <x v="0"/>
    <x v="0"/>
    <s v="M0025"/>
    <x v="25"/>
    <x v="2"/>
    <x v="23"/>
    <s v="Verificación del sistema de enfriado"/>
    <x v="0"/>
    <n v="0"/>
    <d v="2023-03-01T00:00:00"/>
    <d v="2023-03-03T00:00:00"/>
    <x v="0"/>
    <x v="0"/>
    <n v="0"/>
    <n v="0"/>
    <x v="0"/>
  </r>
  <r>
    <x v="182"/>
    <x v="53"/>
    <x v="2"/>
    <x v="2"/>
    <x v="0"/>
    <x v="0"/>
    <s v="M0039"/>
    <x v="5"/>
    <x v="0"/>
    <x v="3"/>
    <s v="Limpieza de ventilador"/>
    <x v="0"/>
    <n v="0"/>
    <d v="2023-03-01T00:00:00"/>
    <d v="2023-03-24T00:00:00"/>
    <x v="0"/>
    <x v="0"/>
    <n v="0"/>
    <n v="0"/>
    <x v="0"/>
  </r>
  <r>
    <x v="183"/>
    <x v="53"/>
    <x v="2"/>
    <x v="2"/>
    <x v="0"/>
    <x v="0"/>
    <s v="M0040"/>
    <x v="41"/>
    <x v="0"/>
    <x v="14"/>
    <s v="Limpieza general"/>
    <x v="0"/>
    <n v="0"/>
    <d v="2023-03-01T00:00:00"/>
    <d v="2023-03-25T00:00:00"/>
    <x v="0"/>
    <x v="0"/>
    <n v="0"/>
    <n v="0"/>
    <x v="0"/>
  </r>
  <r>
    <x v="184"/>
    <x v="54"/>
    <x v="2"/>
    <x v="2"/>
    <x v="0"/>
    <x v="0"/>
    <s v="M0009"/>
    <x v="17"/>
    <x v="0"/>
    <x v="15"/>
    <s v="Observación de posibles daños"/>
    <x v="1"/>
    <s v="180 Semestral"/>
    <d v="2023-03-02T00:00:00"/>
    <d v="2023-08-29T00:00:00"/>
    <x v="1"/>
    <x v="0"/>
    <n v="961"/>
    <n v="693"/>
    <x v="1"/>
  </r>
  <r>
    <x v="185"/>
    <x v="54"/>
    <x v="2"/>
    <x v="2"/>
    <x v="0"/>
    <x v="0"/>
    <s v="M0018"/>
    <x v="0"/>
    <x v="0"/>
    <x v="0"/>
    <s v="Revisió Ajuste y/o de bandas, correas y poleas"/>
    <x v="0"/>
    <n v="0"/>
    <d v="2023-03-02T00:00:00"/>
    <d v="2023-03-31T00:00:00"/>
    <x v="2"/>
    <x v="17"/>
    <n v="1033"/>
    <n v="379"/>
    <x v="4"/>
  </r>
  <r>
    <x v="186"/>
    <x v="54"/>
    <x v="2"/>
    <x v="2"/>
    <x v="0"/>
    <x v="0"/>
    <s v="M0006"/>
    <x v="32"/>
    <x v="0"/>
    <x v="4"/>
    <s v="Observación de posibles daños"/>
    <x v="0"/>
    <n v="0"/>
    <d v="2023-03-02T00:00:00"/>
    <d v="2023-03-22T00:00:00"/>
    <x v="2"/>
    <x v="26"/>
    <n v="682"/>
    <n v="573"/>
    <x v="1"/>
  </r>
  <r>
    <x v="187"/>
    <x v="55"/>
    <x v="2"/>
    <x v="2"/>
    <x v="0"/>
    <x v="0"/>
    <s v="M0005"/>
    <x v="8"/>
    <x v="0"/>
    <x v="8"/>
    <s v="Inspección y/o reemplazo de boquillas"/>
    <x v="0"/>
    <n v="0"/>
    <d v="2023-03-03T00:00:00"/>
    <d v="2023-03-10T00:00:00"/>
    <x v="0"/>
    <x v="0"/>
    <n v="0"/>
    <n v="0"/>
    <x v="0"/>
  </r>
  <r>
    <x v="188"/>
    <x v="55"/>
    <x v="2"/>
    <x v="2"/>
    <x v="0"/>
    <x v="0"/>
    <s v="M0016"/>
    <x v="31"/>
    <x v="0"/>
    <x v="21"/>
    <s v="Inspección y/o reemplazo de tubos de contacto"/>
    <x v="0"/>
    <n v="0"/>
    <d v="2023-03-03T00:00:00"/>
    <d v="2023-03-22T00:00:00"/>
    <x v="0"/>
    <x v="0"/>
    <n v="0"/>
    <n v="0"/>
    <x v="0"/>
  </r>
  <r>
    <x v="189"/>
    <x v="56"/>
    <x v="2"/>
    <x v="2"/>
    <x v="0"/>
    <x v="0"/>
    <s v="M0010"/>
    <x v="37"/>
    <x v="0"/>
    <x v="1"/>
    <s v="Inspección y/o reemplazo de toderas"/>
    <x v="0"/>
    <n v="0"/>
    <d v="2023-03-04T00:00:00"/>
    <d v="2023-03-30T00:00:00"/>
    <x v="0"/>
    <x v="0"/>
    <n v="0"/>
    <n v="0"/>
    <x v="0"/>
  </r>
  <r>
    <x v="190"/>
    <x v="56"/>
    <x v="2"/>
    <x v="2"/>
    <x v="0"/>
    <x v="0"/>
    <s v="M0025"/>
    <x v="25"/>
    <x v="2"/>
    <x v="23"/>
    <s v="Ajuste general de máquinas"/>
    <x v="0"/>
    <n v="0"/>
    <d v="2023-03-04T00:00:00"/>
    <d v="2023-03-28T00:00:00"/>
    <x v="2"/>
    <x v="25"/>
    <n v="296"/>
    <n v="303"/>
    <x v="2"/>
  </r>
  <r>
    <x v="191"/>
    <x v="56"/>
    <x v="2"/>
    <x v="2"/>
    <x v="0"/>
    <x v="0"/>
    <s v="M0020"/>
    <x v="13"/>
    <x v="0"/>
    <x v="13"/>
    <s v="Inspección de tuberías "/>
    <x v="0"/>
    <n v="0"/>
    <d v="2023-03-04T00:00:00"/>
    <d v="2023-03-15T00:00:00"/>
    <x v="2"/>
    <x v="18"/>
    <n v="762"/>
    <n v="532"/>
    <x v="2"/>
  </r>
  <r>
    <x v="192"/>
    <x v="56"/>
    <x v="2"/>
    <x v="2"/>
    <x v="0"/>
    <x v="0"/>
    <s v="M0018"/>
    <x v="0"/>
    <x v="0"/>
    <x v="0"/>
    <s v="Inspección de mangeras"/>
    <x v="0"/>
    <n v="0"/>
    <d v="2023-03-04T00:00:00"/>
    <d v="2023-04-01T00:00:00"/>
    <x v="0"/>
    <x v="0"/>
    <n v="0"/>
    <n v="0"/>
    <x v="0"/>
  </r>
  <r>
    <x v="193"/>
    <x v="56"/>
    <x v="2"/>
    <x v="2"/>
    <x v="0"/>
    <x v="0"/>
    <s v="M0040"/>
    <x v="41"/>
    <x v="0"/>
    <x v="14"/>
    <s v="Inspección y/o reemplazado de filtros de aire"/>
    <x v="0"/>
    <n v="0"/>
    <d v="2023-03-04T00:00:00"/>
    <d v="2023-03-27T00:00:00"/>
    <x v="0"/>
    <x v="0"/>
    <n v="0"/>
    <n v="0"/>
    <x v="0"/>
  </r>
  <r>
    <x v="194"/>
    <x v="57"/>
    <x v="2"/>
    <x v="2"/>
    <x v="0"/>
    <x v="0"/>
    <s v="M0025"/>
    <x v="25"/>
    <x v="2"/>
    <x v="23"/>
    <s v="Inspección y/o reemplazado de filtros de aceite"/>
    <x v="0"/>
    <n v="0"/>
    <d v="2023-03-05T00:00:00"/>
    <d v="2023-03-17T00:00:00"/>
    <x v="2"/>
    <x v="13"/>
    <n v="707"/>
    <n v="101"/>
    <x v="4"/>
  </r>
  <r>
    <x v="195"/>
    <x v="57"/>
    <x v="2"/>
    <x v="2"/>
    <x v="0"/>
    <x v="0"/>
    <s v="M0015"/>
    <x v="33"/>
    <x v="4"/>
    <x v="10"/>
    <s v="Inspección de Frenos"/>
    <x v="0"/>
    <n v="0"/>
    <d v="2023-03-05T00:00:00"/>
    <d v="2023-03-10T00:00:00"/>
    <x v="2"/>
    <x v="9"/>
    <n v="1099"/>
    <n v="968"/>
    <x v="4"/>
  </r>
  <r>
    <x v="196"/>
    <x v="57"/>
    <x v="2"/>
    <x v="2"/>
    <x v="0"/>
    <x v="0"/>
    <s v="M0014"/>
    <x v="19"/>
    <x v="2"/>
    <x v="17"/>
    <s v="Observación de posibles daños"/>
    <x v="1"/>
    <s v="180 Semestral"/>
    <d v="2023-03-05T00:00:00"/>
    <d v="2023-09-01T00:00:00"/>
    <x v="1"/>
    <x v="0"/>
    <n v="218"/>
    <n v="674"/>
    <x v="1"/>
  </r>
  <r>
    <x v="197"/>
    <x v="57"/>
    <x v="2"/>
    <x v="2"/>
    <x v="0"/>
    <x v="0"/>
    <s v="M0008"/>
    <x v="26"/>
    <x v="0"/>
    <x v="24"/>
    <s v="Inspección de gases"/>
    <x v="0"/>
    <n v="0"/>
    <d v="2023-03-05T00:00:00"/>
    <d v="2023-03-31T00:00:00"/>
    <x v="0"/>
    <x v="0"/>
    <n v="0"/>
    <n v="0"/>
    <x v="0"/>
  </r>
  <r>
    <x v="198"/>
    <x v="57"/>
    <x v="2"/>
    <x v="2"/>
    <x v="0"/>
    <x v="0"/>
    <s v="M0038"/>
    <x v="30"/>
    <x v="0"/>
    <x v="26"/>
    <s v="Inspección y/o reemplazado de escobillas"/>
    <x v="0"/>
    <n v="0"/>
    <d v="2023-03-05T00:00:00"/>
    <d v="2023-03-30T00:00:00"/>
    <x v="0"/>
    <x v="0"/>
    <n v="0"/>
    <n v="0"/>
    <x v="0"/>
  </r>
  <r>
    <x v="199"/>
    <x v="58"/>
    <x v="2"/>
    <x v="2"/>
    <x v="0"/>
    <x v="0"/>
    <s v="M0005"/>
    <x v="8"/>
    <x v="0"/>
    <x v="8"/>
    <s v="Inspección y/o reemplazado de cuchillas"/>
    <x v="0"/>
    <n v="0"/>
    <d v="2023-03-06T00:00:00"/>
    <d v="2023-04-04T00:00:00"/>
    <x v="2"/>
    <x v="17"/>
    <n v="735"/>
    <n v="577"/>
    <x v="1"/>
  </r>
  <r>
    <x v="200"/>
    <x v="58"/>
    <x v="2"/>
    <x v="2"/>
    <x v="0"/>
    <x v="0"/>
    <s v="M0001"/>
    <x v="38"/>
    <x v="0"/>
    <x v="25"/>
    <s v="Inspección de nivel de com¿bustible"/>
    <x v="0"/>
    <n v="0"/>
    <d v="2023-03-06T00:00:00"/>
    <d v="2023-03-25T00:00:00"/>
    <x v="2"/>
    <x v="27"/>
    <n v="1162"/>
    <n v="504"/>
    <x v="1"/>
  </r>
  <r>
    <x v="201"/>
    <x v="58"/>
    <x v="2"/>
    <x v="2"/>
    <x v="0"/>
    <x v="0"/>
    <s v="M0015"/>
    <x v="33"/>
    <x v="4"/>
    <x v="10"/>
    <s v="Revisión de válvulas"/>
    <x v="0"/>
    <n v="0"/>
    <d v="2023-03-06T00:00:00"/>
    <d v="2023-04-02T00:00:00"/>
    <x v="0"/>
    <x v="0"/>
    <n v="0"/>
    <n v="0"/>
    <x v="0"/>
  </r>
  <r>
    <x v="202"/>
    <x v="59"/>
    <x v="2"/>
    <x v="2"/>
    <x v="0"/>
    <x v="0"/>
    <s v="M0036"/>
    <x v="27"/>
    <x v="0"/>
    <x v="15"/>
    <s v="Observación de posibles daños"/>
    <x v="1"/>
    <s v="7 Semanal"/>
    <d v="2023-03-07T00:00:00"/>
    <d v="2023-03-14T00:00:00"/>
    <x v="1"/>
    <x v="0"/>
    <n v="598"/>
    <n v="1000"/>
    <x v="1"/>
  </r>
  <r>
    <x v="203"/>
    <x v="59"/>
    <x v="2"/>
    <x v="2"/>
    <x v="0"/>
    <x v="0"/>
    <s v="M0027"/>
    <x v="6"/>
    <x v="2"/>
    <x v="6"/>
    <s v="Limpieza y ajuste de terminales de baterías"/>
    <x v="0"/>
    <n v="0"/>
    <d v="2023-03-07T00:00:00"/>
    <d v="2023-03-10T00:00:00"/>
    <x v="0"/>
    <x v="0"/>
    <n v="0"/>
    <n v="0"/>
    <x v="0"/>
  </r>
  <r>
    <x v="204"/>
    <x v="59"/>
    <x v="2"/>
    <x v="2"/>
    <x v="0"/>
    <x v="0"/>
    <s v="M0011"/>
    <x v="36"/>
    <x v="0"/>
    <x v="26"/>
    <s v="Observación de posibles daños"/>
    <x v="1"/>
    <s v="90 Trimestral"/>
    <d v="2023-03-07T00:00:00"/>
    <d v="2023-06-05T00:00:00"/>
    <x v="1"/>
    <x v="0"/>
    <n v="548"/>
    <n v="139"/>
    <x v="1"/>
  </r>
  <r>
    <x v="205"/>
    <x v="59"/>
    <x v="2"/>
    <x v="2"/>
    <x v="0"/>
    <x v="0"/>
    <s v="M0023"/>
    <x v="18"/>
    <x v="0"/>
    <x v="16"/>
    <s v="Limpieza de ventilador"/>
    <x v="0"/>
    <n v="0"/>
    <d v="2023-03-07T00:00:00"/>
    <d v="2023-03-18T00:00:00"/>
    <x v="2"/>
    <x v="18"/>
    <n v="445"/>
    <n v="850"/>
    <x v="1"/>
  </r>
  <r>
    <x v="206"/>
    <x v="60"/>
    <x v="2"/>
    <x v="2"/>
    <x v="0"/>
    <x v="0"/>
    <s v="M0027"/>
    <x v="6"/>
    <x v="2"/>
    <x v="6"/>
    <s v="Observación de posibles daños"/>
    <x v="1"/>
    <s v="90 Trimestral"/>
    <d v="2023-03-08T00:00:00"/>
    <d v="2023-06-06T00:00:00"/>
    <x v="1"/>
    <x v="0"/>
    <n v="938"/>
    <n v="780"/>
    <x v="1"/>
  </r>
  <r>
    <x v="207"/>
    <x v="60"/>
    <x v="2"/>
    <x v="2"/>
    <x v="0"/>
    <x v="0"/>
    <s v="M0012"/>
    <x v="3"/>
    <x v="0"/>
    <x v="3"/>
    <s v="Inspección de engranes"/>
    <x v="0"/>
    <n v="0"/>
    <d v="2023-03-08T00:00:00"/>
    <d v="2023-03-12T00:00:00"/>
    <x v="0"/>
    <x v="0"/>
    <n v="0"/>
    <n v="0"/>
    <x v="0"/>
  </r>
  <r>
    <x v="208"/>
    <x v="60"/>
    <x v="2"/>
    <x v="2"/>
    <x v="0"/>
    <x v="0"/>
    <s v="M0034"/>
    <x v="2"/>
    <x v="0"/>
    <x v="2"/>
    <s v="Observación de posibles daños"/>
    <x v="1"/>
    <s v="180 Semestral"/>
    <d v="2023-03-08T00:00:00"/>
    <d v="2023-09-04T00:00:00"/>
    <x v="1"/>
    <x v="0"/>
    <n v="296"/>
    <n v="794"/>
    <x v="1"/>
  </r>
  <r>
    <x v="209"/>
    <x v="60"/>
    <x v="2"/>
    <x v="2"/>
    <x v="0"/>
    <x v="0"/>
    <s v="M0033"/>
    <x v="0"/>
    <x v="0"/>
    <x v="4"/>
    <s v="Observación de posibles daños"/>
    <x v="0"/>
    <n v="0"/>
    <d v="2023-03-08T00:00:00"/>
    <d v="2023-03-23T00:00:00"/>
    <x v="0"/>
    <x v="0"/>
    <n v="0"/>
    <n v="0"/>
    <x v="0"/>
  </r>
  <r>
    <x v="210"/>
    <x v="60"/>
    <x v="2"/>
    <x v="2"/>
    <x v="0"/>
    <x v="0"/>
    <s v="M0017"/>
    <x v="20"/>
    <x v="0"/>
    <x v="18"/>
    <s v="Observación de posibles daños"/>
    <x v="1"/>
    <s v="30 Mensual"/>
    <d v="2023-03-08T00:00:00"/>
    <d v="2023-04-07T00:00:00"/>
    <x v="1"/>
    <x v="0"/>
    <n v="202"/>
    <n v="935"/>
    <x v="1"/>
  </r>
  <r>
    <x v="211"/>
    <x v="61"/>
    <x v="2"/>
    <x v="2"/>
    <x v="0"/>
    <x v="0"/>
    <s v="M0012"/>
    <x v="3"/>
    <x v="0"/>
    <x v="3"/>
    <s v="Inspección y/o reemplazo de tubos de contacto"/>
    <x v="0"/>
    <n v="0"/>
    <d v="2023-03-09T00:00:00"/>
    <d v="2023-03-20T00:00:00"/>
    <x v="0"/>
    <x v="0"/>
    <n v="0"/>
    <n v="0"/>
    <x v="0"/>
  </r>
  <r>
    <x v="212"/>
    <x v="61"/>
    <x v="2"/>
    <x v="2"/>
    <x v="0"/>
    <x v="0"/>
    <s v="M0039"/>
    <x v="5"/>
    <x v="0"/>
    <x v="3"/>
    <s v="Observación de posibles daños"/>
    <x v="1"/>
    <s v="90 Trimestral"/>
    <d v="2023-03-09T00:00:00"/>
    <d v="2023-06-07T00:00:00"/>
    <x v="1"/>
    <x v="0"/>
    <n v="342"/>
    <n v="570"/>
    <x v="1"/>
  </r>
  <r>
    <x v="213"/>
    <x v="62"/>
    <x v="2"/>
    <x v="2"/>
    <x v="0"/>
    <x v="0"/>
    <s v="M0041"/>
    <x v="28"/>
    <x v="0"/>
    <x v="17"/>
    <s v="Ajuste general de máquinas"/>
    <x v="0"/>
    <n v="0"/>
    <d v="2023-03-10T00:00:00"/>
    <d v="2023-03-19T00:00:00"/>
    <x v="0"/>
    <x v="0"/>
    <n v="0"/>
    <n v="0"/>
    <x v="0"/>
  </r>
  <r>
    <x v="214"/>
    <x v="62"/>
    <x v="2"/>
    <x v="2"/>
    <x v="0"/>
    <x v="0"/>
    <s v="M0011"/>
    <x v="36"/>
    <x v="0"/>
    <x v="26"/>
    <s v="Observación de posibles daños"/>
    <x v="1"/>
    <s v="7 Semanal"/>
    <d v="2023-03-10T00:00:00"/>
    <d v="2023-03-17T00:00:00"/>
    <x v="1"/>
    <x v="0"/>
    <n v="796"/>
    <n v="880"/>
    <x v="1"/>
  </r>
  <r>
    <x v="215"/>
    <x v="62"/>
    <x v="2"/>
    <x v="2"/>
    <x v="0"/>
    <x v="0"/>
    <s v="M0039"/>
    <x v="5"/>
    <x v="0"/>
    <x v="3"/>
    <s v="Inspección de mangeras"/>
    <x v="0"/>
    <n v="0"/>
    <d v="2023-03-10T00:00:00"/>
    <d v="2023-04-07T00:00:00"/>
    <x v="0"/>
    <x v="0"/>
    <n v="0"/>
    <n v="0"/>
    <x v="0"/>
  </r>
  <r>
    <x v="216"/>
    <x v="63"/>
    <x v="2"/>
    <x v="2"/>
    <x v="0"/>
    <x v="0"/>
    <s v="M0003"/>
    <x v="22"/>
    <x v="2"/>
    <x v="20"/>
    <s v="Inspección y/o reemplazado de filtros de aire"/>
    <x v="0"/>
    <n v="0"/>
    <d v="2023-03-11T00:00:00"/>
    <d v="2023-03-13T00:00:00"/>
    <x v="2"/>
    <x v="16"/>
    <n v="1117"/>
    <n v="639"/>
    <x v="1"/>
  </r>
  <r>
    <x v="217"/>
    <x v="63"/>
    <x v="2"/>
    <x v="2"/>
    <x v="0"/>
    <x v="0"/>
    <s v="M0037"/>
    <x v="1"/>
    <x v="0"/>
    <x v="1"/>
    <s v="Inspección y/o reemplazado de filtros de aceite"/>
    <x v="0"/>
    <n v="0"/>
    <d v="2023-03-11T00:00:00"/>
    <d v="2023-03-12T00:00:00"/>
    <x v="2"/>
    <x v="15"/>
    <n v="914"/>
    <n v="465"/>
    <x v="3"/>
  </r>
  <r>
    <x v="218"/>
    <x v="63"/>
    <x v="2"/>
    <x v="2"/>
    <x v="0"/>
    <x v="0"/>
    <s v="M0009"/>
    <x v="17"/>
    <x v="0"/>
    <x v="15"/>
    <s v="Inspección de Frenos"/>
    <x v="0"/>
    <n v="0"/>
    <d v="2023-03-11T00:00:00"/>
    <d v="2023-03-18T00:00:00"/>
    <x v="2"/>
    <x v="4"/>
    <n v="391"/>
    <n v="129"/>
    <x v="4"/>
  </r>
  <r>
    <x v="219"/>
    <x v="64"/>
    <x v="2"/>
    <x v="2"/>
    <x v="0"/>
    <x v="0"/>
    <s v="M0027"/>
    <x v="6"/>
    <x v="2"/>
    <x v="6"/>
    <s v="Mantenimiento general"/>
    <x v="0"/>
    <n v="0"/>
    <d v="2023-03-12T00:00:00"/>
    <d v="2023-03-13T00:00:00"/>
    <x v="0"/>
    <x v="0"/>
    <n v="0"/>
    <n v="0"/>
    <x v="0"/>
  </r>
  <r>
    <x v="220"/>
    <x v="65"/>
    <x v="2"/>
    <x v="2"/>
    <x v="0"/>
    <x v="0"/>
    <s v="M0033"/>
    <x v="0"/>
    <x v="0"/>
    <x v="4"/>
    <s v="Observación de posibles daños"/>
    <x v="1"/>
    <s v="180 Semestral"/>
    <d v="2023-03-13T00:00:00"/>
    <d v="2023-09-09T00:00:00"/>
    <x v="1"/>
    <x v="0"/>
    <n v="526"/>
    <n v="979"/>
    <x v="1"/>
  </r>
  <r>
    <x v="221"/>
    <x v="65"/>
    <x v="2"/>
    <x v="2"/>
    <x v="0"/>
    <x v="0"/>
    <s v="M0016"/>
    <x v="31"/>
    <x v="0"/>
    <x v="21"/>
    <s v="Inspección y/o reemplazado de escobillas"/>
    <x v="0"/>
    <n v="0"/>
    <d v="2023-03-13T00:00:00"/>
    <d v="2023-03-20T00:00:00"/>
    <x v="2"/>
    <x v="4"/>
    <n v="1196"/>
    <n v="778"/>
    <x v="2"/>
  </r>
  <r>
    <x v="222"/>
    <x v="66"/>
    <x v="2"/>
    <x v="2"/>
    <x v="0"/>
    <x v="0"/>
    <s v="M0031"/>
    <x v="7"/>
    <x v="0"/>
    <x v="7"/>
    <s v="Inspección y/o reemplazado de cuchillas"/>
    <x v="0"/>
    <n v="0"/>
    <d v="2023-03-14T00:00:00"/>
    <d v="2023-04-09T00:00:00"/>
    <x v="0"/>
    <x v="0"/>
    <n v="0"/>
    <n v="0"/>
    <x v="0"/>
  </r>
  <r>
    <x v="223"/>
    <x v="67"/>
    <x v="2"/>
    <x v="2"/>
    <x v="0"/>
    <x v="0"/>
    <s v="M0017"/>
    <x v="20"/>
    <x v="0"/>
    <x v="18"/>
    <s v="Inspección de nivel de com¿bustible"/>
    <x v="0"/>
    <n v="0"/>
    <d v="2023-03-15T00:00:00"/>
    <d v="2023-04-14T00:00:00"/>
    <x v="2"/>
    <x v="23"/>
    <n v="1145"/>
    <n v="439"/>
    <x v="3"/>
  </r>
  <r>
    <x v="224"/>
    <x v="67"/>
    <x v="2"/>
    <x v="2"/>
    <x v="0"/>
    <x v="0"/>
    <s v="M0028"/>
    <x v="29"/>
    <x v="0"/>
    <x v="25"/>
    <s v="Revisión de válvulas"/>
    <x v="0"/>
    <n v="0"/>
    <d v="2023-03-15T00:00:00"/>
    <d v="2023-04-09T00:00:00"/>
    <x v="2"/>
    <x v="2"/>
    <n v="239"/>
    <n v="782"/>
    <x v="2"/>
  </r>
  <r>
    <x v="225"/>
    <x v="67"/>
    <x v="2"/>
    <x v="2"/>
    <x v="0"/>
    <x v="0"/>
    <s v="M0042"/>
    <x v="10"/>
    <x v="2"/>
    <x v="10"/>
    <s v="Limpieza y ajuste de inyectores"/>
    <x v="0"/>
    <n v="0"/>
    <d v="2023-03-15T00:00:00"/>
    <d v="2023-04-11T00:00:00"/>
    <x v="0"/>
    <x v="0"/>
    <n v="0"/>
    <n v="0"/>
    <x v="0"/>
  </r>
  <r>
    <x v="226"/>
    <x v="68"/>
    <x v="2"/>
    <x v="2"/>
    <x v="0"/>
    <x v="0"/>
    <s v="M0034"/>
    <x v="2"/>
    <x v="0"/>
    <x v="2"/>
    <s v="Limpieza y ajuste de terminales de baterías"/>
    <x v="0"/>
    <n v="0"/>
    <d v="2023-03-16T00:00:00"/>
    <d v="2023-03-19T00:00:00"/>
    <x v="0"/>
    <x v="0"/>
    <n v="0"/>
    <n v="0"/>
    <x v="0"/>
  </r>
  <r>
    <x v="227"/>
    <x v="68"/>
    <x v="2"/>
    <x v="2"/>
    <x v="0"/>
    <x v="0"/>
    <s v="M0004"/>
    <x v="40"/>
    <x v="2"/>
    <x v="7"/>
    <s v="Verificación del sistema de enfriado"/>
    <x v="0"/>
    <n v="0"/>
    <d v="2023-03-16T00:00:00"/>
    <d v="2023-03-29T00:00:00"/>
    <x v="0"/>
    <x v="0"/>
    <n v="0"/>
    <n v="0"/>
    <x v="0"/>
  </r>
  <r>
    <x v="228"/>
    <x v="68"/>
    <x v="2"/>
    <x v="2"/>
    <x v="0"/>
    <x v="0"/>
    <s v="M0016"/>
    <x v="31"/>
    <x v="0"/>
    <x v="21"/>
    <s v="Observación de posibles daños"/>
    <x v="1"/>
    <s v="7 Semanal"/>
    <d v="2023-03-16T00:00:00"/>
    <d v="2023-03-23T00:00:00"/>
    <x v="1"/>
    <x v="0"/>
    <n v="247"/>
    <n v="549"/>
    <x v="1"/>
  </r>
  <r>
    <x v="229"/>
    <x v="69"/>
    <x v="2"/>
    <x v="2"/>
    <x v="0"/>
    <x v="0"/>
    <s v="M0018"/>
    <x v="0"/>
    <x v="0"/>
    <x v="0"/>
    <s v="Limpieza general"/>
    <x v="0"/>
    <n v="0"/>
    <d v="2023-03-17T00:00:00"/>
    <d v="2023-03-20T00:00:00"/>
    <x v="2"/>
    <x v="11"/>
    <n v="1105"/>
    <n v="651"/>
    <x v="4"/>
  </r>
  <r>
    <x v="230"/>
    <x v="69"/>
    <x v="2"/>
    <x v="2"/>
    <x v="0"/>
    <x v="0"/>
    <s v="M0007"/>
    <x v="39"/>
    <x v="0"/>
    <x v="2"/>
    <s v="Observación de posibles daños"/>
    <x v="1"/>
    <s v="15 Quincenal"/>
    <d v="2023-03-17T00:00:00"/>
    <d v="2023-04-01T00:00:00"/>
    <x v="1"/>
    <x v="0"/>
    <n v="411"/>
    <n v="722"/>
    <x v="1"/>
  </r>
  <r>
    <x v="231"/>
    <x v="69"/>
    <x v="2"/>
    <x v="2"/>
    <x v="0"/>
    <x v="0"/>
    <s v="M0043"/>
    <x v="23"/>
    <x v="3"/>
    <x v="21"/>
    <s v="Revisió Ajuste y/o de bandas, correas y poleas"/>
    <x v="0"/>
    <n v="0"/>
    <d v="2023-03-17T00:00:00"/>
    <d v="2023-04-13T00:00:00"/>
    <x v="0"/>
    <x v="0"/>
    <n v="0"/>
    <n v="0"/>
    <x v="0"/>
  </r>
  <r>
    <x v="232"/>
    <x v="69"/>
    <x v="2"/>
    <x v="2"/>
    <x v="0"/>
    <x v="0"/>
    <s v="M0027"/>
    <x v="6"/>
    <x v="2"/>
    <x v="6"/>
    <s v="Observación de posibles daños"/>
    <x v="1"/>
    <s v="60 Bimestral"/>
    <d v="2023-03-17T00:00:00"/>
    <d v="2023-05-16T00:00:00"/>
    <x v="1"/>
    <x v="0"/>
    <n v="460"/>
    <n v="183"/>
    <x v="1"/>
  </r>
  <r>
    <x v="233"/>
    <x v="70"/>
    <x v="2"/>
    <x v="2"/>
    <x v="0"/>
    <x v="0"/>
    <s v="M0007"/>
    <x v="39"/>
    <x v="0"/>
    <x v="2"/>
    <s v="Inspección y/o reemplazo de boquillas"/>
    <x v="0"/>
    <n v="0"/>
    <d v="2023-03-18T00:00:00"/>
    <d v="2023-03-21T00:00:00"/>
    <x v="0"/>
    <x v="0"/>
    <n v="0"/>
    <n v="0"/>
    <x v="0"/>
  </r>
  <r>
    <x v="234"/>
    <x v="70"/>
    <x v="2"/>
    <x v="2"/>
    <x v="0"/>
    <x v="0"/>
    <s v="M0013"/>
    <x v="15"/>
    <x v="0"/>
    <x v="14"/>
    <s v="Inspección y/o reemplazo de tubos de contacto"/>
    <x v="0"/>
    <n v="0"/>
    <d v="2023-03-18T00:00:00"/>
    <d v="2023-03-29T00:00:00"/>
    <x v="0"/>
    <x v="0"/>
    <n v="0"/>
    <n v="0"/>
    <x v="0"/>
  </r>
  <r>
    <x v="235"/>
    <x v="70"/>
    <x v="2"/>
    <x v="2"/>
    <x v="0"/>
    <x v="0"/>
    <s v="M0034"/>
    <x v="2"/>
    <x v="0"/>
    <x v="2"/>
    <s v="Inspección y/o reemplazo de toderas"/>
    <x v="0"/>
    <n v="0"/>
    <d v="2023-03-18T00:00:00"/>
    <d v="2023-04-15T00:00:00"/>
    <x v="0"/>
    <x v="0"/>
    <n v="0"/>
    <n v="0"/>
    <x v="0"/>
  </r>
  <r>
    <x v="236"/>
    <x v="70"/>
    <x v="2"/>
    <x v="2"/>
    <x v="0"/>
    <x v="0"/>
    <s v="M0003"/>
    <x v="22"/>
    <x v="2"/>
    <x v="20"/>
    <s v="Ajuste general de máquinas"/>
    <x v="0"/>
    <n v="0"/>
    <d v="2023-03-18T00:00:00"/>
    <d v="2023-04-11T00:00:00"/>
    <x v="0"/>
    <x v="0"/>
    <n v="0"/>
    <n v="0"/>
    <x v="0"/>
  </r>
  <r>
    <x v="237"/>
    <x v="70"/>
    <x v="2"/>
    <x v="2"/>
    <x v="0"/>
    <x v="0"/>
    <s v="M0036"/>
    <x v="27"/>
    <x v="0"/>
    <x v="15"/>
    <s v="Inspección de tuberías "/>
    <x v="0"/>
    <n v="0"/>
    <d v="2023-03-18T00:00:00"/>
    <d v="2023-04-10T00:00:00"/>
    <x v="2"/>
    <x v="10"/>
    <n v="1200"/>
    <n v="815"/>
    <x v="4"/>
  </r>
  <r>
    <x v="238"/>
    <x v="71"/>
    <x v="2"/>
    <x v="2"/>
    <x v="0"/>
    <x v="0"/>
    <s v="M0009"/>
    <x v="17"/>
    <x v="0"/>
    <x v="15"/>
    <s v="Observación de posibles daños"/>
    <x v="1"/>
    <s v="60 Bimestral"/>
    <d v="2023-03-19T00:00:00"/>
    <d v="2023-05-18T00:00:00"/>
    <x v="1"/>
    <x v="0"/>
    <n v="336"/>
    <n v="243"/>
    <x v="1"/>
  </r>
  <r>
    <x v="239"/>
    <x v="72"/>
    <x v="2"/>
    <x v="2"/>
    <x v="0"/>
    <x v="0"/>
    <s v="M0021"/>
    <x v="9"/>
    <x v="0"/>
    <x v="9"/>
    <s v="Inspección y/o reemplazado de filtros de aire"/>
    <x v="0"/>
    <n v="0"/>
    <d v="2023-03-20T00:00:00"/>
    <d v="2023-04-17T00:00:00"/>
    <x v="0"/>
    <x v="0"/>
    <n v="0"/>
    <n v="0"/>
    <x v="0"/>
  </r>
  <r>
    <x v="240"/>
    <x v="72"/>
    <x v="2"/>
    <x v="2"/>
    <x v="0"/>
    <x v="0"/>
    <s v="M0032"/>
    <x v="14"/>
    <x v="0"/>
    <x v="8"/>
    <s v="Observación de posibles daños"/>
    <x v="1"/>
    <s v="60 Bimestral"/>
    <d v="2023-03-20T00:00:00"/>
    <d v="2023-05-19T00:00:00"/>
    <x v="1"/>
    <x v="0"/>
    <n v="1049"/>
    <n v="407"/>
    <x v="1"/>
  </r>
  <r>
    <x v="241"/>
    <x v="72"/>
    <x v="2"/>
    <x v="2"/>
    <x v="0"/>
    <x v="0"/>
    <s v="M0033"/>
    <x v="0"/>
    <x v="0"/>
    <x v="4"/>
    <s v="Inspección de Frenos"/>
    <x v="0"/>
    <n v="0"/>
    <d v="2023-03-20T00:00:00"/>
    <d v="2023-04-12T00:00:00"/>
    <x v="2"/>
    <x v="10"/>
    <n v="912"/>
    <n v="997"/>
    <x v="4"/>
  </r>
  <r>
    <x v="242"/>
    <x v="73"/>
    <x v="2"/>
    <x v="2"/>
    <x v="0"/>
    <x v="0"/>
    <s v="M0007"/>
    <x v="39"/>
    <x v="0"/>
    <x v="2"/>
    <s v="Mantenimiento general"/>
    <x v="0"/>
    <n v="0"/>
    <d v="2023-03-21T00:00:00"/>
    <d v="2023-03-29T00:00:00"/>
    <x v="2"/>
    <x v="8"/>
    <n v="1196"/>
    <n v="249"/>
    <x v="4"/>
  </r>
  <r>
    <x v="243"/>
    <x v="73"/>
    <x v="2"/>
    <x v="2"/>
    <x v="0"/>
    <x v="0"/>
    <s v="M0043"/>
    <x v="23"/>
    <x v="3"/>
    <x v="21"/>
    <s v="Inspección de gases"/>
    <x v="0"/>
    <n v="0"/>
    <d v="2023-03-21T00:00:00"/>
    <d v="2023-03-23T00:00:00"/>
    <x v="0"/>
    <x v="0"/>
    <n v="0"/>
    <n v="0"/>
    <x v="0"/>
  </r>
  <r>
    <x v="244"/>
    <x v="74"/>
    <x v="2"/>
    <x v="2"/>
    <x v="0"/>
    <x v="0"/>
    <s v="M0043"/>
    <x v="23"/>
    <x v="3"/>
    <x v="21"/>
    <s v="Observación de posibles daños"/>
    <x v="1"/>
    <s v="180 Semestral"/>
    <d v="2023-03-22T00:00:00"/>
    <d v="2023-09-18T00:00:00"/>
    <x v="1"/>
    <x v="0"/>
    <n v="601"/>
    <n v="233"/>
    <x v="1"/>
  </r>
  <r>
    <x v="245"/>
    <x v="74"/>
    <x v="2"/>
    <x v="2"/>
    <x v="0"/>
    <x v="0"/>
    <s v="M0024"/>
    <x v="21"/>
    <x v="2"/>
    <x v="19"/>
    <s v="Inspección y/o reemplazado de cuchillas"/>
    <x v="0"/>
    <n v="0"/>
    <d v="2023-03-22T00:00:00"/>
    <d v="2023-04-12T00:00:00"/>
    <x v="0"/>
    <x v="0"/>
    <n v="0"/>
    <n v="0"/>
    <x v="0"/>
  </r>
  <r>
    <x v="246"/>
    <x v="74"/>
    <x v="2"/>
    <x v="2"/>
    <x v="0"/>
    <x v="0"/>
    <s v="M0032"/>
    <x v="14"/>
    <x v="0"/>
    <x v="8"/>
    <s v="Observación de posibles daños"/>
    <x v="1"/>
    <s v="15 Quincenal"/>
    <d v="2023-03-22T00:00:00"/>
    <d v="2023-04-06T00:00:00"/>
    <x v="1"/>
    <x v="0"/>
    <n v="914"/>
    <n v="515"/>
    <x v="1"/>
  </r>
  <r>
    <x v="247"/>
    <x v="74"/>
    <x v="2"/>
    <x v="2"/>
    <x v="0"/>
    <x v="0"/>
    <s v="M0002"/>
    <x v="16"/>
    <x v="0"/>
    <x v="12"/>
    <s v="Revisión de válvulas"/>
    <x v="0"/>
    <n v="0"/>
    <d v="2023-03-22T00:00:00"/>
    <d v="2023-03-25T00:00:00"/>
    <x v="0"/>
    <x v="0"/>
    <n v="0"/>
    <n v="0"/>
    <x v="0"/>
  </r>
  <r>
    <x v="248"/>
    <x v="74"/>
    <x v="2"/>
    <x v="2"/>
    <x v="0"/>
    <x v="0"/>
    <s v="M0026"/>
    <x v="11"/>
    <x v="2"/>
    <x v="11"/>
    <s v="Observación de posibles daños"/>
    <x v="1"/>
    <s v="90 Trimestral"/>
    <d v="2023-03-22T00:00:00"/>
    <d v="2023-06-20T00:00:00"/>
    <x v="1"/>
    <x v="0"/>
    <n v="579"/>
    <n v="472"/>
    <x v="1"/>
  </r>
  <r>
    <x v="249"/>
    <x v="74"/>
    <x v="2"/>
    <x v="2"/>
    <x v="0"/>
    <x v="0"/>
    <s v="M0020"/>
    <x v="13"/>
    <x v="0"/>
    <x v="13"/>
    <s v="Limpieza y ajuste de terminales de baterías"/>
    <x v="0"/>
    <n v="0"/>
    <d v="2023-03-22T00:00:00"/>
    <d v="2023-03-31T00:00:00"/>
    <x v="2"/>
    <x v="20"/>
    <n v="981"/>
    <n v="289"/>
    <x v="3"/>
  </r>
  <r>
    <x v="250"/>
    <x v="74"/>
    <x v="2"/>
    <x v="2"/>
    <x v="0"/>
    <x v="0"/>
    <s v="M0028"/>
    <x v="29"/>
    <x v="0"/>
    <x v="25"/>
    <s v="Observación de posibles daños"/>
    <x v="1"/>
    <s v="30 Mensual"/>
    <d v="2023-03-22T00:00:00"/>
    <d v="2023-04-21T00:00:00"/>
    <x v="1"/>
    <x v="0"/>
    <n v="713"/>
    <n v="730"/>
    <x v="1"/>
  </r>
  <r>
    <x v="251"/>
    <x v="75"/>
    <x v="2"/>
    <x v="2"/>
    <x v="0"/>
    <x v="0"/>
    <s v="M0026"/>
    <x v="11"/>
    <x v="2"/>
    <x v="11"/>
    <s v="Limpieza de ventilador"/>
    <x v="0"/>
    <n v="0"/>
    <d v="2023-03-23T00:00:00"/>
    <d v="2023-04-06T00:00:00"/>
    <x v="2"/>
    <x v="21"/>
    <n v="585"/>
    <n v="477"/>
    <x v="4"/>
  </r>
  <r>
    <x v="252"/>
    <x v="75"/>
    <x v="2"/>
    <x v="2"/>
    <x v="0"/>
    <x v="0"/>
    <s v="M0020"/>
    <x v="13"/>
    <x v="0"/>
    <x v="13"/>
    <s v="Limpieza general"/>
    <x v="0"/>
    <n v="0"/>
    <d v="2023-03-23T00:00:00"/>
    <d v="2023-04-11T00:00:00"/>
    <x v="2"/>
    <x v="27"/>
    <n v="452"/>
    <n v="481"/>
    <x v="1"/>
  </r>
  <r>
    <x v="253"/>
    <x v="75"/>
    <x v="2"/>
    <x v="2"/>
    <x v="0"/>
    <x v="0"/>
    <s v="M0030"/>
    <x v="35"/>
    <x v="0"/>
    <x v="20"/>
    <s v="Inspección de engranes"/>
    <x v="0"/>
    <n v="0"/>
    <d v="2023-03-23T00:00:00"/>
    <d v="2023-03-26T00:00:00"/>
    <x v="0"/>
    <x v="0"/>
    <n v="0"/>
    <n v="0"/>
    <x v="0"/>
  </r>
  <r>
    <x v="254"/>
    <x v="76"/>
    <x v="2"/>
    <x v="2"/>
    <x v="0"/>
    <x v="0"/>
    <s v="M0019"/>
    <x v="4"/>
    <x v="1"/>
    <x v="5"/>
    <s v="Observación de posibles daños"/>
    <x v="1"/>
    <s v="360 Anual"/>
    <d v="2023-03-24T00:00:00"/>
    <d v="2024-03-18T00:00:00"/>
    <x v="1"/>
    <x v="0"/>
    <n v="431"/>
    <n v="935"/>
    <x v="1"/>
  </r>
  <r>
    <x v="255"/>
    <x v="76"/>
    <x v="2"/>
    <x v="2"/>
    <x v="0"/>
    <x v="0"/>
    <s v="M0006"/>
    <x v="32"/>
    <x v="0"/>
    <x v="4"/>
    <s v="Observación de posibles daños"/>
    <x v="0"/>
    <n v="0"/>
    <d v="2023-03-24T00:00:00"/>
    <d v="2023-04-22T00:00:00"/>
    <x v="0"/>
    <x v="0"/>
    <n v="0"/>
    <n v="0"/>
    <x v="0"/>
  </r>
  <r>
    <x v="256"/>
    <x v="76"/>
    <x v="2"/>
    <x v="2"/>
    <x v="0"/>
    <x v="0"/>
    <s v="M0025"/>
    <x v="25"/>
    <x v="2"/>
    <x v="23"/>
    <s v="Observación de posibles daños"/>
    <x v="1"/>
    <s v="15 Quincenal"/>
    <d v="2023-03-24T00:00:00"/>
    <d v="2023-04-08T00:00:00"/>
    <x v="1"/>
    <x v="0"/>
    <n v="201"/>
    <n v="607"/>
    <x v="1"/>
  </r>
  <r>
    <x v="257"/>
    <x v="76"/>
    <x v="2"/>
    <x v="2"/>
    <x v="0"/>
    <x v="0"/>
    <s v="M0008"/>
    <x v="26"/>
    <x v="0"/>
    <x v="24"/>
    <s v="Inspección y/o reemplazo de tubos de contacto"/>
    <x v="0"/>
    <n v="0"/>
    <d v="2023-03-24T00:00:00"/>
    <d v="2023-03-30T00:00:00"/>
    <x v="0"/>
    <x v="0"/>
    <n v="0"/>
    <n v="0"/>
    <x v="0"/>
  </r>
  <r>
    <x v="258"/>
    <x v="77"/>
    <x v="2"/>
    <x v="2"/>
    <x v="0"/>
    <x v="0"/>
    <s v="M0034"/>
    <x v="2"/>
    <x v="0"/>
    <x v="2"/>
    <s v="Inspección y/o reemplazo de toderas"/>
    <x v="0"/>
    <n v="0"/>
    <d v="2023-03-25T00:00:00"/>
    <d v="2023-04-14T00:00:00"/>
    <x v="0"/>
    <x v="0"/>
    <n v="0"/>
    <n v="0"/>
    <x v="0"/>
  </r>
  <r>
    <x v="259"/>
    <x v="77"/>
    <x v="2"/>
    <x v="2"/>
    <x v="0"/>
    <x v="0"/>
    <s v="M0001"/>
    <x v="38"/>
    <x v="0"/>
    <x v="25"/>
    <s v="Ajuste general de máquinas"/>
    <x v="0"/>
    <n v="0"/>
    <d v="2023-03-25T00:00:00"/>
    <d v="2023-04-17T00:00:00"/>
    <x v="2"/>
    <x v="10"/>
    <n v="368"/>
    <n v="594"/>
    <x v="1"/>
  </r>
  <r>
    <x v="260"/>
    <x v="77"/>
    <x v="2"/>
    <x v="2"/>
    <x v="0"/>
    <x v="0"/>
    <s v="M0003"/>
    <x v="22"/>
    <x v="2"/>
    <x v="20"/>
    <s v="Inspección de tuberías "/>
    <x v="0"/>
    <n v="0"/>
    <d v="2023-03-25T00:00:00"/>
    <d v="2023-03-29T00:00:00"/>
    <x v="2"/>
    <x v="28"/>
    <n v="1021"/>
    <n v="622"/>
    <x v="4"/>
  </r>
  <r>
    <x v="261"/>
    <x v="77"/>
    <x v="2"/>
    <x v="2"/>
    <x v="0"/>
    <x v="0"/>
    <s v="M0007"/>
    <x v="39"/>
    <x v="0"/>
    <x v="2"/>
    <s v="Inspección de mangeras"/>
    <x v="0"/>
    <n v="0"/>
    <d v="2023-03-25T00:00:00"/>
    <d v="2023-04-19T00:00:00"/>
    <x v="0"/>
    <x v="0"/>
    <n v="0"/>
    <n v="0"/>
    <x v="0"/>
  </r>
  <r>
    <x v="262"/>
    <x v="78"/>
    <x v="2"/>
    <x v="2"/>
    <x v="0"/>
    <x v="0"/>
    <s v="M0005"/>
    <x v="8"/>
    <x v="0"/>
    <x v="8"/>
    <s v="Inspección y/o reemplazado de filtros de aire"/>
    <x v="0"/>
    <n v="0"/>
    <d v="2023-03-26T00:00:00"/>
    <d v="2023-04-13T00:00:00"/>
    <x v="2"/>
    <x v="5"/>
    <n v="558"/>
    <n v="289"/>
    <x v="2"/>
  </r>
  <r>
    <x v="263"/>
    <x v="78"/>
    <x v="2"/>
    <x v="2"/>
    <x v="0"/>
    <x v="0"/>
    <s v="M0014"/>
    <x v="19"/>
    <x v="2"/>
    <x v="17"/>
    <s v="Inspección y/o reemplazado de filtros de aceite"/>
    <x v="0"/>
    <n v="0"/>
    <d v="2023-03-26T00:00:00"/>
    <d v="2023-04-19T00:00:00"/>
    <x v="0"/>
    <x v="0"/>
    <n v="0"/>
    <n v="0"/>
    <x v="0"/>
  </r>
  <r>
    <x v="264"/>
    <x v="79"/>
    <x v="2"/>
    <x v="2"/>
    <x v="0"/>
    <x v="0"/>
    <s v="M0043"/>
    <x v="23"/>
    <x v="3"/>
    <x v="21"/>
    <s v="Inspección de Frenos"/>
    <x v="0"/>
    <n v="0"/>
    <d v="2023-03-27T00:00:00"/>
    <d v="2023-04-15T00:00:00"/>
    <x v="0"/>
    <x v="0"/>
    <n v="0"/>
    <n v="0"/>
    <x v="0"/>
  </r>
  <r>
    <x v="265"/>
    <x v="80"/>
    <x v="2"/>
    <x v="2"/>
    <x v="0"/>
    <x v="0"/>
    <s v="M0025"/>
    <x v="25"/>
    <x v="2"/>
    <x v="23"/>
    <s v="Mantenimiento general"/>
    <x v="0"/>
    <n v="0"/>
    <d v="2023-03-28T00:00:00"/>
    <d v="2023-04-27T00:00:00"/>
    <x v="2"/>
    <x v="23"/>
    <n v="1118"/>
    <n v="401"/>
    <x v="4"/>
  </r>
  <r>
    <x v="266"/>
    <x v="80"/>
    <x v="2"/>
    <x v="2"/>
    <x v="0"/>
    <x v="0"/>
    <s v="M0042"/>
    <x v="10"/>
    <x v="2"/>
    <x v="10"/>
    <s v="Inspección de gases"/>
    <x v="0"/>
    <n v="0"/>
    <d v="2023-03-28T00:00:00"/>
    <d v="2023-04-05T00:00:00"/>
    <x v="2"/>
    <x v="8"/>
    <n v="888"/>
    <n v="667"/>
    <x v="2"/>
  </r>
  <r>
    <x v="267"/>
    <x v="80"/>
    <x v="2"/>
    <x v="2"/>
    <x v="0"/>
    <x v="0"/>
    <s v="M0023"/>
    <x v="18"/>
    <x v="0"/>
    <x v="16"/>
    <s v="Inspección y/o reemplazado de escobillas"/>
    <x v="0"/>
    <n v="0"/>
    <d v="2023-03-28T00:00:00"/>
    <d v="2023-04-26T00:00:00"/>
    <x v="2"/>
    <x v="17"/>
    <n v="650"/>
    <n v="537"/>
    <x v="3"/>
  </r>
  <r>
    <x v="268"/>
    <x v="81"/>
    <x v="2"/>
    <x v="2"/>
    <x v="0"/>
    <x v="0"/>
    <s v="M0015"/>
    <x v="33"/>
    <x v="4"/>
    <x v="10"/>
    <s v="Observación de posibles daños"/>
    <x v="1"/>
    <s v="7 Semanal"/>
    <d v="2023-03-29T00:00:00"/>
    <d v="2023-04-05T00:00:00"/>
    <x v="1"/>
    <x v="0"/>
    <n v="451"/>
    <n v="810"/>
    <x v="1"/>
  </r>
  <r>
    <x v="269"/>
    <x v="82"/>
    <x v="2"/>
    <x v="2"/>
    <x v="0"/>
    <x v="0"/>
    <s v="M0038"/>
    <x v="30"/>
    <x v="0"/>
    <x v="26"/>
    <s v="Inspección de nivel de com¿bustible"/>
    <x v="0"/>
    <n v="0"/>
    <d v="2023-03-30T00:00:00"/>
    <d v="2023-04-15T00:00:00"/>
    <x v="0"/>
    <x v="0"/>
    <n v="0"/>
    <n v="0"/>
    <x v="0"/>
  </r>
  <r>
    <x v="270"/>
    <x v="82"/>
    <x v="2"/>
    <x v="2"/>
    <x v="0"/>
    <x v="0"/>
    <s v="M0024"/>
    <x v="21"/>
    <x v="2"/>
    <x v="19"/>
    <s v="Observación de posibles daños"/>
    <x v="1"/>
    <s v="7 Semanal"/>
    <d v="2023-03-30T00:00:00"/>
    <d v="2023-04-06T00:00:00"/>
    <x v="1"/>
    <x v="0"/>
    <n v="1033"/>
    <n v="339"/>
    <x v="1"/>
  </r>
  <r>
    <x v="271"/>
    <x v="83"/>
    <x v="3"/>
    <x v="3"/>
    <x v="1"/>
    <x v="0"/>
    <s v="M0020"/>
    <x v="13"/>
    <x v="0"/>
    <x v="13"/>
    <s v="Limpieza y ajuste de inyectores"/>
    <x v="0"/>
    <n v="0"/>
    <d v="2023-04-01T00:00:00"/>
    <d v="2023-04-14T00:00:00"/>
    <x v="0"/>
    <x v="0"/>
    <n v="0"/>
    <n v="0"/>
    <x v="0"/>
  </r>
  <r>
    <x v="272"/>
    <x v="84"/>
    <x v="3"/>
    <x v="3"/>
    <x v="1"/>
    <x v="0"/>
    <s v="M0007"/>
    <x v="39"/>
    <x v="0"/>
    <x v="2"/>
    <s v="Limpieza y ajuste de terminales de baterías"/>
    <x v="0"/>
    <n v="0"/>
    <d v="2023-04-02T00:00:00"/>
    <d v="2023-04-17T00:00:00"/>
    <x v="0"/>
    <x v="0"/>
    <n v="0"/>
    <n v="0"/>
    <x v="0"/>
  </r>
  <r>
    <x v="273"/>
    <x v="85"/>
    <x v="3"/>
    <x v="3"/>
    <x v="1"/>
    <x v="0"/>
    <s v="M0020"/>
    <x v="13"/>
    <x v="0"/>
    <x v="13"/>
    <s v="Verificación del sistema de enfriado"/>
    <x v="0"/>
    <n v="0"/>
    <d v="2023-04-03T00:00:00"/>
    <d v="2023-04-06T00:00:00"/>
    <x v="0"/>
    <x v="0"/>
    <n v="0"/>
    <n v="0"/>
    <x v="0"/>
  </r>
  <r>
    <x v="274"/>
    <x v="85"/>
    <x v="3"/>
    <x v="3"/>
    <x v="1"/>
    <x v="0"/>
    <s v="M0028"/>
    <x v="29"/>
    <x v="0"/>
    <x v="25"/>
    <s v="Limpieza de ventilador"/>
    <x v="0"/>
    <n v="0"/>
    <d v="2023-04-03T00:00:00"/>
    <d v="2023-04-20T00:00:00"/>
    <x v="0"/>
    <x v="0"/>
    <n v="0"/>
    <n v="0"/>
    <x v="0"/>
  </r>
  <r>
    <x v="275"/>
    <x v="85"/>
    <x v="3"/>
    <x v="3"/>
    <x v="1"/>
    <x v="0"/>
    <s v="M0038"/>
    <x v="30"/>
    <x v="0"/>
    <x v="26"/>
    <s v="Limpieza general"/>
    <x v="0"/>
    <n v="0"/>
    <d v="2023-04-03T00:00:00"/>
    <d v="2023-04-18T00:00:00"/>
    <x v="2"/>
    <x v="24"/>
    <n v="684"/>
    <n v="344"/>
    <x v="1"/>
  </r>
  <r>
    <x v="276"/>
    <x v="85"/>
    <x v="3"/>
    <x v="3"/>
    <x v="1"/>
    <x v="0"/>
    <s v="M0019"/>
    <x v="4"/>
    <x v="1"/>
    <x v="5"/>
    <s v="Observación de posibles daños"/>
    <x v="1"/>
    <s v="60 Bimestral"/>
    <d v="2023-04-03T00:00:00"/>
    <d v="2023-06-02T00:00:00"/>
    <x v="1"/>
    <x v="0"/>
    <n v="366"/>
    <n v="144"/>
    <x v="1"/>
  </r>
  <r>
    <x v="277"/>
    <x v="85"/>
    <x v="3"/>
    <x v="3"/>
    <x v="1"/>
    <x v="0"/>
    <s v="M0014"/>
    <x v="19"/>
    <x v="2"/>
    <x v="17"/>
    <s v="Revisió Ajuste y/o de bandas, correas y poleas"/>
    <x v="0"/>
    <n v="0"/>
    <d v="2023-04-03T00:00:00"/>
    <d v="2023-05-01T00:00:00"/>
    <x v="2"/>
    <x v="3"/>
    <n v="293"/>
    <n v="576"/>
    <x v="1"/>
  </r>
  <r>
    <x v="278"/>
    <x v="85"/>
    <x v="3"/>
    <x v="3"/>
    <x v="1"/>
    <x v="0"/>
    <s v="M0020"/>
    <x v="13"/>
    <x v="0"/>
    <x v="13"/>
    <s v="Observación de posibles daños"/>
    <x v="0"/>
    <n v="0"/>
    <d v="2023-04-03T00:00:00"/>
    <d v="2023-04-16T00:00:00"/>
    <x v="2"/>
    <x v="29"/>
    <n v="410"/>
    <n v="446"/>
    <x v="3"/>
  </r>
  <r>
    <x v="279"/>
    <x v="86"/>
    <x v="3"/>
    <x v="3"/>
    <x v="1"/>
    <x v="0"/>
    <s v="M0006"/>
    <x v="32"/>
    <x v="0"/>
    <x v="4"/>
    <s v="Inspección y/o reemplazo de boquillas"/>
    <x v="0"/>
    <n v="0"/>
    <d v="2023-04-04T00:00:00"/>
    <d v="2023-04-14T00:00:00"/>
    <x v="2"/>
    <x v="30"/>
    <n v="465"/>
    <n v="586"/>
    <x v="3"/>
  </r>
  <r>
    <x v="280"/>
    <x v="86"/>
    <x v="3"/>
    <x v="3"/>
    <x v="1"/>
    <x v="0"/>
    <s v="M0026"/>
    <x v="11"/>
    <x v="2"/>
    <x v="11"/>
    <s v="Observación de posibles daños"/>
    <x v="1"/>
    <s v="7 Semanal"/>
    <d v="2023-04-04T00:00:00"/>
    <d v="2023-04-11T00:00:00"/>
    <x v="1"/>
    <x v="0"/>
    <n v="392"/>
    <n v="342"/>
    <x v="1"/>
  </r>
  <r>
    <x v="281"/>
    <x v="86"/>
    <x v="3"/>
    <x v="3"/>
    <x v="1"/>
    <x v="0"/>
    <s v="M0016"/>
    <x v="31"/>
    <x v="0"/>
    <x v="21"/>
    <s v="Inspección y/o reemplazo de toderas"/>
    <x v="0"/>
    <n v="0"/>
    <d v="2023-04-04T00:00:00"/>
    <d v="2023-04-13T00:00:00"/>
    <x v="2"/>
    <x v="20"/>
    <n v="1187"/>
    <n v="848"/>
    <x v="3"/>
  </r>
  <r>
    <x v="282"/>
    <x v="87"/>
    <x v="3"/>
    <x v="3"/>
    <x v="1"/>
    <x v="0"/>
    <s v="M0018"/>
    <x v="0"/>
    <x v="0"/>
    <x v="0"/>
    <s v="Ajuste general de máquinas"/>
    <x v="0"/>
    <n v="0"/>
    <d v="2023-04-05T00:00:00"/>
    <d v="2023-04-19T00:00:00"/>
    <x v="0"/>
    <x v="0"/>
    <n v="0"/>
    <n v="0"/>
    <x v="0"/>
  </r>
  <r>
    <x v="283"/>
    <x v="88"/>
    <x v="3"/>
    <x v="3"/>
    <x v="1"/>
    <x v="0"/>
    <s v="M0011"/>
    <x v="36"/>
    <x v="0"/>
    <x v="26"/>
    <s v="Inspección de tuberías "/>
    <x v="0"/>
    <n v="0"/>
    <d v="2023-04-06T00:00:00"/>
    <d v="2023-04-10T00:00:00"/>
    <x v="2"/>
    <x v="28"/>
    <n v="518"/>
    <n v="118"/>
    <x v="4"/>
  </r>
  <r>
    <x v="284"/>
    <x v="88"/>
    <x v="3"/>
    <x v="3"/>
    <x v="1"/>
    <x v="0"/>
    <s v="M0037"/>
    <x v="1"/>
    <x v="0"/>
    <x v="1"/>
    <s v="Observación de posibles daños"/>
    <x v="1"/>
    <s v="360 Anual"/>
    <d v="2023-04-06T00:00:00"/>
    <d v="2024-03-31T00:00:00"/>
    <x v="1"/>
    <x v="0"/>
    <n v="1111"/>
    <n v="526"/>
    <x v="1"/>
  </r>
  <r>
    <x v="285"/>
    <x v="88"/>
    <x v="3"/>
    <x v="3"/>
    <x v="1"/>
    <x v="0"/>
    <s v="M0021"/>
    <x v="9"/>
    <x v="0"/>
    <x v="9"/>
    <s v="Inspección y/o reemplazado de filtros de aire"/>
    <x v="0"/>
    <n v="0"/>
    <d v="2023-04-06T00:00:00"/>
    <d v="2023-04-09T00:00:00"/>
    <x v="0"/>
    <x v="0"/>
    <n v="0"/>
    <n v="0"/>
    <x v="0"/>
  </r>
  <r>
    <x v="286"/>
    <x v="88"/>
    <x v="3"/>
    <x v="3"/>
    <x v="1"/>
    <x v="0"/>
    <s v="M0022"/>
    <x v="24"/>
    <x v="0"/>
    <x v="22"/>
    <s v="Inspección y/o reemplazado de filtros de aceite"/>
    <x v="0"/>
    <n v="0"/>
    <d v="2023-04-06T00:00:00"/>
    <d v="2023-04-17T00:00:00"/>
    <x v="0"/>
    <x v="0"/>
    <n v="0"/>
    <n v="0"/>
    <x v="0"/>
  </r>
  <r>
    <x v="287"/>
    <x v="88"/>
    <x v="3"/>
    <x v="3"/>
    <x v="1"/>
    <x v="0"/>
    <s v="M0002"/>
    <x v="16"/>
    <x v="0"/>
    <x v="12"/>
    <s v="Inspección de Frenos"/>
    <x v="0"/>
    <n v="0"/>
    <d v="2023-04-06T00:00:00"/>
    <d v="2023-05-05T00:00:00"/>
    <x v="0"/>
    <x v="0"/>
    <n v="0"/>
    <n v="0"/>
    <x v="0"/>
  </r>
  <r>
    <x v="288"/>
    <x v="88"/>
    <x v="3"/>
    <x v="3"/>
    <x v="1"/>
    <x v="0"/>
    <s v="M0035"/>
    <x v="34"/>
    <x v="0"/>
    <x v="24"/>
    <s v="Observación de posibles daños"/>
    <x v="1"/>
    <s v="15 Quincenal"/>
    <d v="2023-04-06T00:00:00"/>
    <d v="2023-04-21T00:00:00"/>
    <x v="1"/>
    <x v="0"/>
    <n v="1136"/>
    <n v="222"/>
    <x v="1"/>
  </r>
  <r>
    <x v="289"/>
    <x v="89"/>
    <x v="3"/>
    <x v="3"/>
    <x v="1"/>
    <x v="0"/>
    <s v="M0042"/>
    <x v="10"/>
    <x v="2"/>
    <x v="10"/>
    <s v="Inspección de gases"/>
    <x v="0"/>
    <n v="0"/>
    <d v="2023-04-07T00:00:00"/>
    <d v="2023-05-06T00:00:00"/>
    <x v="2"/>
    <x v="17"/>
    <n v="1122"/>
    <n v="257"/>
    <x v="2"/>
  </r>
  <r>
    <x v="290"/>
    <x v="89"/>
    <x v="3"/>
    <x v="3"/>
    <x v="1"/>
    <x v="0"/>
    <s v="M0035"/>
    <x v="34"/>
    <x v="0"/>
    <x v="24"/>
    <s v="Observación de posibles daños"/>
    <x v="1"/>
    <s v="180 Semestral"/>
    <d v="2023-04-07T00:00:00"/>
    <d v="2023-10-04T00:00:00"/>
    <x v="1"/>
    <x v="0"/>
    <n v="405"/>
    <n v="755"/>
    <x v="1"/>
  </r>
  <r>
    <x v="291"/>
    <x v="89"/>
    <x v="3"/>
    <x v="3"/>
    <x v="1"/>
    <x v="0"/>
    <s v="M0013"/>
    <x v="15"/>
    <x v="0"/>
    <x v="14"/>
    <s v="Inspección y/o reemplazado de cuchillas"/>
    <x v="0"/>
    <n v="0"/>
    <d v="2023-04-07T00:00:00"/>
    <d v="2023-04-16T00:00:00"/>
    <x v="0"/>
    <x v="0"/>
    <n v="0"/>
    <n v="0"/>
    <x v="0"/>
  </r>
  <r>
    <x v="292"/>
    <x v="89"/>
    <x v="3"/>
    <x v="3"/>
    <x v="1"/>
    <x v="0"/>
    <s v="M0035"/>
    <x v="34"/>
    <x v="0"/>
    <x v="24"/>
    <s v="Inspección de nivel de com¿bustible"/>
    <x v="0"/>
    <n v="0"/>
    <d v="2023-04-07T00:00:00"/>
    <d v="2023-04-21T00:00:00"/>
    <x v="2"/>
    <x v="21"/>
    <n v="1159"/>
    <n v="909"/>
    <x v="2"/>
  </r>
  <r>
    <x v="293"/>
    <x v="89"/>
    <x v="3"/>
    <x v="3"/>
    <x v="1"/>
    <x v="0"/>
    <s v="M0041"/>
    <x v="28"/>
    <x v="0"/>
    <x v="17"/>
    <s v="Revisión de válvulas"/>
    <x v="0"/>
    <n v="0"/>
    <d v="2023-04-07T00:00:00"/>
    <d v="2023-04-09T00:00:00"/>
    <x v="2"/>
    <x v="16"/>
    <n v="370"/>
    <n v="659"/>
    <x v="4"/>
  </r>
  <r>
    <x v="294"/>
    <x v="89"/>
    <x v="3"/>
    <x v="3"/>
    <x v="1"/>
    <x v="0"/>
    <s v="M0033"/>
    <x v="0"/>
    <x v="0"/>
    <x v="4"/>
    <s v="Limpieza y ajuste de inyectores"/>
    <x v="0"/>
    <n v="0"/>
    <d v="2023-04-07T00:00:00"/>
    <d v="2023-04-09T00:00:00"/>
    <x v="0"/>
    <x v="0"/>
    <n v="0"/>
    <n v="0"/>
    <x v="0"/>
  </r>
  <r>
    <x v="295"/>
    <x v="89"/>
    <x v="3"/>
    <x v="3"/>
    <x v="1"/>
    <x v="0"/>
    <s v="M0011"/>
    <x v="36"/>
    <x v="0"/>
    <x v="26"/>
    <s v="Limpieza y ajuste de terminales de baterías"/>
    <x v="0"/>
    <n v="0"/>
    <d v="2023-04-07T00:00:00"/>
    <d v="2023-04-17T00:00:00"/>
    <x v="0"/>
    <x v="0"/>
    <n v="0"/>
    <n v="0"/>
    <x v="0"/>
  </r>
  <r>
    <x v="296"/>
    <x v="90"/>
    <x v="3"/>
    <x v="3"/>
    <x v="1"/>
    <x v="0"/>
    <s v="M0023"/>
    <x v="18"/>
    <x v="0"/>
    <x v="16"/>
    <s v="Observación de posibles daños"/>
    <x v="1"/>
    <s v="30 Mensual"/>
    <d v="2023-04-08T00:00:00"/>
    <d v="2023-05-08T00:00:00"/>
    <x v="1"/>
    <x v="0"/>
    <n v="1038"/>
    <n v="941"/>
    <x v="1"/>
  </r>
  <r>
    <x v="297"/>
    <x v="90"/>
    <x v="3"/>
    <x v="3"/>
    <x v="1"/>
    <x v="0"/>
    <s v="M0014"/>
    <x v="19"/>
    <x v="2"/>
    <x v="17"/>
    <s v="Limpieza de ventilador"/>
    <x v="0"/>
    <n v="0"/>
    <d v="2023-04-08T00:00:00"/>
    <d v="2023-04-26T00:00:00"/>
    <x v="2"/>
    <x v="5"/>
    <n v="905"/>
    <n v="283"/>
    <x v="3"/>
  </r>
  <r>
    <x v="298"/>
    <x v="91"/>
    <x v="3"/>
    <x v="3"/>
    <x v="1"/>
    <x v="0"/>
    <s v="M0015"/>
    <x v="33"/>
    <x v="4"/>
    <x v="10"/>
    <s v="Observación de posibles daños"/>
    <x v="1"/>
    <s v="15 Quincenal"/>
    <d v="2023-04-09T00:00:00"/>
    <d v="2023-04-24T00:00:00"/>
    <x v="1"/>
    <x v="0"/>
    <n v="929"/>
    <n v="513"/>
    <x v="1"/>
  </r>
  <r>
    <x v="299"/>
    <x v="91"/>
    <x v="3"/>
    <x v="3"/>
    <x v="1"/>
    <x v="0"/>
    <s v="M0013"/>
    <x v="15"/>
    <x v="0"/>
    <x v="14"/>
    <s v="Inspección de engranes"/>
    <x v="0"/>
    <n v="0"/>
    <d v="2023-04-09T00:00:00"/>
    <d v="2023-04-26T00:00:00"/>
    <x v="0"/>
    <x v="0"/>
    <n v="0"/>
    <n v="0"/>
    <x v="0"/>
  </r>
  <r>
    <x v="300"/>
    <x v="91"/>
    <x v="3"/>
    <x v="3"/>
    <x v="1"/>
    <x v="0"/>
    <s v="M0031"/>
    <x v="7"/>
    <x v="0"/>
    <x v="7"/>
    <s v="Revisió Ajuste y/o de bandas, correas y poleas"/>
    <x v="0"/>
    <n v="0"/>
    <d v="2023-04-09T00:00:00"/>
    <d v="2023-05-04T00:00:00"/>
    <x v="0"/>
    <x v="0"/>
    <n v="0"/>
    <n v="0"/>
    <x v="0"/>
  </r>
  <r>
    <x v="301"/>
    <x v="91"/>
    <x v="3"/>
    <x v="3"/>
    <x v="1"/>
    <x v="0"/>
    <s v="M0011"/>
    <x v="36"/>
    <x v="0"/>
    <x v="26"/>
    <s v="Observación de posibles daños"/>
    <x v="0"/>
    <n v="0"/>
    <d v="2023-04-09T00:00:00"/>
    <d v="2023-04-12T00:00:00"/>
    <x v="0"/>
    <x v="0"/>
    <n v="0"/>
    <n v="0"/>
    <x v="0"/>
  </r>
  <r>
    <x v="302"/>
    <x v="91"/>
    <x v="3"/>
    <x v="3"/>
    <x v="1"/>
    <x v="0"/>
    <s v="M0041"/>
    <x v="28"/>
    <x v="0"/>
    <x v="17"/>
    <s v="Observación de posibles daños"/>
    <x v="1"/>
    <s v="360 Anual"/>
    <d v="2023-04-09T00:00:00"/>
    <d v="2024-04-03T00:00:00"/>
    <x v="1"/>
    <x v="0"/>
    <n v="279"/>
    <n v="194"/>
    <x v="1"/>
  </r>
  <r>
    <x v="303"/>
    <x v="92"/>
    <x v="3"/>
    <x v="3"/>
    <x v="1"/>
    <x v="0"/>
    <s v="M0002"/>
    <x v="16"/>
    <x v="0"/>
    <x v="12"/>
    <s v="Inspección y/o reemplazo de tubos de contacto"/>
    <x v="0"/>
    <n v="0"/>
    <d v="2023-04-10T00:00:00"/>
    <d v="2023-04-11T00:00:00"/>
    <x v="0"/>
    <x v="0"/>
    <n v="0"/>
    <n v="0"/>
    <x v="0"/>
  </r>
  <r>
    <x v="304"/>
    <x v="92"/>
    <x v="3"/>
    <x v="3"/>
    <x v="1"/>
    <x v="0"/>
    <s v="M0003"/>
    <x v="22"/>
    <x v="2"/>
    <x v="20"/>
    <s v="Observación de posibles daños"/>
    <x v="1"/>
    <s v="360 Anual"/>
    <d v="2023-04-10T00:00:00"/>
    <d v="2024-04-04T00:00:00"/>
    <x v="1"/>
    <x v="0"/>
    <n v="783"/>
    <n v="168"/>
    <x v="1"/>
  </r>
  <r>
    <x v="305"/>
    <x v="92"/>
    <x v="3"/>
    <x v="3"/>
    <x v="1"/>
    <x v="0"/>
    <s v="M0002"/>
    <x v="16"/>
    <x v="0"/>
    <x v="12"/>
    <s v="Ajuste general de máquinas"/>
    <x v="0"/>
    <n v="0"/>
    <d v="2023-04-10T00:00:00"/>
    <d v="2023-04-13T00:00:00"/>
    <x v="0"/>
    <x v="0"/>
    <n v="0"/>
    <n v="0"/>
    <x v="0"/>
  </r>
  <r>
    <x v="306"/>
    <x v="92"/>
    <x v="3"/>
    <x v="3"/>
    <x v="1"/>
    <x v="0"/>
    <s v="M0016"/>
    <x v="31"/>
    <x v="0"/>
    <x v="21"/>
    <s v="Observación de posibles daños"/>
    <x v="1"/>
    <s v="180 Semestral"/>
    <d v="2023-04-10T00:00:00"/>
    <d v="2023-10-07T00:00:00"/>
    <x v="1"/>
    <x v="0"/>
    <n v="610"/>
    <n v="683"/>
    <x v="1"/>
  </r>
  <r>
    <x v="307"/>
    <x v="92"/>
    <x v="3"/>
    <x v="3"/>
    <x v="1"/>
    <x v="0"/>
    <s v="M0039"/>
    <x v="5"/>
    <x v="0"/>
    <x v="3"/>
    <s v="Inspección de mangeras"/>
    <x v="0"/>
    <n v="0"/>
    <d v="2023-04-10T00:00:00"/>
    <d v="2023-04-11T00:00:00"/>
    <x v="2"/>
    <x v="15"/>
    <n v="698"/>
    <n v="453"/>
    <x v="4"/>
  </r>
  <r>
    <x v="308"/>
    <x v="93"/>
    <x v="3"/>
    <x v="3"/>
    <x v="1"/>
    <x v="0"/>
    <s v="M0043"/>
    <x v="23"/>
    <x v="3"/>
    <x v="21"/>
    <s v="Observación de posibles daños"/>
    <x v="1"/>
    <s v="15 Quincenal"/>
    <d v="2023-04-11T00:00:00"/>
    <d v="2023-04-26T00:00:00"/>
    <x v="1"/>
    <x v="0"/>
    <n v="1087"/>
    <n v="992"/>
    <x v="1"/>
  </r>
  <r>
    <x v="309"/>
    <x v="93"/>
    <x v="3"/>
    <x v="3"/>
    <x v="1"/>
    <x v="0"/>
    <s v="M0029"/>
    <x v="12"/>
    <x v="3"/>
    <x v="12"/>
    <s v="Inspección y/o reemplazado de filtros de aceite"/>
    <x v="0"/>
    <n v="0"/>
    <d v="2023-04-11T00:00:00"/>
    <d v="2023-04-22T00:00:00"/>
    <x v="0"/>
    <x v="0"/>
    <n v="0"/>
    <n v="0"/>
    <x v="0"/>
  </r>
  <r>
    <x v="310"/>
    <x v="93"/>
    <x v="3"/>
    <x v="3"/>
    <x v="1"/>
    <x v="0"/>
    <s v="M0031"/>
    <x v="7"/>
    <x v="0"/>
    <x v="7"/>
    <s v="Observación de posibles daños"/>
    <x v="1"/>
    <s v="60 Bimestral"/>
    <d v="2023-04-11T00:00:00"/>
    <d v="2023-06-10T00:00:00"/>
    <x v="1"/>
    <x v="0"/>
    <n v="218"/>
    <n v="354"/>
    <x v="1"/>
  </r>
  <r>
    <x v="311"/>
    <x v="93"/>
    <x v="3"/>
    <x v="3"/>
    <x v="1"/>
    <x v="0"/>
    <s v="M0013"/>
    <x v="15"/>
    <x v="0"/>
    <x v="14"/>
    <s v="Mantenimiento general"/>
    <x v="0"/>
    <n v="0"/>
    <d v="2023-04-11T00:00:00"/>
    <d v="2023-05-10T00:00:00"/>
    <x v="0"/>
    <x v="0"/>
    <n v="0"/>
    <n v="0"/>
    <x v="0"/>
  </r>
  <r>
    <x v="312"/>
    <x v="94"/>
    <x v="3"/>
    <x v="3"/>
    <x v="1"/>
    <x v="0"/>
    <s v="M0038"/>
    <x v="30"/>
    <x v="0"/>
    <x v="26"/>
    <s v="Observación de posibles daños"/>
    <x v="1"/>
    <s v="15 Quincenal"/>
    <d v="2023-04-12T00:00:00"/>
    <d v="2023-04-27T00:00:00"/>
    <x v="1"/>
    <x v="0"/>
    <n v="875"/>
    <n v="175"/>
    <x v="1"/>
  </r>
  <r>
    <x v="313"/>
    <x v="94"/>
    <x v="3"/>
    <x v="3"/>
    <x v="1"/>
    <x v="0"/>
    <s v="M0019"/>
    <x v="4"/>
    <x v="1"/>
    <x v="5"/>
    <s v="Inspección y/o reemplazado de escobillas"/>
    <x v="0"/>
    <n v="0"/>
    <d v="2023-04-12T00:00:00"/>
    <d v="2023-05-02T00:00:00"/>
    <x v="0"/>
    <x v="0"/>
    <n v="0"/>
    <n v="0"/>
    <x v="0"/>
  </r>
  <r>
    <x v="314"/>
    <x v="94"/>
    <x v="3"/>
    <x v="3"/>
    <x v="1"/>
    <x v="0"/>
    <s v="M0022"/>
    <x v="24"/>
    <x v="0"/>
    <x v="22"/>
    <s v="Observación de posibles daños"/>
    <x v="1"/>
    <s v="90 Trimestral"/>
    <d v="2023-04-12T00:00:00"/>
    <d v="2023-07-11T00:00:00"/>
    <x v="1"/>
    <x v="0"/>
    <n v="1055"/>
    <n v="387"/>
    <x v="1"/>
  </r>
  <r>
    <x v="315"/>
    <x v="95"/>
    <x v="3"/>
    <x v="3"/>
    <x v="1"/>
    <x v="0"/>
    <s v="M0043"/>
    <x v="23"/>
    <x v="3"/>
    <x v="21"/>
    <s v="Inspección de nivel de com¿bustible"/>
    <x v="0"/>
    <n v="0"/>
    <d v="2023-04-13T00:00:00"/>
    <d v="2023-04-18T00:00:00"/>
    <x v="2"/>
    <x v="9"/>
    <n v="1120"/>
    <n v="511"/>
    <x v="3"/>
  </r>
  <r>
    <x v="316"/>
    <x v="95"/>
    <x v="3"/>
    <x v="3"/>
    <x v="1"/>
    <x v="0"/>
    <s v="M0027"/>
    <x v="6"/>
    <x v="2"/>
    <x v="6"/>
    <s v="Observación de posibles daños"/>
    <x v="1"/>
    <s v="15 Quincenal"/>
    <d v="2023-04-13T00:00:00"/>
    <d v="2023-04-28T00:00:00"/>
    <x v="1"/>
    <x v="0"/>
    <n v="372"/>
    <n v="146"/>
    <x v="1"/>
  </r>
  <r>
    <x v="317"/>
    <x v="96"/>
    <x v="3"/>
    <x v="3"/>
    <x v="1"/>
    <x v="0"/>
    <s v="M0040"/>
    <x v="41"/>
    <x v="0"/>
    <x v="14"/>
    <s v="Limpieza y ajuste de inyectores"/>
    <x v="0"/>
    <n v="0"/>
    <d v="2023-04-15T00:00:00"/>
    <d v="2023-04-25T00:00:00"/>
    <x v="0"/>
    <x v="0"/>
    <n v="0"/>
    <n v="0"/>
    <x v="0"/>
  </r>
  <r>
    <x v="318"/>
    <x v="96"/>
    <x v="3"/>
    <x v="3"/>
    <x v="1"/>
    <x v="0"/>
    <s v="M0027"/>
    <x v="6"/>
    <x v="2"/>
    <x v="6"/>
    <s v="Observación de posibles daños"/>
    <x v="1"/>
    <s v="180 Semestral"/>
    <d v="2023-04-15T00:00:00"/>
    <d v="2023-10-12T00:00:00"/>
    <x v="1"/>
    <x v="0"/>
    <n v="829"/>
    <n v="572"/>
    <x v="1"/>
  </r>
  <r>
    <x v="319"/>
    <x v="97"/>
    <x v="3"/>
    <x v="3"/>
    <x v="1"/>
    <x v="0"/>
    <s v="M0005"/>
    <x v="8"/>
    <x v="0"/>
    <x v="8"/>
    <s v="Verificación del sistema de enfriado"/>
    <x v="0"/>
    <n v="0"/>
    <d v="2023-04-16T00:00:00"/>
    <d v="2023-05-15T00:00:00"/>
    <x v="2"/>
    <x v="17"/>
    <n v="785"/>
    <n v="256"/>
    <x v="2"/>
  </r>
  <r>
    <x v="320"/>
    <x v="97"/>
    <x v="3"/>
    <x v="3"/>
    <x v="1"/>
    <x v="0"/>
    <s v="M0037"/>
    <x v="1"/>
    <x v="0"/>
    <x v="1"/>
    <s v="Observación de posibles daños"/>
    <x v="1"/>
    <s v="7 Semanal"/>
    <d v="2023-04-16T00:00:00"/>
    <d v="2023-04-23T00:00:00"/>
    <x v="1"/>
    <x v="0"/>
    <n v="987"/>
    <n v="495"/>
    <x v="1"/>
  </r>
  <r>
    <x v="321"/>
    <x v="98"/>
    <x v="3"/>
    <x v="3"/>
    <x v="1"/>
    <x v="0"/>
    <s v="M0040"/>
    <x v="41"/>
    <x v="0"/>
    <x v="14"/>
    <s v="Limpieza general"/>
    <x v="0"/>
    <n v="0"/>
    <d v="2023-04-17T00:00:00"/>
    <d v="2023-04-22T00:00:00"/>
    <x v="2"/>
    <x v="9"/>
    <n v="287"/>
    <n v="790"/>
    <x v="4"/>
  </r>
  <r>
    <x v="322"/>
    <x v="98"/>
    <x v="3"/>
    <x v="3"/>
    <x v="1"/>
    <x v="0"/>
    <s v="M0008"/>
    <x v="26"/>
    <x v="0"/>
    <x v="24"/>
    <s v="Observación de posibles daños"/>
    <x v="1"/>
    <s v="360 Anual"/>
    <d v="2023-04-17T00:00:00"/>
    <d v="2024-04-11T00:00:00"/>
    <x v="1"/>
    <x v="0"/>
    <n v="638"/>
    <n v="587"/>
    <x v="1"/>
  </r>
  <r>
    <x v="323"/>
    <x v="99"/>
    <x v="3"/>
    <x v="3"/>
    <x v="1"/>
    <x v="0"/>
    <s v="M0033"/>
    <x v="0"/>
    <x v="0"/>
    <x v="4"/>
    <s v="Revisió Ajuste y/o de bandas, correas y poleas"/>
    <x v="0"/>
    <n v="0"/>
    <d v="2023-04-18T00:00:00"/>
    <d v="2023-04-21T00:00:00"/>
    <x v="2"/>
    <x v="11"/>
    <n v="226"/>
    <n v="292"/>
    <x v="4"/>
  </r>
  <r>
    <x v="324"/>
    <x v="99"/>
    <x v="3"/>
    <x v="3"/>
    <x v="1"/>
    <x v="0"/>
    <s v="M0021"/>
    <x v="9"/>
    <x v="0"/>
    <x v="9"/>
    <s v="Observación de posibles daños"/>
    <x v="0"/>
    <n v="0"/>
    <d v="2023-04-18T00:00:00"/>
    <d v="2023-05-03T00:00:00"/>
    <x v="2"/>
    <x v="24"/>
    <n v="459"/>
    <n v="470"/>
    <x v="3"/>
  </r>
  <r>
    <x v="325"/>
    <x v="99"/>
    <x v="3"/>
    <x v="3"/>
    <x v="1"/>
    <x v="0"/>
    <s v="M0016"/>
    <x v="31"/>
    <x v="0"/>
    <x v="21"/>
    <s v="Inspección y/o reemplazo de boquillas"/>
    <x v="0"/>
    <n v="0"/>
    <d v="2023-04-18T00:00:00"/>
    <d v="2023-04-20T00:00:00"/>
    <x v="0"/>
    <x v="0"/>
    <n v="0"/>
    <n v="0"/>
    <x v="0"/>
  </r>
  <r>
    <x v="326"/>
    <x v="99"/>
    <x v="3"/>
    <x v="3"/>
    <x v="1"/>
    <x v="0"/>
    <s v="M0003"/>
    <x v="22"/>
    <x v="2"/>
    <x v="20"/>
    <s v="Observación de posibles daños"/>
    <x v="1"/>
    <s v="60 Bimestral"/>
    <d v="2023-04-18T00:00:00"/>
    <d v="2023-06-17T00:00:00"/>
    <x v="1"/>
    <x v="0"/>
    <n v="437"/>
    <n v="826"/>
    <x v="1"/>
  </r>
  <r>
    <x v="327"/>
    <x v="99"/>
    <x v="3"/>
    <x v="3"/>
    <x v="1"/>
    <x v="0"/>
    <s v="M0011"/>
    <x v="36"/>
    <x v="0"/>
    <x v="26"/>
    <s v="Inspección y/o reemplazo de toderas"/>
    <x v="0"/>
    <n v="0"/>
    <d v="2023-04-18T00:00:00"/>
    <d v="2023-05-09T00:00:00"/>
    <x v="2"/>
    <x v="22"/>
    <n v="469"/>
    <n v="776"/>
    <x v="3"/>
  </r>
  <r>
    <x v="328"/>
    <x v="99"/>
    <x v="3"/>
    <x v="3"/>
    <x v="1"/>
    <x v="0"/>
    <s v="M0016"/>
    <x v="31"/>
    <x v="0"/>
    <x v="21"/>
    <s v="Ajuste general de máquinas"/>
    <x v="0"/>
    <n v="0"/>
    <d v="2023-04-18T00:00:00"/>
    <d v="2023-04-28T00:00:00"/>
    <x v="0"/>
    <x v="0"/>
    <n v="0"/>
    <n v="0"/>
    <x v="0"/>
  </r>
  <r>
    <x v="329"/>
    <x v="100"/>
    <x v="3"/>
    <x v="3"/>
    <x v="1"/>
    <x v="0"/>
    <s v="M0014"/>
    <x v="19"/>
    <x v="2"/>
    <x v="17"/>
    <s v="Inspección de tuberías "/>
    <x v="0"/>
    <n v="0"/>
    <d v="2023-04-19T00:00:00"/>
    <d v="2023-04-21T00:00:00"/>
    <x v="2"/>
    <x v="16"/>
    <n v="989"/>
    <n v="962"/>
    <x v="4"/>
  </r>
  <r>
    <x v="330"/>
    <x v="100"/>
    <x v="3"/>
    <x v="3"/>
    <x v="1"/>
    <x v="0"/>
    <s v="M0010"/>
    <x v="37"/>
    <x v="0"/>
    <x v="1"/>
    <s v="Inspección de mangeras"/>
    <x v="0"/>
    <n v="0"/>
    <d v="2023-04-19T00:00:00"/>
    <d v="2023-05-19T00:00:00"/>
    <x v="2"/>
    <x v="23"/>
    <n v="540"/>
    <n v="741"/>
    <x v="4"/>
  </r>
  <r>
    <x v="331"/>
    <x v="101"/>
    <x v="3"/>
    <x v="3"/>
    <x v="1"/>
    <x v="0"/>
    <s v="M0005"/>
    <x v="8"/>
    <x v="0"/>
    <x v="8"/>
    <s v="Inspección y/o reemplazado de filtros de aire"/>
    <x v="0"/>
    <n v="0"/>
    <d v="2023-04-20T00:00:00"/>
    <d v="2023-05-02T00:00:00"/>
    <x v="0"/>
    <x v="0"/>
    <n v="0"/>
    <n v="0"/>
    <x v="0"/>
  </r>
  <r>
    <x v="332"/>
    <x v="101"/>
    <x v="3"/>
    <x v="3"/>
    <x v="1"/>
    <x v="0"/>
    <s v="M0026"/>
    <x v="11"/>
    <x v="2"/>
    <x v="11"/>
    <s v="Observación de posibles daños"/>
    <x v="1"/>
    <s v="15 Quincenal"/>
    <d v="2023-04-20T00:00:00"/>
    <d v="2023-05-05T00:00:00"/>
    <x v="1"/>
    <x v="0"/>
    <n v="819"/>
    <n v="420"/>
    <x v="1"/>
  </r>
  <r>
    <x v="333"/>
    <x v="101"/>
    <x v="3"/>
    <x v="3"/>
    <x v="1"/>
    <x v="0"/>
    <s v="M0022"/>
    <x v="24"/>
    <x v="0"/>
    <x v="22"/>
    <s v="Inspección de Frenos"/>
    <x v="0"/>
    <n v="0"/>
    <d v="2023-04-20T00:00:00"/>
    <d v="2023-05-17T00:00:00"/>
    <x v="0"/>
    <x v="0"/>
    <n v="0"/>
    <n v="0"/>
    <x v="0"/>
  </r>
  <r>
    <x v="334"/>
    <x v="101"/>
    <x v="3"/>
    <x v="3"/>
    <x v="1"/>
    <x v="0"/>
    <s v="M0026"/>
    <x v="11"/>
    <x v="2"/>
    <x v="11"/>
    <s v="Observación de posibles daños"/>
    <x v="1"/>
    <s v="15 Quincenal"/>
    <d v="2023-04-20T00:00:00"/>
    <d v="2023-05-05T00:00:00"/>
    <x v="1"/>
    <x v="0"/>
    <n v="221"/>
    <n v="281"/>
    <x v="1"/>
  </r>
  <r>
    <x v="335"/>
    <x v="102"/>
    <x v="3"/>
    <x v="3"/>
    <x v="1"/>
    <x v="0"/>
    <s v="M0038"/>
    <x v="30"/>
    <x v="0"/>
    <x v="26"/>
    <s v="Inspección de gases"/>
    <x v="0"/>
    <n v="0"/>
    <d v="2023-04-21T00:00:00"/>
    <d v="2023-05-19T00:00:00"/>
    <x v="2"/>
    <x v="3"/>
    <n v="1077"/>
    <n v="265"/>
    <x v="1"/>
  </r>
  <r>
    <x v="336"/>
    <x v="102"/>
    <x v="3"/>
    <x v="3"/>
    <x v="1"/>
    <x v="0"/>
    <s v="M0043"/>
    <x v="23"/>
    <x v="3"/>
    <x v="21"/>
    <s v="Inspección y/o reemplazado de escobillas"/>
    <x v="0"/>
    <n v="0"/>
    <d v="2023-04-21T00:00:00"/>
    <d v="2023-04-25T00:00:00"/>
    <x v="2"/>
    <x v="28"/>
    <n v="366"/>
    <n v="452"/>
    <x v="1"/>
  </r>
  <r>
    <x v="337"/>
    <x v="102"/>
    <x v="3"/>
    <x v="3"/>
    <x v="1"/>
    <x v="0"/>
    <s v="M0021"/>
    <x v="9"/>
    <x v="0"/>
    <x v="9"/>
    <s v="Inspección y/o reemplazado de cuchillas"/>
    <x v="0"/>
    <n v="0"/>
    <d v="2023-04-21T00:00:00"/>
    <d v="2023-04-28T00:00:00"/>
    <x v="2"/>
    <x v="4"/>
    <n v="924"/>
    <n v="541"/>
    <x v="4"/>
  </r>
  <r>
    <x v="338"/>
    <x v="102"/>
    <x v="3"/>
    <x v="3"/>
    <x v="1"/>
    <x v="0"/>
    <s v="M0037"/>
    <x v="1"/>
    <x v="0"/>
    <x v="1"/>
    <s v="Observación de posibles daños"/>
    <x v="1"/>
    <s v="15 Quincenal"/>
    <d v="2023-04-21T00:00:00"/>
    <d v="2023-05-06T00:00:00"/>
    <x v="1"/>
    <x v="0"/>
    <n v="300"/>
    <n v="687"/>
    <x v="1"/>
  </r>
  <r>
    <x v="339"/>
    <x v="103"/>
    <x v="3"/>
    <x v="3"/>
    <x v="1"/>
    <x v="0"/>
    <s v="M0041"/>
    <x v="28"/>
    <x v="0"/>
    <x v="17"/>
    <s v="Revisión de válvulas"/>
    <x v="0"/>
    <n v="0"/>
    <d v="2023-04-22T00:00:00"/>
    <d v="2023-04-27T00:00:00"/>
    <x v="2"/>
    <x v="9"/>
    <n v="922"/>
    <n v="248"/>
    <x v="4"/>
  </r>
  <r>
    <x v="340"/>
    <x v="103"/>
    <x v="3"/>
    <x v="3"/>
    <x v="1"/>
    <x v="0"/>
    <s v="M0014"/>
    <x v="19"/>
    <x v="2"/>
    <x v="17"/>
    <s v="Limpieza y ajuste de inyectores"/>
    <x v="0"/>
    <n v="0"/>
    <d v="2023-04-22T00:00:00"/>
    <d v="2023-04-25T00:00:00"/>
    <x v="0"/>
    <x v="0"/>
    <n v="0"/>
    <n v="0"/>
    <x v="0"/>
  </r>
  <r>
    <x v="341"/>
    <x v="103"/>
    <x v="3"/>
    <x v="3"/>
    <x v="1"/>
    <x v="0"/>
    <s v="M0041"/>
    <x v="28"/>
    <x v="0"/>
    <x v="17"/>
    <s v="Limpieza y ajuste de terminales de baterías"/>
    <x v="0"/>
    <n v="0"/>
    <d v="2023-04-22T00:00:00"/>
    <d v="2023-04-26T00:00:00"/>
    <x v="0"/>
    <x v="0"/>
    <n v="0"/>
    <n v="0"/>
    <x v="0"/>
  </r>
  <r>
    <x v="342"/>
    <x v="104"/>
    <x v="3"/>
    <x v="3"/>
    <x v="1"/>
    <x v="0"/>
    <s v="M0030"/>
    <x v="35"/>
    <x v="0"/>
    <x v="20"/>
    <s v="Observación de posibles daños"/>
    <x v="1"/>
    <s v="180 Semestral"/>
    <d v="2023-04-23T00:00:00"/>
    <d v="2023-10-20T00:00:00"/>
    <x v="1"/>
    <x v="0"/>
    <n v="899"/>
    <n v="406"/>
    <x v="1"/>
  </r>
  <r>
    <x v="343"/>
    <x v="105"/>
    <x v="3"/>
    <x v="3"/>
    <x v="1"/>
    <x v="0"/>
    <s v="M0016"/>
    <x v="31"/>
    <x v="0"/>
    <x v="21"/>
    <s v="Limpieza de ventilador"/>
    <x v="0"/>
    <n v="0"/>
    <d v="2023-04-24T00:00:00"/>
    <d v="2023-05-08T00:00:00"/>
    <x v="2"/>
    <x v="21"/>
    <n v="983"/>
    <n v="440"/>
    <x v="4"/>
  </r>
  <r>
    <x v="344"/>
    <x v="105"/>
    <x v="3"/>
    <x v="3"/>
    <x v="1"/>
    <x v="0"/>
    <s v="M0007"/>
    <x v="39"/>
    <x v="0"/>
    <x v="2"/>
    <s v="Limpieza general"/>
    <x v="0"/>
    <n v="0"/>
    <d v="2023-04-24T00:00:00"/>
    <d v="2023-04-25T00:00:00"/>
    <x v="2"/>
    <x v="15"/>
    <n v="941"/>
    <n v="980"/>
    <x v="3"/>
  </r>
  <r>
    <x v="345"/>
    <x v="106"/>
    <x v="3"/>
    <x v="3"/>
    <x v="1"/>
    <x v="0"/>
    <s v="M0030"/>
    <x v="35"/>
    <x v="0"/>
    <x v="20"/>
    <s v="Inspección de engranes"/>
    <x v="0"/>
    <n v="0"/>
    <d v="2023-04-25T00:00:00"/>
    <d v="2023-05-16T00:00:00"/>
    <x v="2"/>
    <x v="22"/>
    <n v="897"/>
    <n v="316"/>
    <x v="4"/>
  </r>
  <r>
    <x v="346"/>
    <x v="106"/>
    <x v="3"/>
    <x v="3"/>
    <x v="1"/>
    <x v="0"/>
    <s v="M0040"/>
    <x v="41"/>
    <x v="0"/>
    <x v="14"/>
    <s v="Observación de posibles daños"/>
    <x v="1"/>
    <s v="30 Mensual"/>
    <d v="2023-04-25T00:00:00"/>
    <d v="2023-05-25T00:00:00"/>
    <x v="1"/>
    <x v="0"/>
    <n v="455"/>
    <n v="120"/>
    <x v="1"/>
  </r>
  <r>
    <x v="347"/>
    <x v="106"/>
    <x v="3"/>
    <x v="3"/>
    <x v="1"/>
    <x v="0"/>
    <s v="M0010"/>
    <x v="37"/>
    <x v="0"/>
    <x v="1"/>
    <s v="Observación de posibles daños"/>
    <x v="0"/>
    <n v="0"/>
    <d v="2023-04-25T00:00:00"/>
    <d v="2023-05-04T00:00:00"/>
    <x v="0"/>
    <x v="0"/>
    <n v="0"/>
    <n v="0"/>
    <x v="0"/>
  </r>
  <r>
    <x v="348"/>
    <x v="107"/>
    <x v="3"/>
    <x v="3"/>
    <x v="1"/>
    <x v="0"/>
    <s v="M0001"/>
    <x v="38"/>
    <x v="0"/>
    <x v="25"/>
    <s v="Observación de posibles daños"/>
    <x v="1"/>
    <s v="7 Semanal"/>
    <d v="2023-04-26T00:00:00"/>
    <d v="2023-05-03T00:00:00"/>
    <x v="1"/>
    <x v="0"/>
    <n v="847"/>
    <n v="153"/>
    <x v="1"/>
  </r>
  <r>
    <x v="349"/>
    <x v="107"/>
    <x v="3"/>
    <x v="3"/>
    <x v="1"/>
    <x v="0"/>
    <s v="M0017"/>
    <x v="20"/>
    <x v="0"/>
    <x v="18"/>
    <s v="Inspección y/o reemplazo de tubos de contacto"/>
    <x v="0"/>
    <n v="0"/>
    <d v="2023-04-26T00:00:00"/>
    <d v="2023-05-19T00:00:00"/>
    <x v="0"/>
    <x v="0"/>
    <n v="0"/>
    <n v="0"/>
    <x v="0"/>
  </r>
  <r>
    <x v="350"/>
    <x v="108"/>
    <x v="3"/>
    <x v="3"/>
    <x v="1"/>
    <x v="0"/>
    <s v="M0008"/>
    <x v="26"/>
    <x v="0"/>
    <x v="24"/>
    <s v="Observación de posibles daños"/>
    <x v="1"/>
    <s v="90 Trimestral"/>
    <d v="2023-04-27T00:00:00"/>
    <d v="2023-07-26T00:00:00"/>
    <x v="1"/>
    <x v="0"/>
    <n v="950"/>
    <n v="455"/>
    <x v="1"/>
  </r>
  <r>
    <x v="351"/>
    <x v="108"/>
    <x v="3"/>
    <x v="3"/>
    <x v="1"/>
    <x v="0"/>
    <s v="M0043"/>
    <x v="23"/>
    <x v="3"/>
    <x v="21"/>
    <s v="Ajuste general de máquinas"/>
    <x v="0"/>
    <n v="0"/>
    <d v="2023-04-27T00:00:00"/>
    <d v="2023-05-18T00:00:00"/>
    <x v="0"/>
    <x v="0"/>
    <n v="0"/>
    <n v="0"/>
    <x v="0"/>
  </r>
  <r>
    <x v="352"/>
    <x v="109"/>
    <x v="3"/>
    <x v="3"/>
    <x v="1"/>
    <x v="0"/>
    <s v="M0018"/>
    <x v="0"/>
    <x v="0"/>
    <x v="0"/>
    <s v="Observación de posibles daños"/>
    <x v="1"/>
    <s v="60 Bimestral"/>
    <d v="2023-04-28T00:00:00"/>
    <d v="2023-06-27T00:00:00"/>
    <x v="1"/>
    <x v="0"/>
    <n v="453"/>
    <n v="952"/>
    <x v="1"/>
  </r>
  <r>
    <x v="353"/>
    <x v="110"/>
    <x v="3"/>
    <x v="3"/>
    <x v="1"/>
    <x v="0"/>
    <s v="M0036"/>
    <x v="27"/>
    <x v="0"/>
    <x v="15"/>
    <s v="Inspección de mangeras"/>
    <x v="0"/>
    <n v="0"/>
    <d v="2023-04-29T00:00:00"/>
    <d v="2023-04-30T00:00:00"/>
    <x v="2"/>
    <x v="15"/>
    <n v="532"/>
    <n v="305"/>
    <x v="1"/>
  </r>
  <r>
    <x v="354"/>
    <x v="111"/>
    <x v="3"/>
    <x v="3"/>
    <x v="1"/>
    <x v="0"/>
    <s v="M0019"/>
    <x v="4"/>
    <x v="1"/>
    <x v="5"/>
    <s v="Observación de posibles daños"/>
    <x v="1"/>
    <s v="15 Quincenal"/>
    <d v="2023-04-30T00:00:00"/>
    <d v="2023-05-15T00:00:00"/>
    <x v="1"/>
    <x v="0"/>
    <n v="928"/>
    <n v="131"/>
    <x v="1"/>
  </r>
  <r>
    <x v="355"/>
    <x v="111"/>
    <x v="3"/>
    <x v="3"/>
    <x v="1"/>
    <x v="0"/>
    <s v="M0014"/>
    <x v="19"/>
    <x v="2"/>
    <x v="17"/>
    <s v="Inspección y/o reemplazado de filtros de aceite"/>
    <x v="0"/>
    <n v="0"/>
    <d v="2023-04-30T00:00:00"/>
    <d v="2023-05-15T00:00:00"/>
    <x v="2"/>
    <x v="24"/>
    <n v="1054"/>
    <n v="177"/>
    <x v="4"/>
  </r>
  <r>
    <x v="356"/>
    <x v="111"/>
    <x v="3"/>
    <x v="3"/>
    <x v="1"/>
    <x v="0"/>
    <s v="M0034"/>
    <x v="2"/>
    <x v="0"/>
    <x v="2"/>
    <s v="Inspección de Frenos"/>
    <x v="0"/>
    <n v="0"/>
    <d v="2023-04-30T00:00:00"/>
    <d v="2023-05-12T00:00:00"/>
    <x v="2"/>
    <x v="13"/>
    <n v="762"/>
    <n v="246"/>
    <x v="4"/>
  </r>
  <r>
    <x v="357"/>
    <x v="111"/>
    <x v="3"/>
    <x v="3"/>
    <x v="1"/>
    <x v="0"/>
    <s v="M0014"/>
    <x v="19"/>
    <x v="2"/>
    <x v="17"/>
    <s v="Mantenimiento general"/>
    <x v="0"/>
    <n v="0"/>
    <d v="2023-04-30T00:00:00"/>
    <d v="2023-05-02T00:00:00"/>
    <x v="2"/>
    <x v="16"/>
    <n v="713"/>
    <n v="946"/>
    <x v="2"/>
  </r>
  <r>
    <x v="358"/>
    <x v="112"/>
    <x v="4"/>
    <x v="4"/>
    <x v="1"/>
    <x v="0"/>
    <s v="M0035"/>
    <x v="34"/>
    <x v="0"/>
    <x v="24"/>
    <s v="Observación de posibles daños"/>
    <x v="1"/>
    <s v="90 Trimestral"/>
    <d v="2023-05-01T00:00:00"/>
    <d v="2023-07-30T00:00:00"/>
    <x v="1"/>
    <x v="0"/>
    <n v="273"/>
    <n v="945"/>
    <x v="1"/>
  </r>
  <r>
    <x v="359"/>
    <x v="112"/>
    <x v="4"/>
    <x v="4"/>
    <x v="1"/>
    <x v="0"/>
    <s v="M0021"/>
    <x v="9"/>
    <x v="0"/>
    <x v="9"/>
    <s v="Inspección y/o reemplazado de escobillas"/>
    <x v="0"/>
    <n v="0"/>
    <d v="2023-05-01T00:00:00"/>
    <d v="2023-05-05T00:00:00"/>
    <x v="0"/>
    <x v="0"/>
    <n v="0"/>
    <n v="0"/>
    <x v="0"/>
  </r>
  <r>
    <x v="360"/>
    <x v="112"/>
    <x v="4"/>
    <x v="4"/>
    <x v="1"/>
    <x v="0"/>
    <s v="M0006"/>
    <x v="32"/>
    <x v="0"/>
    <x v="4"/>
    <s v="Observación de posibles daños"/>
    <x v="1"/>
    <s v="90 Trimestral"/>
    <d v="2023-05-01T00:00:00"/>
    <d v="2023-07-30T00:00:00"/>
    <x v="1"/>
    <x v="0"/>
    <n v="263"/>
    <n v="736"/>
    <x v="1"/>
  </r>
  <r>
    <x v="361"/>
    <x v="112"/>
    <x v="4"/>
    <x v="4"/>
    <x v="1"/>
    <x v="0"/>
    <s v="M0011"/>
    <x v="36"/>
    <x v="0"/>
    <x v="26"/>
    <s v="Inspección de nivel de com¿bustible"/>
    <x v="0"/>
    <n v="0"/>
    <d v="2023-05-01T00:00:00"/>
    <d v="2023-05-20T00:00:00"/>
    <x v="0"/>
    <x v="0"/>
    <n v="0"/>
    <n v="0"/>
    <x v="0"/>
  </r>
  <r>
    <x v="362"/>
    <x v="113"/>
    <x v="4"/>
    <x v="4"/>
    <x v="1"/>
    <x v="0"/>
    <s v="M0021"/>
    <x v="9"/>
    <x v="0"/>
    <x v="9"/>
    <s v="Observación de posibles daños"/>
    <x v="1"/>
    <s v="90 Trimestral"/>
    <d v="2023-05-02T00:00:00"/>
    <d v="2023-07-31T00:00:00"/>
    <x v="1"/>
    <x v="0"/>
    <n v="1175"/>
    <n v="735"/>
    <x v="1"/>
  </r>
  <r>
    <x v="363"/>
    <x v="113"/>
    <x v="4"/>
    <x v="4"/>
    <x v="1"/>
    <x v="0"/>
    <s v="M0033"/>
    <x v="0"/>
    <x v="0"/>
    <x v="4"/>
    <s v="Limpieza y ajuste de inyectores"/>
    <x v="0"/>
    <n v="0"/>
    <d v="2023-05-02T00:00:00"/>
    <d v="2023-05-08T00:00:00"/>
    <x v="0"/>
    <x v="0"/>
    <n v="0"/>
    <n v="0"/>
    <x v="0"/>
  </r>
  <r>
    <x v="364"/>
    <x v="113"/>
    <x v="4"/>
    <x v="4"/>
    <x v="1"/>
    <x v="0"/>
    <s v="M0003"/>
    <x v="22"/>
    <x v="2"/>
    <x v="20"/>
    <s v="Limpieza y ajuste de terminales de baterías"/>
    <x v="0"/>
    <n v="0"/>
    <d v="2023-05-02T00:00:00"/>
    <d v="2023-05-05T00:00:00"/>
    <x v="0"/>
    <x v="0"/>
    <n v="0"/>
    <n v="0"/>
    <x v="0"/>
  </r>
  <r>
    <x v="365"/>
    <x v="113"/>
    <x v="4"/>
    <x v="4"/>
    <x v="1"/>
    <x v="0"/>
    <s v="M0008"/>
    <x v="26"/>
    <x v="0"/>
    <x v="24"/>
    <s v="Verificación del sistema de enfriado"/>
    <x v="0"/>
    <n v="0"/>
    <d v="2023-05-02T00:00:00"/>
    <d v="2023-05-31T00:00:00"/>
    <x v="2"/>
    <x v="17"/>
    <n v="229"/>
    <n v="383"/>
    <x v="3"/>
  </r>
  <r>
    <x v="366"/>
    <x v="113"/>
    <x v="4"/>
    <x v="4"/>
    <x v="1"/>
    <x v="0"/>
    <s v="M0015"/>
    <x v="33"/>
    <x v="4"/>
    <x v="10"/>
    <s v="Limpieza de ventilador"/>
    <x v="0"/>
    <n v="0"/>
    <d v="2023-05-02T00:00:00"/>
    <d v="2023-05-06T00:00:00"/>
    <x v="0"/>
    <x v="0"/>
    <n v="0"/>
    <n v="0"/>
    <x v="0"/>
  </r>
  <r>
    <x v="367"/>
    <x v="114"/>
    <x v="4"/>
    <x v="4"/>
    <x v="1"/>
    <x v="0"/>
    <s v="M0006"/>
    <x v="32"/>
    <x v="0"/>
    <x v="4"/>
    <s v="Limpieza general"/>
    <x v="0"/>
    <n v="0"/>
    <d v="2023-05-03T00:00:00"/>
    <d v="2023-05-09T00:00:00"/>
    <x v="0"/>
    <x v="0"/>
    <n v="0"/>
    <n v="0"/>
    <x v="0"/>
  </r>
  <r>
    <x v="368"/>
    <x v="114"/>
    <x v="4"/>
    <x v="4"/>
    <x v="1"/>
    <x v="0"/>
    <s v="M0016"/>
    <x v="31"/>
    <x v="0"/>
    <x v="21"/>
    <s v="Inspección de engranes"/>
    <x v="0"/>
    <n v="0"/>
    <d v="2023-05-03T00:00:00"/>
    <d v="2023-05-05T00:00:00"/>
    <x v="0"/>
    <x v="0"/>
    <n v="0"/>
    <n v="0"/>
    <x v="0"/>
  </r>
  <r>
    <x v="369"/>
    <x v="114"/>
    <x v="4"/>
    <x v="4"/>
    <x v="1"/>
    <x v="0"/>
    <s v="M0022"/>
    <x v="24"/>
    <x v="0"/>
    <x v="22"/>
    <s v="Revisió Ajuste y/o de bandas, correas y poleas"/>
    <x v="0"/>
    <n v="0"/>
    <d v="2023-05-03T00:00:00"/>
    <d v="2023-05-19T00:00:00"/>
    <x v="2"/>
    <x v="7"/>
    <n v="1036"/>
    <n v="305"/>
    <x v="3"/>
  </r>
  <r>
    <x v="370"/>
    <x v="114"/>
    <x v="4"/>
    <x v="4"/>
    <x v="1"/>
    <x v="0"/>
    <s v="M0041"/>
    <x v="28"/>
    <x v="0"/>
    <x v="17"/>
    <s v="Observación de posibles daños"/>
    <x v="1"/>
    <s v="90 Trimestral"/>
    <d v="2023-05-03T00:00:00"/>
    <d v="2023-08-01T00:00:00"/>
    <x v="1"/>
    <x v="0"/>
    <n v="489"/>
    <n v="246"/>
    <x v="1"/>
  </r>
  <r>
    <x v="371"/>
    <x v="114"/>
    <x v="4"/>
    <x v="4"/>
    <x v="1"/>
    <x v="0"/>
    <s v="M0023"/>
    <x v="18"/>
    <x v="0"/>
    <x v="16"/>
    <s v="Inspección y/o reemplazo de boquillas"/>
    <x v="0"/>
    <n v="0"/>
    <d v="2023-05-03T00:00:00"/>
    <d v="2023-05-22T00:00:00"/>
    <x v="0"/>
    <x v="0"/>
    <n v="0"/>
    <n v="0"/>
    <x v="0"/>
  </r>
  <r>
    <x v="372"/>
    <x v="115"/>
    <x v="4"/>
    <x v="4"/>
    <x v="1"/>
    <x v="0"/>
    <s v="M0041"/>
    <x v="28"/>
    <x v="0"/>
    <x v="17"/>
    <s v="Observación de posibles daños"/>
    <x v="1"/>
    <s v="7 Semanal"/>
    <d v="2023-05-04T00:00:00"/>
    <d v="2023-05-11T00:00:00"/>
    <x v="1"/>
    <x v="0"/>
    <n v="655"/>
    <n v="481"/>
    <x v="1"/>
  </r>
  <r>
    <x v="373"/>
    <x v="115"/>
    <x v="4"/>
    <x v="4"/>
    <x v="1"/>
    <x v="0"/>
    <s v="M0023"/>
    <x v="18"/>
    <x v="0"/>
    <x v="16"/>
    <s v="Inspección y/o reemplazo de toderas"/>
    <x v="0"/>
    <n v="0"/>
    <d v="2023-05-04T00:00:00"/>
    <d v="2023-05-15T00:00:00"/>
    <x v="2"/>
    <x v="18"/>
    <n v="757"/>
    <n v="767"/>
    <x v="4"/>
  </r>
  <r>
    <x v="374"/>
    <x v="115"/>
    <x v="4"/>
    <x v="4"/>
    <x v="1"/>
    <x v="0"/>
    <s v="M0010"/>
    <x v="37"/>
    <x v="0"/>
    <x v="1"/>
    <s v="Ajuste general de máquinas"/>
    <x v="0"/>
    <n v="0"/>
    <d v="2023-05-04T00:00:00"/>
    <d v="2023-05-18T00:00:00"/>
    <x v="0"/>
    <x v="0"/>
    <n v="0"/>
    <n v="0"/>
    <x v="0"/>
  </r>
  <r>
    <x v="375"/>
    <x v="115"/>
    <x v="4"/>
    <x v="4"/>
    <x v="1"/>
    <x v="0"/>
    <s v="M0025"/>
    <x v="25"/>
    <x v="2"/>
    <x v="23"/>
    <s v="Inspección de tuberías "/>
    <x v="0"/>
    <n v="0"/>
    <d v="2023-05-04T00:00:00"/>
    <d v="2023-05-07T00:00:00"/>
    <x v="2"/>
    <x v="11"/>
    <n v="436"/>
    <n v="427"/>
    <x v="1"/>
  </r>
  <r>
    <x v="376"/>
    <x v="115"/>
    <x v="4"/>
    <x v="4"/>
    <x v="1"/>
    <x v="0"/>
    <s v="M0040"/>
    <x v="41"/>
    <x v="0"/>
    <x v="14"/>
    <s v="Observación de posibles daños"/>
    <x v="1"/>
    <s v="360 Anual"/>
    <d v="2023-05-04T00:00:00"/>
    <d v="2024-04-28T00:00:00"/>
    <x v="1"/>
    <x v="0"/>
    <n v="685"/>
    <n v="257"/>
    <x v="1"/>
  </r>
  <r>
    <x v="377"/>
    <x v="115"/>
    <x v="4"/>
    <x v="4"/>
    <x v="1"/>
    <x v="0"/>
    <s v="M0009"/>
    <x v="17"/>
    <x v="0"/>
    <x v="15"/>
    <s v="Inspección y/o reemplazado de filtros de aire"/>
    <x v="0"/>
    <n v="0"/>
    <d v="2023-05-04T00:00:00"/>
    <d v="2023-05-19T00:00:00"/>
    <x v="0"/>
    <x v="0"/>
    <n v="0"/>
    <n v="0"/>
    <x v="0"/>
  </r>
  <r>
    <x v="378"/>
    <x v="116"/>
    <x v="4"/>
    <x v="4"/>
    <x v="1"/>
    <x v="0"/>
    <s v="M0039"/>
    <x v="5"/>
    <x v="0"/>
    <x v="3"/>
    <s v="Observación de posibles daños"/>
    <x v="1"/>
    <s v="90 Trimestral"/>
    <d v="2023-05-05T00:00:00"/>
    <d v="2023-08-03T00:00:00"/>
    <x v="1"/>
    <x v="0"/>
    <n v="797"/>
    <n v="871"/>
    <x v="1"/>
  </r>
  <r>
    <x v="379"/>
    <x v="116"/>
    <x v="4"/>
    <x v="4"/>
    <x v="1"/>
    <x v="0"/>
    <s v="M0011"/>
    <x v="36"/>
    <x v="0"/>
    <x v="26"/>
    <s v="Inspección de Frenos"/>
    <x v="0"/>
    <n v="0"/>
    <d v="2023-05-05T00:00:00"/>
    <d v="2023-05-22T00:00:00"/>
    <x v="0"/>
    <x v="0"/>
    <n v="0"/>
    <n v="0"/>
    <x v="0"/>
  </r>
  <r>
    <x v="380"/>
    <x v="116"/>
    <x v="4"/>
    <x v="4"/>
    <x v="1"/>
    <x v="0"/>
    <s v="M0029"/>
    <x v="12"/>
    <x v="3"/>
    <x v="12"/>
    <s v="Mantenimiento general"/>
    <x v="0"/>
    <n v="0"/>
    <d v="2023-05-05T00:00:00"/>
    <d v="2023-05-21T00:00:00"/>
    <x v="0"/>
    <x v="0"/>
    <n v="0"/>
    <n v="0"/>
    <x v="0"/>
  </r>
  <r>
    <x v="381"/>
    <x v="117"/>
    <x v="4"/>
    <x v="4"/>
    <x v="1"/>
    <x v="0"/>
    <s v="M0016"/>
    <x v="31"/>
    <x v="0"/>
    <x v="21"/>
    <s v="Inspección de gases"/>
    <x v="0"/>
    <n v="0"/>
    <d v="2023-05-06T00:00:00"/>
    <d v="2023-05-15T00:00:00"/>
    <x v="0"/>
    <x v="0"/>
    <n v="0"/>
    <n v="0"/>
    <x v="0"/>
  </r>
  <r>
    <x v="382"/>
    <x v="117"/>
    <x v="4"/>
    <x v="4"/>
    <x v="1"/>
    <x v="0"/>
    <s v="M0031"/>
    <x v="7"/>
    <x v="0"/>
    <x v="7"/>
    <s v="Inspección y/o reemplazado de escobillas"/>
    <x v="0"/>
    <n v="0"/>
    <d v="2023-05-06T00:00:00"/>
    <d v="2023-06-02T00:00:00"/>
    <x v="0"/>
    <x v="0"/>
    <n v="0"/>
    <n v="0"/>
    <x v="0"/>
  </r>
  <r>
    <x v="383"/>
    <x v="118"/>
    <x v="4"/>
    <x v="4"/>
    <x v="1"/>
    <x v="0"/>
    <s v="M0037"/>
    <x v="1"/>
    <x v="0"/>
    <x v="1"/>
    <s v="Inspección y/o reemplazado de cuchillas"/>
    <x v="0"/>
    <n v="0"/>
    <d v="2023-05-07T00:00:00"/>
    <d v="2023-05-25T00:00:00"/>
    <x v="0"/>
    <x v="0"/>
    <n v="0"/>
    <n v="0"/>
    <x v="0"/>
  </r>
  <r>
    <x v="384"/>
    <x v="118"/>
    <x v="4"/>
    <x v="4"/>
    <x v="1"/>
    <x v="0"/>
    <s v="M0032"/>
    <x v="14"/>
    <x v="0"/>
    <x v="8"/>
    <s v="Observación de posibles daños"/>
    <x v="1"/>
    <s v="180 Semestral"/>
    <d v="2023-05-07T00:00:00"/>
    <d v="2023-11-03T00:00:00"/>
    <x v="1"/>
    <x v="0"/>
    <n v="360"/>
    <n v="615"/>
    <x v="1"/>
  </r>
  <r>
    <x v="385"/>
    <x v="118"/>
    <x v="4"/>
    <x v="4"/>
    <x v="1"/>
    <x v="0"/>
    <s v="M0007"/>
    <x v="39"/>
    <x v="0"/>
    <x v="2"/>
    <s v="Revisión de válvulas"/>
    <x v="0"/>
    <n v="0"/>
    <d v="2023-05-07T00:00:00"/>
    <d v="2023-06-02T00:00:00"/>
    <x v="2"/>
    <x v="6"/>
    <n v="321"/>
    <n v="293"/>
    <x v="2"/>
  </r>
  <r>
    <x v="386"/>
    <x v="118"/>
    <x v="4"/>
    <x v="4"/>
    <x v="1"/>
    <x v="0"/>
    <s v="M0027"/>
    <x v="6"/>
    <x v="2"/>
    <x v="6"/>
    <s v="Limpieza y ajuste de inyectores"/>
    <x v="0"/>
    <n v="0"/>
    <d v="2023-05-07T00:00:00"/>
    <d v="2023-05-10T00:00:00"/>
    <x v="0"/>
    <x v="0"/>
    <n v="0"/>
    <n v="0"/>
    <x v="0"/>
  </r>
  <r>
    <x v="387"/>
    <x v="119"/>
    <x v="4"/>
    <x v="4"/>
    <x v="1"/>
    <x v="0"/>
    <s v="M0025"/>
    <x v="25"/>
    <x v="2"/>
    <x v="23"/>
    <s v="Limpieza y ajuste de terminales de baterías"/>
    <x v="0"/>
    <n v="0"/>
    <d v="2023-05-08T00:00:00"/>
    <d v="2023-05-11T00:00:00"/>
    <x v="2"/>
    <x v="11"/>
    <n v="293"/>
    <n v="127"/>
    <x v="3"/>
  </r>
  <r>
    <x v="388"/>
    <x v="120"/>
    <x v="4"/>
    <x v="4"/>
    <x v="1"/>
    <x v="0"/>
    <s v="M0005"/>
    <x v="8"/>
    <x v="0"/>
    <x v="8"/>
    <s v="Observación de posibles daños"/>
    <x v="1"/>
    <s v="90 Trimestral"/>
    <d v="2023-05-09T00:00:00"/>
    <d v="2023-08-07T00:00:00"/>
    <x v="1"/>
    <x v="0"/>
    <n v="659"/>
    <n v="603"/>
    <x v="1"/>
  </r>
  <r>
    <x v="389"/>
    <x v="120"/>
    <x v="4"/>
    <x v="4"/>
    <x v="1"/>
    <x v="0"/>
    <s v="M0024"/>
    <x v="21"/>
    <x v="2"/>
    <x v="19"/>
    <s v="Limpieza de ventilador"/>
    <x v="0"/>
    <n v="0"/>
    <d v="2023-05-09T00:00:00"/>
    <d v="2023-05-27T00:00:00"/>
    <x v="0"/>
    <x v="0"/>
    <n v="0"/>
    <n v="0"/>
    <x v="0"/>
  </r>
  <r>
    <x v="390"/>
    <x v="121"/>
    <x v="4"/>
    <x v="4"/>
    <x v="1"/>
    <x v="0"/>
    <s v="M0012"/>
    <x v="3"/>
    <x v="0"/>
    <x v="3"/>
    <s v="Observación de posibles daños"/>
    <x v="1"/>
    <s v="90 Trimestral"/>
    <d v="2023-05-10T00:00:00"/>
    <d v="2023-08-08T00:00:00"/>
    <x v="1"/>
    <x v="0"/>
    <n v="735"/>
    <n v="970"/>
    <x v="1"/>
  </r>
  <r>
    <x v="391"/>
    <x v="121"/>
    <x v="4"/>
    <x v="4"/>
    <x v="1"/>
    <x v="0"/>
    <s v="M0009"/>
    <x v="17"/>
    <x v="0"/>
    <x v="15"/>
    <s v="Inspección de engranes"/>
    <x v="0"/>
    <n v="0"/>
    <d v="2023-05-10T00:00:00"/>
    <d v="2023-06-06T00:00:00"/>
    <x v="0"/>
    <x v="0"/>
    <n v="0"/>
    <n v="0"/>
    <x v="0"/>
  </r>
  <r>
    <x v="392"/>
    <x v="122"/>
    <x v="4"/>
    <x v="4"/>
    <x v="1"/>
    <x v="0"/>
    <s v="M0033"/>
    <x v="0"/>
    <x v="0"/>
    <x v="4"/>
    <s v="Observación de posibles daños"/>
    <x v="1"/>
    <s v="90 Trimestral"/>
    <d v="2023-05-11T00:00:00"/>
    <d v="2023-08-09T00:00:00"/>
    <x v="1"/>
    <x v="0"/>
    <n v="829"/>
    <n v="580"/>
    <x v="1"/>
  </r>
  <r>
    <x v="393"/>
    <x v="122"/>
    <x v="4"/>
    <x v="4"/>
    <x v="1"/>
    <x v="0"/>
    <s v="M0032"/>
    <x v="14"/>
    <x v="0"/>
    <x v="8"/>
    <s v="Observación de posibles daños"/>
    <x v="0"/>
    <n v="0"/>
    <d v="2023-05-11T00:00:00"/>
    <d v="2023-05-14T00:00:00"/>
    <x v="2"/>
    <x v="11"/>
    <n v="1093"/>
    <n v="563"/>
    <x v="4"/>
  </r>
  <r>
    <x v="394"/>
    <x v="122"/>
    <x v="4"/>
    <x v="4"/>
    <x v="1"/>
    <x v="0"/>
    <s v="M0008"/>
    <x v="26"/>
    <x v="0"/>
    <x v="24"/>
    <s v="Observación de posibles daños"/>
    <x v="1"/>
    <s v="30 Mensual"/>
    <d v="2023-05-11T00:00:00"/>
    <d v="2023-06-10T00:00:00"/>
    <x v="1"/>
    <x v="0"/>
    <n v="322"/>
    <n v="934"/>
    <x v="1"/>
  </r>
  <r>
    <x v="395"/>
    <x v="123"/>
    <x v="4"/>
    <x v="4"/>
    <x v="1"/>
    <x v="0"/>
    <s v="M0033"/>
    <x v="0"/>
    <x v="0"/>
    <x v="4"/>
    <s v="Inspección y/o reemplazo de tubos de contacto"/>
    <x v="0"/>
    <n v="0"/>
    <d v="2023-05-12T00:00:00"/>
    <d v="2023-06-03T00:00:00"/>
    <x v="0"/>
    <x v="0"/>
    <n v="0"/>
    <n v="0"/>
    <x v="0"/>
  </r>
  <r>
    <x v="396"/>
    <x v="123"/>
    <x v="4"/>
    <x v="4"/>
    <x v="1"/>
    <x v="0"/>
    <s v="M0006"/>
    <x v="32"/>
    <x v="0"/>
    <x v="4"/>
    <s v="Observación de posibles daños"/>
    <x v="1"/>
    <s v="7 Semanal"/>
    <d v="2023-05-12T00:00:00"/>
    <d v="2023-05-19T00:00:00"/>
    <x v="1"/>
    <x v="0"/>
    <n v="1175"/>
    <n v="483"/>
    <x v="1"/>
  </r>
  <r>
    <x v="397"/>
    <x v="123"/>
    <x v="4"/>
    <x v="4"/>
    <x v="1"/>
    <x v="0"/>
    <s v="M0035"/>
    <x v="34"/>
    <x v="0"/>
    <x v="24"/>
    <s v="Ajuste general de máquinas"/>
    <x v="0"/>
    <n v="0"/>
    <d v="2023-05-12T00:00:00"/>
    <d v="2023-05-31T00:00:00"/>
    <x v="0"/>
    <x v="0"/>
    <n v="0"/>
    <n v="0"/>
    <x v="0"/>
  </r>
  <r>
    <x v="398"/>
    <x v="123"/>
    <x v="4"/>
    <x v="4"/>
    <x v="1"/>
    <x v="0"/>
    <s v="M0015"/>
    <x v="33"/>
    <x v="4"/>
    <x v="10"/>
    <s v="Observación de posibles daños"/>
    <x v="1"/>
    <s v="360 Anual"/>
    <d v="2023-05-12T00:00:00"/>
    <d v="2024-05-06T00:00:00"/>
    <x v="1"/>
    <x v="0"/>
    <n v="903"/>
    <n v="418"/>
    <x v="1"/>
  </r>
  <r>
    <x v="399"/>
    <x v="123"/>
    <x v="4"/>
    <x v="4"/>
    <x v="1"/>
    <x v="0"/>
    <s v="M0018"/>
    <x v="0"/>
    <x v="0"/>
    <x v="0"/>
    <s v="Inspección de mangeras"/>
    <x v="0"/>
    <n v="0"/>
    <d v="2023-05-12T00:00:00"/>
    <d v="2023-05-15T00:00:00"/>
    <x v="0"/>
    <x v="0"/>
    <n v="0"/>
    <n v="0"/>
    <x v="0"/>
  </r>
  <r>
    <x v="400"/>
    <x v="124"/>
    <x v="4"/>
    <x v="4"/>
    <x v="1"/>
    <x v="0"/>
    <s v="M0034"/>
    <x v="2"/>
    <x v="0"/>
    <x v="2"/>
    <s v="Inspección y/o reemplazado de filtros de aire"/>
    <x v="0"/>
    <n v="0"/>
    <d v="2023-05-13T00:00:00"/>
    <d v="2023-05-22T00:00:00"/>
    <x v="2"/>
    <x v="20"/>
    <n v="404"/>
    <n v="488"/>
    <x v="2"/>
  </r>
  <r>
    <x v="401"/>
    <x v="124"/>
    <x v="4"/>
    <x v="4"/>
    <x v="1"/>
    <x v="0"/>
    <s v="M0005"/>
    <x v="8"/>
    <x v="0"/>
    <x v="8"/>
    <s v="Inspección y/o reemplazado de filtros de aceite"/>
    <x v="0"/>
    <n v="0"/>
    <d v="2023-05-13T00:00:00"/>
    <d v="2023-05-17T00:00:00"/>
    <x v="0"/>
    <x v="0"/>
    <n v="0"/>
    <n v="0"/>
    <x v="0"/>
  </r>
  <r>
    <x v="402"/>
    <x v="124"/>
    <x v="4"/>
    <x v="4"/>
    <x v="1"/>
    <x v="0"/>
    <s v="M0019"/>
    <x v="4"/>
    <x v="1"/>
    <x v="5"/>
    <s v="Inspección de Frenos"/>
    <x v="0"/>
    <n v="0"/>
    <d v="2023-05-13T00:00:00"/>
    <d v="2023-05-25T00:00:00"/>
    <x v="0"/>
    <x v="0"/>
    <n v="0"/>
    <n v="0"/>
    <x v="0"/>
  </r>
  <r>
    <x v="403"/>
    <x v="124"/>
    <x v="4"/>
    <x v="4"/>
    <x v="1"/>
    <x v="0"/>
    <s v="M0001"/>
    <x v="38"/>
    <x v="0"/>
    <x v="25"/>
    <s v="Mantenimiento general"/>
    <x v="0"/>
    <n v="0"/>
    <d v="2023-05-13T00:00:00"/>
    <d v="2023-05-17T00:00:00"/>
    <x v="0"/>
    <x v="0"/>
    <n v="0"/>
    <n v="0"/>
    <x v="0"/>
  </r>
  <r>
    <x v="404"/>
    <x v="124"/>
    <x v="4"/>
    <x v="4"/>
    <x v="1"/>
    <x v="0"/>
    <s v="M0010"/>
    <x v="37"/>
    <x v="0"/>
    <x v="1"/>
    <s v="Inspección de gases"/>
    <x v="0"/>
    <n v="0"/>
    <d v="2023-05-13T00:00:00"/>
    <d v="2023-06-01T00:00:00"/>
    <x v="2"/>
    <x v="27"/>
    <n v="514"/>
    <n v="988"/>
    <x v="4"/>
  </r>
  <r>
    <x v="405"/>
    <x v="125"/>
    <x v="4"/>
    <x v="4"/>
    <x v="1"/>
    <x v="0"/>
    <s v="M0012"/>
    <x v="3"/>
    <x v="0"/>
    <x v="3"/>
    <s v="Inspección y/o reemplazado de escobillas"/>
    <x v="0"/>
    <n v="0"/>
    <d v="2023-05-14T00:00:00"/>
    <d v="2023-06-08T00:00:00"/>
    <x v="2"/>
    <x v="2"/>
    <n v="900"/>
    <n v="952"/>
    <x v="2"/>
  </r>
  <r>
    <x v="406"/>
    <x v="125"/>
    <x v="4"/>
    <x v="4"/>
    <x v="1"/>
    <x v="0"/>
    <s v="M0018"/>
    <x v="0"/>
    <x v="0"/>
    <x v="0"/>
    <s v="Inspección y/o reemplazado de cuchillas"/>
    <x v="0"/>
    <n v="0"/>
    <d v="2023-05-14T00:00:00"/>
    <d v="2023-05-18T00:00:00"/>
    <x v="0"/>
    <x v="0"/>
    <n v="0"/>
    <n v="0"/>
    <x v="0"/>
  </r>
  <r>
    <x v="407"/>
    <x v="125"/>
    <x v="4"/>
    <x v="4"/>
    <x v="1"/>
    <x v="0"/>
    <s v="M0021"/>
    <x v="9"/>
    <x v="0"/>
    <x v="9"/>
    <s v="Inspección de nivel de com¿bustible"/>
    <x v="0"/>
    <n v="0"/>
    <d v="2023-05-14T00:00:00"/>
    <d v="2023-06-03T00:00:00"/>
    <x v="2"/>
    <x v="26"/>
    <n v="410"/>
    <n v="988"/>
    <x v="4"/>
  </r>
  <r>
    <x v="408"/>
    <x v="125"/>
    <x v="4"/>
    <x v="4"/>
    <x v="1"/>
    <x v="0"/>
    <s v="M0020"/>
    <x v="13"/>
    <x v="0"/>
    <x v="13"/>
    <s v="Observación de posibles daños"/>
    <x v="1"/>
    <s v="60 Bimestral"/>
    <d v="2023-05-14T00:00:00"/>
    <d v="2023-07-13T00:00:00"/>
    <x v="1"/>
    <x v="0"/>
    <n v="967"/>
    <n v="544"/>
    <x v="1"/>
  </r>
  <r>
    <x v="409"/>
    <x v="125"/>
    <x v="4"/>
    <x v="4"/>
    <x v="1"/>
    <x v="0"/>
    <s v="M0025"/>
    <x v="25"/>
    <x v="2"/>
    <x v="23"/>
    <s v="Limpieza y ajuste de inyectores"/>
    <x v="0"/>
    <n v="0"/>
    <d v="2023-05-14T00:00:00"/>
    <d v="2023-06-09T00:00:00"/>
    <x v="0"/>
    <x v="0"/>
    <n v="0"/>
    <n v="0"/>
    <x v="0"/>
  </r>
  <r>
    <x v="410"/>
    <x v="126"/>
    <x v="4"/>
    <x v="4"/>
    <x v="1"/>
    <x v="0"/>
    <s v="M0042"/>
    <x v="10"/>
    <x v="2"/>
    <x v="10"/>
    <s v="Observación de posibles daños"/>
    <x v="1"/>
    <s v="15 Quincenal"/>
    <d v="2023-05-15T00:00:00"/>
    <d v="2023-05-30T00:00:00"/>
    <x v="1"/>
    <x v="0"/>
    <n v="789"/>
    <n v="907"/>
    <x v="1"/>
  </r>
  <r>
    <x v="411"/>
    <x v="126"/>
    <x v="4"/>
    <x v="4"/>
    <x v="1"/>
    <x v="0"/>
    <s v="M0033"/>
    <x v="0"/>
    <x v="0"/>
    <x v="4"/>
    <s v="Verificación del sistema de enfriado"/>
    <x v="0"/>
    <n v="0"/>
    <d v="2023-05-15T00:00:00"/>
    <d v="2023-05-24T00:00:00"/>
    <x v="2"/>
    <x v="20"/>
    <n v="488"/>
    <n v="464"/>
    <x v="2"/>
  </r>
  <r>
    <x v="412"/>
    <x v="126"/>
    <x v="4"/>
    <x v="4"/>
    <x v="1"/>
    <x v="0"/>
    <s v="M0014"/>
    <x v="19"/>
    <x v="2"/>
    <x v="17"/>
    <s v="Limpieza de ventilador"/>
    <x v="0"/>
    <n v="0"/>
    <d v="2023-05-15T00:00:00"/>
    <d v="2023-05-18T00:00:00"/>
    <x v="0"/>
    <x v="0"/>
    <n v="0"/>
    <n v="0"/>
    <x v="0"/>
  </r>
  <r>
    <x v="413"/>
    <x v="127"/>
    <x v="4"/>
    <x v="4"/>
    <x v="1"/>
    <x v="0"/>
    <s v="M0016"/>
    <x v="31"/>
    <x v="0"/>
    <x v="21"/>
    <s v="Limpieza general"/>
    <x v="0"/>
    <n v="0"/>
    <d v="2023-05-16T00:00:00"/>
    <d v="2023-06-14T00:00:00"/>
    <x v="2"/>
    <x v="17"/>
    <n v="1049"/>
    <n v="352"/>
    <x v="3"/>
  </r>
  <r>
    <x v="414"/>
    <x v="127"/>
    <x v="4"/>
    <x v="4"/>
    <x v="1"/>
    <x v="0"/>
    <s v="M0042"/>
    <x v="10"/>
    <x v="2"/>
    <x v="10"/>
    <s v="Inspección de engranes"/>
    <x v="0"/>
    <n v="0"/>
    <d v="2023-05-16T00:00:00"/>
    <d v="2023-05-29T00:00:00"/>
    <x v="0"/>
    <x v="0"/>
    <n v="0"/>
    <n v="0"/>
    <x v="0"/>
  </r>
  <r>
    <x v="415"/>
    <x v="128"/>
    <x v="4"/>
    <x v="4"/>
    <x v="1"/>
    <x v="0"/>
    <s v="M0007"/>
    <x v="39"/>
    <x v="0"/>
    <x v="2"/>
    <s v="Revisió Ajuste y/o de bandas, correas y poleas"/>
    <x v="0"/>
    <n v="0"/>
    <d v="2023-05-17T00:00:00"/>
    <d v="2023-05-27T00:00:00"/>
    <x v="0"/>
    <x v="0"/>
    <n v="0"/>
    <n v="0"/>
    <x v="0"/>
  </r>
  <r>
    <x v="416"/>
    <x v="128"/>
    <x v="4"/>
    <x v="4"/>
    <x v="1"/>
    <x v="0"/>
    <s v="M0018"/>
    <x v="0"/>
    <x v="0"/>
    <x v="0"/>
    <s v="Observación de posibles daños"/>
    <x v="0"/>
    <n v="0"/>
    <d v="2023-05-17T00:00:00"/>
    <d v="2023-06-01T00:00:00"/>
    <x v="2"/>
    <x v="24"/>
    <n v="345"/>
    <n v="311"/>
    <x v="2"/>
  </r>
  <r>
    <x v="417"/>
    <x v="128"/>
    <x v="4"/>
    <x v="4"/>
    <x v="1"/>
    <x v="0"/>
    <s v="M0011"/>
    <x v="36"/>
    <x v="0"/>
    <x v="26"/>
    <s v="Inspección y/o reemplazo de boquillas"/>
    <x v="0"/>
    <n v="0"/>
    <d v="2023-05-17T00:00:00"/>
    <d v="2023-05-23T00:00:00"/>
    <x v="0"/>
    <x v="0"/>
    <n v="0"/>
    <n v="0"/>
    <x v="0"/>
  </r>
  <r>
    <x v="418"/>
    <x v="128"/>
    <x v="4"/>
    <x v="4"/>
    <x v="1"/>
    <x v="0"/>
    <s v="M0014"/>
    <x v="19"/>
    <x v="2"/>
    <x v="17"/>
    <s v="Observación de posibles daños"/>
    <x v="1"/>
    <s v="60 Bimestral"/>
    <d v="2023-05-17T00:00:00"/>
    <d v="2023-07-16T00:00:00"/>
    <x v="1"/>
    <x v="0"/>
    <n v="345"/>
    <n v="757"/>
    <x v="1"/>
  </r>
  <r>
    <x v="419"/>
    <x v="128"/>
    <x v="4"/>
    <x v="4"/>
    <x v="1"/>
    <x v="0"/>
    <s v="M0032"/>
    <x v="14"/>
    <x v="0"/>
    <x v="8"/>
    <s v="Inspección y/o reemplazo de toderas"/>
    <x v="0"/>
    <n v="0"/>
    <d v="2023-05-17T00:00:00"/>
    <d v="2023-06-04T00:00:00"/>
    <x v="2"/>
    <x v="5"/>
    <n v="246"/>
    <n v="916"/>
    <x v="4"/>
  </r>
  <r>
    <x v="420"/>
    <x v="128"/>
    <x v="4"/>
    <x v="4"/>
    <x v="1"/>
    <x v="0"/>
    <s v="M0037"/>
    <x v="1"/>
    <x v="0"/>
    <x v="1"/>
    <s v="Observación de posibles daños"/>
    <x v="1"/>
    <s v="7 Semanal"/>
    <d v="2023-05-17T00:00:00"/>
    <d v="2023-05-24T00:00:00"/>
    <x v="1"/>
    <x v="0"/>
    <n v="1013"/>
    <n v="733"/>
    <x v="1"/>
  </r>
  <r>
    <x v="421"/>
    <x v="129"/>
    <x v="4"/>
    <x v="4"/>
    <x v="1"/>
    <x v="0"/>
    <s v="M0019"/>
    <x v="4"/>
    <x v="1"/>
    <x v="5"/>
    <s v="Inspección de tuberías "/>
    <x v="0"/>
    <n v="0"/>
    <d v="2023-05-18T00:00:00"/>
    <d v="2023-06-11T00:00:00"/>
    <x v="0"/>
    <x v="0"/>
    <n v="0"/>
    <n v="0"/>
    <x v="0"/>
  </r>
  <r>
    <x v="422"/>
    <x v="130"/>
    <x v="4"/>
    <x v="4"/>
    <x v="1"/>
    <x v="0"/>
    <s v="M0021"/>
    <x v="9"/>
    <x v="0"/>
    <x v="9"/>
    <s v="Observación de posibles daños"/>
    <x v="1"/>
    <s v="7 Semanal"/>
    <d v="2023-05-19T00:00:00"/>
    <d v="2023-05-26T00:00:00"/>
    <x v="1"/>
    <x v="0"/>
    <n v="815"/>
    <n v="349"/>
    <x v="1"/>
  </r>
  <r>
    <x v="423"/>
    <x v="130"/>
    <x v="4"/>
    <x v="4"/>
    <x v="1"/>
    <x v="0"/>
    <s v="M0008"/>
    <x v="26"/>
    <x v="0"/>
    <x v="24"/>
    <s v="Inspección y/o reemplazado de filtros de aire"/>
    <x v="0"/>
    <n v="0"/>
    <d v="2023-05-19T00:00:00"/>
    <d v="2023-05-22T00:00:00"/>
    <x v="0"/>
    <x v="0"/>
    <n v="0"/>
    <n v="0"/>
    <x v="0"/>
  </r>
  <r>
    <x v="424"/>
    <x v="130"/>
    <x v="4"/>
    <x v="4"/>
    <x v="1"/>
    <x v="0"/>
    <s v="M0028"/>
    <x v="29"/>
    <x v="0"/>
    <x v="25"/>
    <s v="Inspección y/o reemplazado de filtros de aceite"/>
    <x v="0"/>
    <n v="0"/>
    <d v="2023-05-19T00:00:00"/>
    <d v="2023-05-28T00:00:00"/>
    <x v="0"/>
    <x v="0"/>
    <n v="0"/>
    <n v="0"/>
    <x v="0"/>
  </r>
  <r>
    <x v="425"/>
    <x v="130"/>
    <x v="4"/>
    <x v="4"/>
    <x v="1"/>
    <x v="0"/>
    <s v="M0003"/>
    <x v="22"/>
    <x v="2"/>
    <x v="20"/>
    <s v="Inspección de Frenos"/>
    <x v="0"/>
    <n v="0"/>
    <d v="2023-05-19T00:00:00"/>
    <d v="2023-06-18T00:00:00"/>
    <x v="0"/>
    <x v="0"/>
    <n v="0"/>
    <n v="0"/>
    <x v="0"/>
  </r>
  <r>
    <x v="426"/>
    <x v="130"/>
    <x v="4"/>
    <x v="4"/>
    <x v="1"/>
    <x v="0"/>
    <s v="M0025"/>
    <x v="25"/>
    <x v="2"/>
    <x v="23"/>
    <s v="Observación de posibles daños"/>
    <x v="1"/>
    <s v="60 Bimestral"/>
    <d v="2023-05-19T00:00:00"/>
    <d v="2023-07-18T00:00:00"/>
    <x v="1"/>
    <x v="0"/>
    <n v="1012"/>
    <n v="291"/>
    <x v="1"/>
  </r>
  <r>
    <x v="427"/>
    <x v="131"/>
    <x v="4"/>
    <x v="4"/>
    <x v="1"/>
    <x v="0"/>
    <s v="M0043"/>
    <x v="23"/>
    <x v="3"/>
    <x v="21"/>
    <s v="Inspección de gases"/>
    <x v="0"/>
    <n v="0"/>
    <d v="2023-05-20T00:00:00"/>
    <d v="2023-05-29T00:00:00"/>
    <x v="2"/>
    <x v="20"/>
    <n v="933"/>
    <n v="792"/>
    <x v="3"/>
  </r>
  <r>
    <x v="428"/>
    <x v="131"/>
    <x v="4"/>
    <x v="4"/>
    <x v="1"/>
    <x v="0"/>
    <s v="M0025"/>
    <x v="25"/>
    <x v="2"/>
    <x v="23"/>
    <s v="Observación de posibles daños"/>
    <x v="1"/>
    <s v="360 Anual"/>
    <d v="2023-05-20T00:00:00"/>
    <d v="2024-05-14T00:00:00"/>
    <x v="1"/>
    <x v="0"/>
    <n v="1164"/>
    <n v="237"/>
    <x v="1"/>
  </r>
  <r>
    <x v="429"/>
    <x v="131"/>
    <x v="4"/>
    <x v="4"/>
    <x v="1"/>
    <x v="0"/>
    <s v="M0027"/>
    <x v="6"/>
    <x v="2"/>
    <x v="6"/>
    <s v="Inspección y/o reemplazado de cuchillas"/>
    <x v="0"/>
    <n v="0"/>
    <d v="2023-05-20T00:00:00"/>
    <d v="2023-06-03T00:00:00"/>
    <x v="0"/>
    <x v="0"/>
    <n v="0"/>
    <n v="0"/>
    <x v="0"/>
  </r>
  <r>
    <x v="430"/>
    <x v="132"/>
    <x v="4"/>
    <x v="4"/>
    <x v="1"/>
    <x v="0"/>
    <s v="M0031"/>
    <x v="7"/>
    <x v="0"/>
    <x v="7"/>
    <s v="Inspección de nivel de com¿bustible"/>
    <x v="0"/>
    <n v="0"/>
    <d v="2023-05-21T00:00:00"/>
    <d v="2023-06-04T00:00:00"/>
    <x v="0"/>
    <x v="0"/>
    <n v="0"/>
    <n v="0"/>
    <x v="0"/>
  </r>
  <r>
    <x v="431"/>
    <x v="133"/>
    <x v="4"/>
    <x v="4"/>
    <x v="1"/>
    <x v="0"/>
    <s v="M0004"/>
    <x v="40"/>
    <x v="2"/>
    <x v="7"/>
    <s v="Revisión de válvulas"/>
    <x v="0"/>
    <n v="0"/>
    <d v="2023-05-22T00:00:00"/>
    <d v="2023-06-16T00:00:00"/>
    <x v="2"/>
    <x v="2"/>
    <n v="623"/>
    <n v="145"/>
    <x v="1"/>
  </r>
  <r>
    <x v="432"/>
    <x v="134"/>
    <x v="4"/>
    <x v="4"/>
    <x v="1"/>
    <x v="0"/>
    <s v="M0043"/>
    <x v="23"/>
    <x v="3"/>
    <x v="21"/>
    <s v="Limpieza y ajuste de inyectores"/>
    <x v="0"/>
    <n v="0"/>
    <d v="2023-05-23T00:00:00"/>
    <d v="2023-06-02T00:00:00"/>
    <x v="0"/>
    <x v="0"/>
    <n v="0"/>
    <n v="0"/>
    <x v="0"/>
  </r>
  <r>
    <x v="433"/>
    <x v="134"/>
    <x v="4"/>
    <x v="4"/>
    <x v="1"/>
    <x v="0"/>
    <s v="M0003"/>
    <x v="22"/>
    <x v="2"/>
    <x v="20"/>
    <s v="Limpieza y ajuste de terminales de baterías"/>
    <x v="0"/>
    <n v="0"/>
    <d v="2023-05-23T00:00:00"/>
    <d v="2023-05-28T00:00:00"/>
    <x v="2"/>
    <x v="9"/>
    <n v="368"/>
    <n v="428"/>
    <x v="4"/>
  </r>
  <r>
    <x v="434"/>
    <x v="134"/>
    <x v="4"/>
    <x v="4"/>
    <x v="1"/>
    <x v="0"/>
    <s v="M0022"/>
    <x v="24"/>
    <x v="0"/>
    <x v="22"/>
    <s v="Verificación del sistema de enfriado"/>
    <x v="0"/>
    <n v="0"/>
    <d v="2023-05-23T00:00:00"/>
    <d v="2023-06-10T00:00:00"/>
    <x v="2"/>
    <x v="5"/>
    <n v="539"/>
    <n v="720"/>
    <x v="3"/>
  </r>
  <r>
    <x v="435"/>
    <x v="134"/>
    <x v="4"/>
    <x v="4"/>
    <x v="1"/>
    <x v="0"/>
    <s v="M0028"/>
    <x v="29"/>
    <x v="0"/>
    <x v="25"/>
    <s v="Limpieza de ventilador"/>
    <x v="0"/>
    <n v="0"/>
    <d v="2023-05-23T00:00:00"/>
    <d v="2023-06-02T00:00:00"/>
    <x v="0"/>
    <x v="0"/>
    <n v="0"/>
    <n v="0"/>
    <x v="0"/>
  </r>
  <r>
    <x v="436"/>
    <x v="134"/>
    <x v="4"/>
    <x v="4"/>
    <x v="1"/>
    <x v="0"/>
    <s v="M0030"/>
    <x v="35"/>
    <x v="0"/>
    <x v="20"/>
    <s v="Observación de posibles daños"/>
    <x v="1"/>
    <s v="30 Mensual"/>
    <d v="2023-05-23T00:00:00"/>
    <d v="2023-06-22T00:00:00"/>
    <x v="1"/>
    <x v="0"/>
    <n v="1042"/>
    <n v="637"/>
    <x v="1"/>
  </r>
  <r>
    <x v="437"/>
    <x v="134"/>
    <x v="4"/>
    <x v="4"/>
    <x v="1"/>
    <x v="0"/>
    <s v="M0019"/>
    <x v="4"/>
    <x v="1"/>
    <x v="5"/>
    <s v="Inspección de engranes"/>
    <x v="0"/>
    <n v="0"/>
    <d v="2023-05-23T00:00:00"/>
    <d v="2023-06-11T00:00:00"/>
    <x v="2"/>
    <x v="27"/>
    <n v="759"/>
    <n v="249"/>
    <x v="2"/>
  </r>
  <r>
    <x v="438"/>
    <x v="134"/>
    <x v="4"/>
    <x v="4"/>
    <x v="1"/>
    <x v="0"/>
    <s v="M0002"/>
    <x v="16"/>
    <x v="0"/>
    <x v="12"/>
    <s v="Revisió Ajuste y/o de bandas, correas y poleas"/>
    <x v="0"/>
    <n v="0"/>
    <d v="2023-05-23T00:00:00"/>
    <d v="2023-06-18T00:00:00"/>
    <x v="0"/>
    <x v="0"/>
    <n v="0"/>
    <n v="0"/>
    <x v="0"/>
  </r>
  <r>
    <x v="439"/>
    <x v="135"/>
    <x v="4"/>
    <x v="4"/>
    <x v="1"/>
    <x v="0"/>
    <s v="M0028"/>
    <x v="29"/>
    <x v="0"/>
    <x v="25"/>
    <s v="Observación de posibles daños"/>
    <x v="0"/>
    <n v="0"/>
    <d v="2023-05-24T00:00:00"/>
    <d v="2023-06-08T00:00:00"/>
    <x v="0"/>
    <x v="0"/>
    <n v="0"/>
    <n v="0"/>
    <x v="0"/>
  </r>
  <r>
    <x v="440"/>
    <x v="135"/>
    <x v="4"/>
    <x v="4"/>
    <x v="1"/>
    <x v="0"/>
    <s v="M0037"/>
    <x v="1"/>
    <x v="0"/>
    <x v="1"/>
    <s v="Inspección y/o reemplazo de boquillas"/>
    <x v="0"/>
    <n v="0"/>
    <d v="2023-05-24T00:00:00"/>
    <d v="2023-06-14T00:00:00"/>
    <x v="0"/>
    <x v="0"/>
    <n v="0"/>
    <n v="0"/>
    <x v="0"/>
  </r>
  <r>
    <x v="441"/>
    <x v="135"/>
    <x v="4"/>
    <x v="4"/>
    <x v="1"/>
    <x v="0"/>
    <s v="M0033"/>
    <x v="0"/>
    <x v="0"/>
    <x v="4"/>
    <s v="Inspección y/o reemplazo de tubos de contacto"/>
    <x v="0"/>
    <n v="0"/>
    <d v="2023-05-24T00:00:00"/>
    <d v="2023-06-20T00:00:00"/>
    <x v="0"/>
    <x v="0"/>
    <n v="0"/>
    <n v="0"/>
    <x v="0"/>
  </r>
  <r>
    <x v="442"/>
    <x v="136"/>
    <x v="4"/>
    <x v="4"/>
    <x v="1"/>
    <x v="0"/>
    <s v="M0002"/>
    <x v="16"/>
    <x v="0"/>
    <x v="12"/>
    <s v="Inspección y/o reemplazo de toderas"/>
    <x v="0"/>
    <n v="0"/>
    <d v="2023-05-25T00:00:00"/>
    <d v="2023-06-12T00:00:00"/>
    <x v="2"/>
    <x v="5"/>
    <n v="881"/>
    <n v="834"/>
    <x v="4"/>
  </r>
  <r>
    <x v="443"/>
    <x v="136"/>
    <x v="4"/>
    <x v="4"/>
    <x v="1"/>
    <x v="0"/>
    <s v="M0021"/>
    <x v="9"/>
    <x v="0"/>
    <x v="9"/>
    <s v="Ajuste general de máquinas"/>
    <x v="0"/>
    <n v="0"/>
    <d v="2023-05-25T00:00:00"/>
    <d v="2023-06-06T00:00:00"/>
    <x v="0"/>
    <x v="0"/>
    <n v="0"/>
    <n v="0"/>
    <x v="0"/>
  </r>
  <r>
    <x v="444"/>
    <x v="136"/>
    <x v="4"/>
    <x v="4"/>
    <x v="1"/>
    <x v="0"/>
    <s v="M0031"/>
    <x v="7"/>
    <x v="0"/>
    <x v="7"/>
    <s v="Inspección de tuberías "/>
    <x v="0"/>
    <n v="0"/>
    <d v="2023-05-25T00:00:00"/>
    <d v="2023-06-20T00:00:00"/>
    <x v="2"/>
    <x v="6"/>
    <n v="725"/>
    <n v="811"/>
    <x v="2"/>
  </r>
  <r>
    <x v="445"/>
    <x v="137"/>
    <x v="4"/>
    <x v="4"/>
    <x v="1"/>
    <x v="0"/>
    <s v="M0033"/>
    <x v="0"/>
    <x v="0"/>
    <x v="4"/>
    <s v="Inspección de mangeras"/>
    <x v="0"/>
    <n v="0"/>
    <d v="2023-05-26T00:00:00"/>
    <d v="2023-06-24T00:00:00"/>
    <x v="0"/>
    <x v="0"/>
    <n v="0"/>
    <n v="0"/>
    <x v="0"/>
  </r>
  <r>
    <x v="446"/>
    <x v="137"/>
    <x v="4"/>
    <x v="4"/>
    <x v="1"/>
    <x v="0"/>
    <s v="M0030"/>
    <x v="35"/>
    <x v="0"/>
    <x v="20"/>
    <s v="Observación de posibles daños"/>
    <x v="1"/>
    <s v="7 Semanal"/>
    <d v="2023-05-26T00:00:00"/>
    <d v="2023-06-02T00:00:00"/>
    <x v="1"/>
    <x v="0"/>
    <n v="479"/>
    <n v="844"/>
    <x v="1"/>
  </r>
  <r>
    <x v="447"/>
    <x v="137"/>
    <x v="4"/>
    <x v="4"/>
    <x v="1"/>
    <x v="0"/>
    <s v="M0009"/>
    <x v="17"/>
    <x v="0"/>
    <x v="15"/>
    <s v="Inspección y/o reemplazado de filtros de aceite"/>
    <x v="0"/>
    <n v="0"/>
    <d v="2023-05-26T00:00:00"/>
    <d v="2023-06-10T00:00:00"/>
    <x v="0"/>
    <x v="0"/>
    <n v="0"/>
    <n v="0"/>
    <x v="0"/>
  </r>
  <r>
    <x v="448"/>
    <x v="137"/>
    <x v="4"/>
    <x v="4"/>
    <x v="1"/>
    <x v="0"/>
    <s v="M0006"/>
    <x v="32"/>
    <x v="0"/>
    <x v="4"/>
    <s v="Inspección de Frenos"/>
    <x v="0"/>
    <n v="0"/>
    <d v="2023-05-26T00:00:00"/>
    <d v="2023-06-16T00:00:00"/>
    <x v="2"/>
    <x v="22"/>
    <n v="820"/>
    <n v="104"/>
    <x v="4"/>
  </r>
  <r>
    <x v="449"/>
    <x v="138"/>
    <x v="4"/>
    <x v="4"/>
    <x v="1"/>
    <x v="0"/>
    <s v="M0025"/>
    <x v="25"/>
    <x v="2"/>
    <x v="23"/>
    <s v="Mantenimiento general"/>
    <x v="0"/>
    <n v="0"/>
    <d v="2023-05-27T00:00:00"/>
    <d v="2023-06-20T00:00:00"/>
    <x v="2"/>
    <x v="25"/>
    <n v="984"/>
    <n v="299"/>
    <x v="3"/>
  </r>
  <r>
    <x v="450"/>
    <x v="138"/>
    <x v="4"/>
    <x v="4"/>
    <x v="1"/>
    <x v="0"/>
    <s v="M0020"/>
    <x v="13"/>
    <x v="0"/>
    <x v="13"/>
    <s v="Observación de posibles daños"/>
    <x v="1"/>
    <s v="7 Semanal"/>
    <d v="2023-05-27T00:00:00"/>
    <d v="2023-06-03T00:00:00"/>
    <x v="1"/>
    <x v="0"/>
    <n v="889"/>
    <n v="307"/>
    <x v="1"/>
  </r>
  <r>
    <x v="451"/>
    <x v="138"/>
    <x v="4"/>
    <x v="4"/>
    <x v="1"/>
    <x v="0"/>
    <s v="M0028"/>
    <x v="29"/>
    <x v="0"/>
    <x v="25"/>
    <s v="Inspección y/o reemplazado de escobillas"/>
    <x v="0"/>
    <n v="0"/>
    <d v="2023-05-27T00:00:00"/>
    <d v="2023-06-25T00:00:00"/>
    <x v="2"/>
    <x v="17"/>
    <n v="406"/>
    <n v="162"/>
    <x v="1"/>
  </r>
  <r>
    <x v="452"/>
    <x v="138"/>
    <x v="4"/>
    <x v="4"/>
    <x v="1"/>
    <x v="0"/>
    <s v="M0026"/>
    <x v="11"/>
    <x v="2"/>
    <x v="11"/>
    <s v="Inspección y/o reemplazado de cuchillas"/>
    <x v="0"/>
    <n v="0"/>
    <d v="2023-05-27T00:00:00"/>
    <d v="2023-06-05T00:00:00"/>
    <x v="2"/>
    <x v="20"/>
    <n v="519"/>
    <n v="515"/>
    <x v="4"/>
  </r>
  <r>
    <x v="453"/>
    <x v="139"/>
    <x v="4"/>
    <x v="4"/>
    <x v="1"/>
    <x v="0"/>
    <s v="M0037"/>
    <x v="1"/>
    <x v="0"/>
    <x v="1"/>
    <s v="Inspección de nivel de com¿bustible"/>
    <x v="0"/>
    <n v="0"/>
    <d v="2023-05-28T00:00:00"/>
    <d v="2023-06-14T00:00:00"/>
    <x v="0"/>
    <x v="0"/>
    <n v="0"/>
    <n v="0"/>
    <x v="0"/>
  </r>
  <r>
    <x v="454"/>
    <x v="139"/>
    <x v="4"/>
    <x v="4"/>
    <x v="1"/>
    <x v="0"/>
    <s v="M0011"/>
    <x v="36"/>
    <x v="0"/>
    <x v="26"/>
    <s v="Revisión de válvulas"/>
    <x v="0"/>
    <n v="0"/>
    <d v="2023-05-28T00:00:00"/>
    <d v="2023-06-02T00:00:00"/>
    <x v="0"/>
    <x v="0"/>
    <n v="0"/>
    <n v="0"/>
    <x v="0"/>
  </r>
  <r>
    <x v="455"/>
    <x v="139"/>
    <x v="4"/>
    <x v="4"/>
    <x v="1"/>
    <x v="0"/>
    <s v="M0036"/>
    <x v="27"/>
    <x v="0"/>
    <x v="15"/>
    <s v="Limpieza y ajuste de inyectores"/>
    <x v="0"/>
    <n v="0"/>
    <d v="2023-05-28T00:00:00"/>
    <d v="2023-06-08T00:00:00"/>
    <x v="2"/>
    <x v="18"/>
    <n v="259"/>
    <n v="876"/>
    <x v="2"/>
  </r>
  <r>
    <x v="456"/>
    <x v="139"/>
    <x v="4"/>
    <x v="4"/>
    <x v="1"/>
    <x v="0"/>
    <s v="M0029"/>
    <x v="12"/>
    <x v="3"/>
    <x v="12"/>
    <s v="Observación de posibles daños"/>
    <x v="1"/>
    <s v="60 Bimestral"/>
    <d v="2023-05-28T00:00:00"/>
    <d v="2023-07-27T00:00:00"/>
    <x v="1"/>
    <x v="0"/>
    <n v="1013"/>
    <n v="449"/>
    <x v="1"/>
  </r>
  <r>
    <x v="457"/>
    <x v="140"/>
    <x v="4"/>
    <x v="4"/>
    <x v="1"/>
    <x v="0"/>
    <s v="M0020"/>
    <x v="13"/>
    <x v="0"/>
    <x v="13"/>
    <s v="Verificación del sistema de enfriado"/>
    <x v="0"/>
    <n v="0"/>
    <d v="2023-05-29T00:00:00"/>
    <d v="2023-06-05T00:00:00"/>
    <x v="2"/>
    <x v="4"/>
    <n v="876"/>
    <n v="642"/>
    <x v="2"/>
  </r>
  <r>
    <x v="458"/>
    <x v="140"/>
    <x v="4"/>
    <x v="4"/>
    <x v="1"/>
    <x v="0"/>
    <s v="M0040"/>
    <x v="41"/>
    <x v="0"/>
    <x v="14"/>
    <s v="Observación de posibles daños"/>
    <x v="1"/>
    <s v="360 Anual"/>
    <d v="2023-05-29T00:00:00"/>
    <d v="2024-05-23T00:00:00"/>
    <x v="1"/>
    <x v="0"/>
    <n v="960"/>
    <n v="575"/>
    <x v="1"/>
  </r>
  <r>
    <x v="459"/>
    <x v="140"/>
    <x v="4"/>
    <x v="4"/>
    <x v="1"/>
    <x v="0"/>
    <s v="M0029"/>
    <x v="12"/>
    <x v="3"/>
    <x v="12"/>
    <s v="Limpieza general"/>
    <x v="0"/>
    <n v="0"/>
    <d v="2023-05-29T00:00:00"/>
    <d v="2023-06-26T00:00:00"/>
    <x v="2"/>
    <x v="3"/>
    <n v="1001"/>
    <n v="579"/>
    <x v="4"/>
  </r>
  <r>
    <x v="460"/>
    <x v="141"/>
    <x v="4"/>
    <x v="4"/>
    <x v="1"/>
    <x v="0"/>
    <s v="M0018"/>
    <x v="0"/>
    <x v="0"/>
    <x v="0"/>
    <s v="Inspección de engranes"/>
    <x v="0"/>
    <n v="0"/>
    <d v="2023-05-31T00:00:00"/>
    <d v="2023-06-08T00:00:00"/>
    <x v="0"/>
    <x v="0"/>
    <n v="0"/>
    <n v="0"/>
    <x v="0"/>
  </r>
  <r>
    <x v="461"/>
    <x v="141"/>
    <x v="4"/>
    <x v="4"/>
    <x v="1"/>
    <x v="0"/>
    <s v="M0018"/>
    <x v="0"/>
    <x v="0"/>
    <x v="0"/>
    <s v="Revisió Ajuste y/o de bandas, correas y poleas"/>
    <x v="0"/>
    <n v="0"/>
    <d v="2023-05-31T00:00:00"/>
    <d v="2023-06-28T00:00:00"/>
    <x v="0"/>
    <x v="0"/>
    <n v="0"/>
    <n v="0"/>
    <x v="0"/>
  </r>
  <r>
    <x v="462"/>
    <x v="141"/>
    <x v="4"/>
    <x v="4"/>
    <x v="1"/>
    <x v="0"/>
    <s v="M0020"/>
    <x v="13"/>
    <x v="0"/>
    <x v="13"/>
    <s v="Observación de posibles daños"/>
    <x v="0"/>
    <n v="0"/>
    <d v="2023-05-31T00:00:00"/>
    <d v="2023-06-19T00:00:00"/>
    <x v="2"/>
    <x v="27"/>
    <n v="773"/>
    <n v="455"/>
    <x v="3"/>
  </r>
  <r>
    <x v="463"/>
    <x v="141"/>
    <x v="4"/>
    <x v="4"/>
    <x v="1"/>
    <x v="0"/>
    <s v="M0005"/>
    <x v="8"/>
    <x v="0"/>
    <x v="8"/>
    <s v="Inspección y/o reemplazo de boquillas"/>
    <x v="0"/>
    <n v="0"/>
    <d v="2023-05-31T00:00:00"/>
    <d v="2023-06-19T00:00:00"/>
    <x v="2"/>
    <x v="27"/>
    <n v="578"/>
    <n v="686"/>
    <x v="3"/>
  </r>
  <r>
    <x v="464"/>
    <x v="142"/>
    <x v="5"/>
    <x v="5"/>
    <x v="1"/>
    <x v="0"/>
    <s v="M0015"/>
    <x v="33"/>
    <x v="4"/>
    <x v="10"/>
    <s v="Observación de posibles daños"/>
    <x v="1"/>
    <s v="360 Anual"/>
    <d v="2023-06-01T00:00:00"/>
    <d v="2024-05-26T00:00:00"/>
    <x v="1"/>
    <x v="0"/>
    <n v="414"/>
    <n v="796"/>
    <x v="1"/>
  </r>
  <r>
    <x v="465"/>
    <x v="142"/>
    <x v="5"/>
    <x v="5"/>
    <x v="1"/>
    <x v="0"/>
    <s v="M0042"/>
    <x v="10"/>
    <x v="2"/>
    <x v="10"/>
    <s v="Inspección y/o reemplazo de toderas"/>
    <x v="0"/>
    <n v="0"/>
    <d v="2023-06-01T00:00:00"/>
    <d v="2023-06-07T00:00:00"/>
    <x v="0"/>
    <x v="0"/>
    <n v="0"/>
    <n v="0"/>
    <x v="0"/>
  </r>
  <r>
    <x v="466"/>
    <x v="142"/>
    <x v="5"/>
    <x v="5"/>
    <x v="1"/>
    <x v="0"/>
    <s v="M0039"/>
    <x v="5"/>
    <x v="0"/>
    <x v="3"/>
    <s v="Ajuste general de máquinas"/>
    <x v="0"/>
    <n v="0"/>
    <d v="2023-06-01T00:00:00"/>
    <d v="2023-06-29T00:00:00"/>
    <x v="0"/>
    <x v="0"/>
    <n v="0"/>
    <n v="0"/>
    <x v="0"/>
  </r>
  <r>
    <x v="467"/>
    <x v="142"/>
    <x v="5"/>
    <x v="5"/>
    <x v="1"/>
    <x v="0"/>
    <s v="M0030"/>
    <x v="35"/>
    <x v="0"/>
    <x v="20"/>
    <s v="Inspección de tuberías "/>
    <x v="0"/>
    <n v="0"/>
    <d v="2023-06-01T00:00:00"/>
    <d v="2023-06-06T00:00:00"/>
    <x v="0"/>
    <x v="0"/>
    <n v="0"/>
    <n v="0"/>
    <x v="0"/>
  </r>
  <r>
    <x v="468"/>
    <x v="143"/>
    <x v="5"/>
    <x v="5"/>
    <x v="1"/>
    <x v="0"/>
    <s v="M0023"/>
    <x v="18"/>
    <x v="0"/>
    <x v="16"/>
    <s v="Observación de posibles daños"/>
    <x v="1"/>
    <s v="180 Semestral"/>
    <d v="2023-06-02T00:00:00"/>
    <d v="2023-11-29T00:00:00"/>
    <x v="1"/>
    <x v="0"/>
    <n v="891"/>
    <n v="847"/>
    <x v="1"/>
  </r>
  <r>
    <x v="469"/>
    <x v="143"/>
    <x v="5"/>
    <x v="5"/>
    <x v="1"/>
    <x v="0"/>
    <s v="M0026"/>
    <x v="11"/>
    <x v="2"/>
    <x v="11"/>
    <s v="Inspección y/o reemplazado de filtros de aire"/>
    <x v="0"/>
    <n v="0"/>
    <d v="2023-06-02T00:00:00"/>
    <d v="2023-06-21T00:00:00"/>
    <x v="0"/>
    <x v="0"/>
    <n v="0"/>
    <n v="0"/>
    <x v="0"/>
  </r>
  <r>
    <x v="470"/>
    <x v="143"/>
    <x v="5"/>
    <x v="5"/>
    <x v="1"/>
    <x v="0"/>
    <s v="M0003"/>
    <x v="22"/>
    <x v="2"/>
    <x v="20"/>
    <s v="Inspección y/o reemplazado de filtros de aceite"/>
    <x v="0"/>
    <n v="0"/>
    <d v="2023-06-02T00:00:00"/>
    <d v="2023-07-02T00:00:00"/>
    <x v="2"/>
    <x v="23"/>
    <n v="878"/>
    <n v="393"/>
    <x v="3"/>
  </r>
  <r>
    <x v="471"/>
    <x v="143"/>
    <x v="5"/>
    <x v="5"/>
    <x v="1"/>
    <x v="0"/>
    <s v="M0010"/>
    <x v="37"/>
    <x v="0"/>
    <x v="1"/>
    <s v="Inspección de Frenos"/>
    <x v="0"/>
    <n v="0"/>
    <d v="2023-06-02T00:00:00"/>
    <d v="2023-06-27T00:00:00"/>
    <x v="0"/>
    <x v="0"/>
    <n v="0"/>
    <n v="0"/>
    <x v="0"/>
  </r>
  <r>
    <x v="472"/>
    <x v="143"/>
    <x v="5"/>
    <x v="5"/>
    <x v="1"/>
    <x v="0"/>
    <s v="M0037"/>
    <x v="1"/>
    <x v="0"/>
    <x v="1"/>
    <s v="Mantenimiento general"/>
    <x v="0"/>
    <n v="0"/>
    <d v="2023-06-02T00:00:00"/>
    <d v="2023-06-29T00:00:00"/>
    <x v="0"/>
    <x v="0"/>
    <n v="0"/>
    <n v="0"/>
    <x v="0"/>
  </r>
  <r>
    <x v="473"/>
    <x v="143"/>
    <x v="5"/>
    <x v="5"/>
    <x v="1"/>
    <x v="0"/>
    <s v="M0040"/>
    <x v="41"/>
    <x v="0"/>
    <x v="14"/>
    <s v="Inspección de gases"/>
    <x v="0"/>
    <n v="0"/>
    <d v="2023-06-02T00:00:00"/>
    <d v="2023-06-12T00:00:00"/>
    <x v="2"/>
    <x v="30"/>
    <n v="688"/>
    <n v="391"/>
    <x v="2"/>
  </r>
  <r>
    <x v="474"/>
    <x v="143"/>
    <x v="5"/>
    <x v="5"/>
    <x v="1"/>
    <x v="0"/>
    <s v="M0001"/>
    <x v="38"/>
    <x v="0"/>
    <x v="25"/>
    <s v="Observación de posibles daños"/>
    <x v="1"/>
    <s v="360 Anual"/>
    <d v="2023-06-02T00:00:00"/>
    <d v="2024-05-27T00:00:00"/>
    <x v="1"/>
    <x v="0"/>
    <n v="218"/>
    <n v="861"/>
    <x v="1"/>
  </r>
  <r>
    <x v="475"/>
    <x v="143"/>
    <x v="5"/>
    <x v="5"/>
    <x v="1"/>
    <x v="0"/>
    <s v="M0016"/>
    <x v="31"/>
    <x v="0"/>
    <x v="21"/>
    <s v="Inspección y/o reemplazado de cuchillas"/>
    <x v="0"/>
    <n v="0"/>
    <d v="2023-06-02T00:00:00"/>
    <d v="2023-06-27T00:00:00"/>
    <x v="2"/>
    <x v="2"/>
    <n v="632"/>
    <n v="146"/>
    <x v="4"/>
  </r>
  <r>
    <x v="476"/>
    <x v="143"/>
    <x v="5"/>
    <x v="5"/>
    <x v="1"/>
    <x v="0"/>
    <s v="M0032"/>
    <x v="14"/>
    <x v="0"/>
    <x v="8"/>
    <s v="Observación de posibles daños"/>
    <x v="1"/>
    <s v="60 Bimestral"/>
    <d v="2023-06-02T00:00:00"/>
    <d v="2023-08-01T00:00:00"/>
    <x v="1"/>
    <x v="0"/>
    <n v="671"/>
    <n v="654"/>
    <x v="1"/>
  </r>
  <r>
    <x v="477"/>
    <x v="144"/>
    <x v="5"/>
    <x v="5"/>
    <x v="1"/>
    <x v="0"/>
    <s v="M0007"/>
    <x v="39"/>
    <x v="0"/>
    <x v="2"/>
    <s v="Revisión de válvulas"/>
    <x v="0"/>
    <n v="0"/>
    <d v="2023-06-03T00:00:00"/>
    <d v="2023-06-22T00:00:00"/>
    <x v="0"/>
    <x v="0"/>
    <n v="0"/>
    <n v="0"/>
    <x v="0"/>
  </r>
  <r>
    <x v="478"/>
    <x v="144"/>
    <x v="5"/>
    <x v="5"/>
    <x v="1"/>
    <x v="0"/>
    <s v="M0002"/>
    <x v="16"/>
    <x v="0"/>
    <x v="12"/>
    <s v="Observación de posibles daños"/>
    <x v="1"/>
    <s v="60 Bimestral"/>
    <d v="2023-06-03T00:00:00"/>
    <d v="2023-08-02T00:00:00"/>
    <x v="1"/>
    <x v="0"/>
    <n v="249"/>
    <n v="685"/>
    <x v="1"/>
  </r>
  <r>
    <x v="479"/>
    <x v="144"/>
    <x v="5"/>
    <x v="5"/>
    <x v="1"/>
    <x v="0"/>
    <s v="M0018"/>
    <x v="0"/>
    <x v="0"/>
    <x v="0"/>
    <s v="Limpieza y ajuste de terminales de baterías"/>
    <x v="0"/>
    <n v="0"/>
    <d v="2023-06-03T00:00:00"/>
    <d v="2023-06-12T00:00:00"/>
    <x v="2"/>
    <x v="20"/>
    <n v="578"/>
    <n v="304"/>
    <x v="4"/>
  </r>
  <r>
    <x v="480"/>
    <x v="145"/>
    <x v="5"/>
    <x v="5"/>
    <x v="1"/>
    <x v="0"/>
    <s v="M0002"/>
    <x v="16"/>
    <x v="0"/>
    <x v="12"/>
    <s v="Verificación del sistema de enfriado"/>
    <x v="0"/>
    <n v="0"/>
    <d v="2023-06-04T00:00:00"/>
    <d v="2023-06-19T00:00:00"/>
    <x v="2"/>
    <x v="24"/>
    <n v="929"/>
    <n v="141"/>
    <x v="3"/>
  </r>
  <r>
    <x v="481"/>
    <x v="146"/>
    <x v="5"/>
    <x v="5"/>
    <x v="1"/>
    <x v="0"/>
    <s v="M0011"/>
    <x v="36"/>
    <x v="0"/>
    <x v="26"/>
    <s v="Limpieza de ventilador"/>
    <x v="0"/>
    <n v="0"/>
    <d v="2023-06-05T00:00:00"/>
    <d v="2023-06-15T00:00:00"/>
    <x v="2"/>
    <x v="30"/>
    <n v="1191"/>
    <n v="113"/>
    <x v="2"/>
  </r>
  <r>
    <x v="482"/>
    <x v="146"/>
    <x v="5"/>
    <x v="5"/>
    <x v="1"/>
    <x v="0"/>
    <s v="M0018"/>
    <x v="0"/>
    <x v="0"/>
    <x v="0"/>
    <s v="Limpieza general"/>
    <x v="0"/>
    <n v="0"/>
    <d v="2023-06-05T00:00:00"/>
    <d v="2023-06-07T00:00:00"/>
    <x v="0"/>
    <x v="0"/>
    <n v="0"/>
    <n v="0"/>
    <x v="0"/>
  </r>
  <r>
    <x v="483"/>
    <x v="147"/>
    <x v="5"/>
    <x v="5"/>
    <x v="1"/>
    <x v="0"/>
    <s v="M0038"/>
    <x v="30"/>
    <x v="0"/>
    <x v="26"/>
    <s v="Inspección de engranes"/>
    <x v="0"/>
    <n v="0"/>
    <d v="2023-06-06T00:00:00"/>
    <d v="2023-06-24T00:00:00"/>
    <x v="0"/>
    <x v="0"/>
    <n v="0"/>
    <n v="0"/>
    <x v="0"/>
  </r>
  <r>
    <x v="484"/>
    <x v="147"/>
    <x v="5"/>
    <x v="5"/>
    <x v="1"/>
    <x v="0"/>
    <s v="M0041"/>
    <x v="28"/>
    <x v="0"/>
    <x v="17"/>
    <s v="Observación de posibles daños"/>
    <x v="1"/>
    <s v="60 Bimestral"/>
    <d v="2023-06-06T00:00:00"/>
    <d v="2023-08-05T00:00:00"/>
    <x v="1"/>
    <x v="0"/>
    <n v="673"/>
    <n v="962"/>
    <x v="1"/>
  </r>
  <r>
    <x v="485"/>
    <x v="147"/>
    <x v="5"/>
    <x v="5"/>
    <x v="1"/>
    <x v="0"/>
    <s v="M0003"/>
    <x v="22"/>
    <x v="2"/>
    <x v="20"/>
    <s v="Observación de posibles daños"/>
    <x v="0"/>
    <n v="0"/>
    <d v="2023-06-06T00:00:00"/>
    <d v="2023-07-01T00:00:00"/>
    <x v="0"/>
    <x v="0"/>
    <n v="0"/>
    <n v="0"/>
    <x v="0"/>
  </r>
  <r>
    <x v="486"/>
    <x v="148"/>
    <x v="5"/>
    <x v="5"/>
    <x v="1"/>
    <x v="0"/>
    <s v="M0015"/>
    <x v="33"/>
    <x v="4"/>
    <x v="10"/>
    <s v="Inspección y/o reemplazo de boquillas"/>
    <x v="0"/>
    <n v="0"/>
    <d v="2023-06-07T00:00:00"/>
    <d v="2023-06-24T00:00:00"/>
    <x v="0"/>
    <x v="0"/>
    <n v="0"/>
    <n v="0"/>
    <x v="0"/>
  </r>
  <r>
    <x v="487"/>
    <x v="148"/>
    <x v="5"/>
    <x v="5"/>
    <x v="1"/>
    <x v="0"/>
    <s v="M0039"/>
    <x v="5"/>
    <x v="0"/>
    <x v="3"/>
    <s v="Inspección y/o reemplazo de tubos de contacto"/>
    <x v="0"/>
    <n v="0"/>
    <d v="2023-06-07T00:00:00"/>
    <d v="2023-06-20T00:00:00"/>
    <x v="0"/>
    <x v="0"/>
    <n v="0"/>
    <n v="0"/>
    <x v="0"/>
  </r>
  <r>
    <x v="488"/>
    <x v="148"/>
    <x v="5"/>
    <x v="5"/>
    <x v="1"/>
    <x v="0"/>
    <s v="M0015"/>
    <x v="33"/>
    <x v="4"/>
    <x v="10"/>
    <s v="Observación de posibles daños"/>
    <x v="1"/>
    <s v="360 Anual"/>
    <d v="2023-06-07T00:00:00"/>
    <d v="2024-06-01T00:00:00"/>
    <x v="1"/>
    <x v="0"/>
    <n v="1141"/>
    <n v="780"/>
    <x v="1"/>
  </r>
  <r>
    <x v="489"/>
    <x v="148"/>
    <x v="5"/>
    <x v="5"/>
    <x v="1"/>
    <x v="0"/>
    <s v="M0028"/>
    <x v="29"/>
    <x v="0"/>
    <x v="25"/>
    <s v="Ajuste general de máquinas"/>
    <x v="0"/>
    <n v="0"/>
    <d v="2023-06-07T00:00:00"/>
    <d v="2023-06-11T00:00:00"/>
    <x v="0"/>
    <x v="0"/>
    <n v="0"/>
    <n v="0"/>
    <x v="0"/>
  </r>
  <r>
    <x v="490"/>
    <x v="148"/>
    <x v="5"/>
    <x v="5"/>
    <x v="1"/>
    <x v="0"/>
    <s v="M0025"/>
    <x v="25"/>
    <x v="2"/>
    <x v="23"/>
    <s v="Observación de posibles daños"/>
    <x v="1"/>
    <s v="30 Mensual"/>
    <d v="2023-06-07T00:00:00"/>
    <d v="2023-07-07T00:00:00"/>
    <x v="1"/>
    <x v="0"/>
    <n v="756"/>
    <n v="556"/>
    <x v="1"/>
  </r>
  <r>
    <x v="491"/>
    <x v="149"/>
    <x v="5"/>
    <x v="5"/>
    <x v="1"/>
    <x v="0"/>
    <s v="M0021"/>
    <x v="9"/>
    <x v="0"/>
    <x v="9"/>
    <s v="Inspección de mangeras"/>
    <x v="0"/>
    <n v="0"/>
    <d v="2023-06-08T00:00:00"/>
    <d v="2023-06-21T00:00:00"/>
    <x v="2"/>
    <x v="29"/>
    <n v="1078"/>
    <n v="826"/>
    <x v="3"/>
  </r>
  <r>
    <x v="492"/>
    <x v="149"/>
    <x v="5"/>
    <x v="5"/>
    <x v="1"/>
    <x v="0"/>
    <s v="M0014"/>
    <x v="19"/>
    <x v="2"/>
    <x v="17"/>
    <s v="Inspección y/o reemplazado de filtros de aire"/>
    <x v="0"/>
    <n v="0"/>
    <d v="2023-06-08T00:00:00"/>
    <d v="2023-07-04T00:00:00"/>
    <x v="2"/>
    <x v="6"/>
    <n v="989"/>
    <n v="953"/>
    <x v="4"/>
  </r>
  <r>
    <x v="493"/>
    <x v="149"/>
    <x v="5"/>
    <x v="5"/>
    <x v="1"/>
    <x v="0"/>
    <s v="M0023"/>
    <x v="18"/>
    <x v="0"/>
    <x v="16"/>
    <s v="Inspección y/o reemplazado de filtros de aceite"/>
    <x v="0"/>
    <n v="0"/>
    <d v="2023-06-08T00:00:00"/>
    <d v="2023-07-01T00:00:00"/>
    <x v="0"/>
    <x v="0"/>
    <n v="0"/>
    <n v="0"/>
    <x v="0"/>
  </r>
  <r>
    <x v="494"/>
    <x v="149"/>
    <x v="5"/>
    <x v="5"/>
    <x v="1"/>
    <x v="0"/>
    <s v="M0036"/>
    <x v="27"/>
    <x v="0"/>
    <x v="15"/>
    <s v="Inspección de Frenos"/>
    <x v="0"/>
    <n v="0"/>
    <d v="2023-06-08T00:00:00"/>
    <d v="2023-06-21T00:00:00"/>
    <x v="2"/>
    <x v="29"/>
    <n v="213"/>
    <n v="428"/>
    <x v="4"/>
  </r>
  <r>
    <x v="495"/>
    <x v="150"/>
    <x v="5"/>
    <x v="5"/>
    <x v="1"/>
    <x v="0"/>
    <s v="M0026"/>
    <x v="11"/>
    <x v="2"/>
    <x v="11"/>
    <s v="Mantenimiento general"/>
    <x v="0"/>
    <n v="0"/>
    <d v="2023-06-11T00:00:00"/>
    <d v="2023-06-25T00:00:00"/>
    <x v="0"/>
    <x v="0"/>
    <n v="0"/>
    <n v="0"/>
    <x v="0"/>
  </r>
  <r>
    <x v="496"/>
    <x v="151"/>
    <x v="5"/>
    <x v="5"/>
    <x v="1"/>
    <x v="0"/>
    <s v="M0038"/>
    <x v="30"/>
    <x v="0"/>
    <x v="26"/>
    <s v="Inspección de gases"/>
    <x v="0"/>
    <n v="0"/>
    <d v="2023-06-12T00:00:00"/>
    <d v="2023-06-22T00:00:00"/>
    <x v="0"/>
    <x v="0"/>
    <n v="0"/>
    <n v="0"/>
    <x v="0"/>
  </r>
  <r>
    <x v="497"/>
    <x v="151"/>
    <x v="5"/>
    <x v="5"/>
    <x v="1"/>
    <x v="0"/>
    <s v="M0018"/>
    <x v="0"/>
    <x v="0"/>
    <x v="0"/>
    <s v="Inspección y/o reemplazado de escobillas"/>
    <x v="0"/>
    <n v="0"/>
    <d v="2023-06-12T00:00:00"/>
    <d v="2023-07-09T00:00:00"/>
    <x v="2"/>
    <x v="19"/>
    <n v="725"/>
    <n v="933"/>
    <x v="4"/>
  </r>
  <r>
    <x v="498"/>
    <x v="152"/>
    <x v="5"/>
    <x v="5"/>
    <x v="1"/>
    <x v="0"/>
    <s v="M0028"/>
    <x v="29"/>
    <x v="0"/>
    <x v="25"/>
    <s v="Observación de posibles daños"/>
    <x v="1"/>
    <s v="30 Mensual"/>
    <d v="2023-06-13T00:00:00"/>
    <d v="2023-07-13T00:00:00"/>
    <x v="1"/>
    <x v="0"/>
    <n v="233"/>
    <n v="924"/>
    <x v="1"/>
  </r>
  <r>
    <x v="499"/>
    <x v="152"/>
    <x v="5"/>
    <x v="5"/>
    <x v="1"/>
    <x v="0"/>
    <s v="M0009"/>
    <x v="17"/>
    <x v="0"/>
    <x v="15"/>
    <s v="Inspección de nivel de com¿bustible"/>
    <x v="0"/>
    <n v="0"/>
    <d v="2023-06-13T00:00:00"/>
    <d v="2023-07-03T00:00:00"/>
    <x v="2"/>
    <x v="26"/>
    <n v="746"/>
    <n v="449"/>
    <x v="4"/>
  </r>
  <r>
    <x v="500"/>
    <x v="152"/>
    <x v="5"/>
    <x v="5"/>
    <x v="1"/>
    <x v="0"/>
    <s v="M0023"/>
    <x v="18"/>
    <x v="0"/>
    <x v="16"/>
    <s v="Revisión de válvulas"/>
    <x v="0"/>
    <n v="0"/>
    <d v="2023-06-13T00:00:00"/>
    <d v="2023-06-17T00:00:00"/>
    <x v="2"/>
    <x v="28"/>
    <n v="445"/>
    <n v="833"/>
    <x v="3"/>
  </r>
  <r>
    <x v="501"/>
    <x v="153"/>
    <x v="5"/>
    <x v="5"/>
    <x v="1"/>
    <x v="0"/>
    <s v="M0019"/>
    <x v="4"/>
    <x v="1"/>
    <x v="5"/>
    <s v="Limpieza y ajuste de inyectores"/>
    <x v="0"/>
    <n v="0"/>
    <d v="2023-06-14T00:00:00"/>
    <d v="2023-06-20T00:00:00"/>
    <x v="0"/>
    <x v="0"/>
    <n v="0"/>
    <n v="0"/>
    <x v="0"/>
  </r>
  <r>
    <x v="502"/>
    <x v="154"/>
    <x v="5"/>
    <x v="5"/>
    <x v="1"/>
    <x v="0"/>
    <s v="M0013"/>
    <x v="15"/>
    <x v="0"/>
    <x v="14"/>
    <s v="Limpieza y ajuste de terminales de baterías"/>
    <x v="0"/>
    <n v="0"/>
    <d v="2023-06-15T00:00:00"/>
    <d v="2023-07-03T00:00:00"/>
    <x v="0"/>
    <x v="0"/>
    <n v="0"/>
    <n v="0"/>
    <x v="0"/>
  </r>
  <r>
    <x v="503"/>
    <x v="154"/>
    <x v="5"/>
    <x v="5"/>
    <x v="1"/>
    <x v="0"/>
    <s v="M0031"/>
    <x v="7"/>
    <x v="0"/>
    <x v="7"/>
    <s v="Verificación del sistema de enfriado"/>
    <x v="0"/>
    <n v="0"/>
    <d v="2023-06-15T00:00:00"/>
    <d v="2023-07-08T00:00:00"/>
    <x v="2"/>
    <x v="10"/>
    <n v="1121"/>
    <n v="251"/>
    <x v="4"/>
  </r>
  <r>
    <x v="504"/>
    <x v="155"/>
    <x v="5"/>
    <x v="5"/>
    <x v="1"/>
    <x v="0"/>
    <s v="M0027"/>
    <x v="6"/>
    <x v="2"/>
    <x v="6"/>
    <s v="Observación de posibles daños"/>
    <x v="1"/>
    <s v="180 Semestral"/>
    <d v="2023-06-16T00:00:00"/>
    <d v="2023-12-13T00:00:00"/>
    <x v="1"/>
    <x v="0"/>
    <n v="327"/>
    <n v="901"/>
    <x v="1"/>
  </r>
  <r>
    <x v="505"/>
    <x v="155"/>
    <x v="5"/>
    <x v="5"/>
    <x v="1"/>
    <x v="0"/>
    <s v="M0014"/>
    <x v="19"/>
    <x v="2"/>
    <x v="17"/>
    <s v="Limpieza general"/>
    <x v="0"/>
    <n v="0"/>
    <d v="2023-06-16T00:00:00"/>
    <d v="2023-06-26T00:00:00"/>
    <x v="0"/>
    <x v="0"/>
    <n v="0"/>
    <n v="0"/>
    <x v="0"/>
  </r>
  <r>
    <x v="506"/>
    <x v="155"/>
    <x v="5"/>
    <x v="5"/>
    <x v="1"/>
    <x v="0"/>
    <s v="M0003"/>
    <x v="22"/>
    <x v="2"/>
    <x v="20"/>
    <s v="Inspección de engranes"/>
    <x v="0"/>
    <n v="0"/>
    <d v="2023-06-16T00:00:00"/>
    <d v="2023-06-24T00:00:00"/>
    <x v="2"/>
    <x v="8"/>
    <n v="703"/>
    <n v="633"/>
    <x v="3"/>
  </r>
  <r>
    <x v="507"/>
    <x v="155"/>
    <x v="5"/>
    <x v="5"/>
    <x v="1"/>
    <x v="0"/>
    <s v="M0009"/>
    <x v="17"/>
    <x v="0"/>
    <x v="15"/>
    <s v="Revisió Ajuste y/o de bandas, correas y poleas"/>
    <x v="0"/>
    <n v="0"/>
    <d v="2023-06-16T00:00:00"/>
    <d v="2023-07-08T00:00:00"/>
    <x v="2"/>
    <x v="1"/>
    <n v="911"/>
    <n v="665"/>
    <x v="3"/>
  </r>
  <r>
    <x v="508"/>
    <x v="155"/>
    <x v="5"/>
    <x v="5"/>
    <x v="1"/>
    <x v="0"/>
    <s v="M0003"/>
    <x v="22"/>
    <x v="2"/>
    <x v="20"/>
    <s v="Observación de posibles daños"/>
    <x v="1"/>
    <s v="15 Quincenal"/>
    <d v="2023-06-16T00:00:00"/>
    <d v="2023-07-01T00:00:00"/>
    <x v="1"/>
    <x v="0"/>
    <n v="476"/>
    <n v="628"/>
    <x v="1"/>
  </r>
  <r>
    <x v="509"/>
    <x v="156"/>
    <x v="5"/>
    <x v="5"/>
    <x v="1"/>
    <x v="0"/>
    <s v="M0012"/>
    <x v="3"/>
    <x v="0"/>
    <x v="3"/>
    <s v="Inspección y/o reemplazo de boquillas"/>
    <x v="0"/>
    <n v="0"/>
    <d v="2023-06-17T00:00:00"/>
    <d v="2023-07-06T00:00:00"/>
    <x v="2"/>
    <x v="27"/>
    <n v="230"/>
    <n v="231"/>
    <x v="4"/>
  </r>
  <r>
    <x v="510"/>
    <x v="156"/>
    <x v="5"/>
    <x v="5"/>
    <x v="1"/>
    <x v="0"/>
    <s v="M0023"/>
    <x v="18"/>
    <x v="0"/>
    <x v="16"/>
    <s v="Inspección y/o reemplazo de tubos de contacto"/>
    <x v="0"/>
    <n v="0"/>
    <d v="2023-06-17T00:00:00"/>
    <d v="2023-07-14T00:00:00"/>
    <x v="0"/>
    <x v="0"/>
    <n v="0"/>
    <n v="0"/>
    <x v="0"/>
  </r>
  <r>
    <x v="511"/>
    <x v="156"/>
    <x v="5"/>
    <x v="5"/>
    <x v="1"/>
    <x v="0"/>
    <s v="M0031"/>
    <x v="7"/>
    <x v="0"/>
    <x v="7"/>
    <s v="Inspección y/o reemplazo de toderas"/>
    <x v="0"/>
    <n v="0"/>
    <d v="2023-06-17T00:00:00"/>
    <d v="2023-07-15T00:00:00"/>
    <x v="0"/>
    <x v="0"/>
    <n v="0"/>
    <n v="0"/>
    <x v="0"/>
  </r>
  <r>
    <x v="512"/>
    <x v="156"/>
    <x v="5"/>
    <x v="5"/>
    <x v="1"/>
    <x v="0"/>
    <s v="M0030"/>
    <x v="35"/>
    <x v="0"/>
    <x v="20"/>
    <s v="Ajuste general de máquinas"/>
    <x v="0"/>
    <n v="0"/>
    <d v="2023-06-17T00:00:00"/>
    <d v="2023-07-03T00:00:00"/>
    <x v="2"/>
    <x v="7"/>
    <n v="412"/>
    <n v="370"/>
    <x v="4"/>
  </r>
  <r>
    <x v="513"/>
    <x v="156"/>
    <x v="5"/>
    <x v="5"/>
    <x v="1"/>
    <x v="0"/>
    <s v="M0028"/>
    <x v="29"/>
    <x v="0"/>
    <x v="25"/>
    <s v="Inspección de tuberías "/>
    <x v="0"/>
    <n v="0"/>
    <d v="2023-06-17T00:00:00"/>
    <d v="2023-07-14T00:00:00"/>
    <x v="0"/>
    <x v="0"/>
    <n v="0"/>
    <n v="0"/>
    <x v="0"/>
  </r>
  <r>
    <x v="514"/>
    <x v="156"/>
    <x v="5"/>
    <x v="5"/>
    <x v="1"/>
    <x v="0"/>
    <s v="M0014"/>
    <x v="19"/>
    <x v="2"/>
    <x v="17"/>
    <s v="Inspección de mangeras"/>
    <x v="0"/>
    <n v="0"/>
    <d v="2023-06-17T00:00:00"/>
    <d v="2023-07-12T00:00:00"/>
    <x v="2"/>
    <x v="2"/>
    <n v="1066"/>
    <n v="607"/>
    <x v="3"/>
  </r>
  <r>
    <x v="515"/>
    <x v="156"/>
    <x v="5"/>
    <x v="5"/>
    <x v="1"/>
    <x v="0"/>
    <s v="M0027"/>
    <x v="6"/>
    <x v="2"/>
    <x v="6"/>
    <s v="Inspección y/o reemplazado de filtros de aire"/>
    <x v="0"/>
    <n v="0"/>
    <d v="2023-06-17T00:00:00"/>
    <d v="2023-06-18T00:00:00"/>
    <x v="0"/>
    <x v="0"/>
    <n v="0"/>
    <n v="0"/>
    <x v="0"/>
  </r>
  <r>
    <x v="516"/>
    <x v="156"/>
    <x v="5"/>
    <x v="5"/>
    <x v="1"/>
    <x v="0"/>
    <s v="M0024"/>
    <x v="21"/>
    <x v="2"/>
    <x v="19"/>
    <s v="Inspección y/o reemplazado de filtros de aceite"/>
    <x v="0"/>
    <n v="0"/>
    <d v="2023-06-17T00:00:00"/>
    <d v="2023-07-06T00:00:00"/>
    <x v="0"/>
    <x v="0"/>
    <n v="0"/>
    <n v="0"/>
    <x v="0"/>
  </r>
  <r>
    <x v="517"/>
    <x v="156"/>
    <x v="5"/>
    <x v="5"/>
    <x v="1"/>
    <x v="0"/>
    <s v="M0026"/>
    <x v="11"/>
    <x v="2"/>
    <x v="11"/>
    <s v="Inspección de Frenos"/>
    <x v="0"/>
    <n v="0"/>
    <d v="2023-06-17T00:00:00"/>
    <d v="2023-06-25T00:00:00"/>
    <x v="0"/>
    <x v="0"/>
    <n v="0"/>
    <n v="0"/>
    <x v="0"/>
  </r>
  <r>
    <x v="518"/>
    <x v="156"/>
    <x v="5"/>
    <x v="5"/>
    <x v="1"/>
    <x v="0"/>
    <s v="M0037"/>
    <x v="1"/>
    <x v="0"/>
    <x v="1"/>
    <s v="Observación de posibles daños"/>
    <x v="1"/>
    <s v="180 Semestral"/>
    <d v="2023-06-17T00:00:00"/>
    <d v="2023-12-14T00:00:00"/>
    <x v="1"/>
    <x v="0"/>
    <n v="500"/>
    <n v="355"/>
    <x v="1"/>
  </r>
  <r>
    <x v="519"/>
    <x v="157"/>
    <x v="5"/>
    <x v="5"/>
    <x v="1"/>
    <x v="0"/>
    <s v="M0036"/>
    <x v="27"/>
    <x v="0"/>
    <x v="15"/>
    <s v="Inspección de gases"/>
    <x v="0"/>
    <n v="0"/>
    <d v="2023-06-18T00:00:00"/>
    <d v="2023-06-25T00:00:00"/>
    <x v="2"/>
    <x v="4"/>
    <n v="783"/>
    <n v="792"/>
    <x v="2"/>
  </r>
  <r>
    <x v="520"/>
    <x v="158"/>
    <x v="5"/>
    <x v="5"/>
    <x v="1"/>
    <x v="0"/>
    <s v="M0020"/>
    <x v="13"/>
    <x v="0"/>
    <x v="13"/>
    <s v="Inspección y/o reemplazado de escobillas"/>
    <x v="0"/>
    <n v="0"/>
    <d v="2023-06-19T00:00:00"/>
    <d v="2023-07-09T00:00:00"/>
    <x v="0"/>
    <x v="0"/>
    <n v="0"/>
    <n v="0"/>
    <x v="0"/>
  </r>
  <r>
    <x v="521"/>
    <x v="158"/>
    <x v="5"/>
    <x v="5"/>
    <x v="1"/>
    <x v="0"/>
    <s v="M0023"/>
    <x v="18"/>
    <x v="0"/>
    <x v="16"/>
    <s v="Inspección y/o reemplazado de cuchillas"/>
    <x v="0"/>
    <n v="0"/>
    <d v="2023-06-19T00:00:00"/>
    <d v="2023-06-23T00:00:00"/>
    <x v="0"/>
    <x v="0"/>
    <n v="0"/>
    <n v="0"/>
    <x v="0"/>
  </r>
  <r>
    <x v="522"/>
    <x v="158"/>
    <x v="5"/>
    <x v="5"/>
    <x v="1"/>
    <x v="0"/>
    <s v="M0043"/>
    <x v="23"/>
    <x v="3"/>
    <x v="21"/>
    <s v="Inspección de nivel de com¿bustible"/>
    <x v="0"/>
    <n v="0"/>
    <d v="2023-06-19T00:00:00"/>
    <d v="2023-06-27T00:00:00"/>
    <x v="2"/>
    <x v="8"/>
    <n v="639"/>
    <n v="670"/>
    <x v="4"/>
  </r>
  <r>
    <x v="523"/>
    <x v="158"/>
    <x v="5"/>
    <x v="5"/>
    <x v="1"/>
    <x v="0"/>
    <s v="M0025"/>
    <x v="25"/>
    <x v="2"/>
    <x v="23"/>
    <s v="Revisión de válvulas"/>
    <x v="0"/>
    <n v="0"/>
    <d v="2023-06-19T00:00:00"/>
    <d v="2023-07-14T00:00:00"/>
    <x v="0"/>
    <x v="0"/>
    <n v="0"/>
    <n v="0"/>
    <x v="0"/>
  </r>
  <r>
    <x v="524"/>
    <x v="158"/>
    <x v="5"/>
    <x v="5"/>
    <x v="1"/>
    <x v="0"/>
    <s v="M0014"/>
    <x v="19"/>
    <x v="2"/>
    <x v="17"/>
    <s v="Limpieza y ajuste de inyectores"/>
    <x v="0"/>
    <n v="0"/>
    <d v="2023-06-19T00:00:00"/>
    <d v="2023-06-26T00:00:00"/>
    <x v="2"/>
    <x v="4"/>
    <n v="406"/>
    <n v="896"/>
    <x v="1"/>
  </r>
  <r>
    <x v="525"/>
    <x v="158"/>
    <x v="5"/>
    <x v="5"/>
    <x v="1"/>
    <x v="0"/>
    <s v="M0002"/>
    <x v="16"/>
    <x v="0"/>
    <x v="12"/>
    <s v="Limpieza y ajuste de terminales de baterías"/>
    <x v="0"/>
    <n v="0"/>
    <d v="2023-06-19T00:00:00"/>
    <d v="2023-07-11T00:00:00"/>
    <x v="0"/>
    <x v="0"/>
    <n v="0"/>
    <n v="0"/>
    <x v="0"/>
  </r>
  <r>
    <x v="526"/>
    <x v="159"/>
    <x v="5"/>
    <x v="5"/>
    <x v="1"/>
    <x v="0"/>
    <s v="M0004"/>
    <x v="40"/>
    <x v="2"/>
    <x v="7"/>
    <s v="Verificación del sistema de enfriado"/>
    <x v="0"/>
    <n v="0"/>
    <d v="2023-06-20T00:00:00"/>
    <d v="2023-07-17T00:00:00"/>
    <x v="0"/>
    <x v="0"/>
    <n v="0"/>
    <n v="0"/>
    <x v="0"/>
  </r>
  <r>
    <x v="527"/>
    <x v="159"/>
    <x v="5"/>
    <x v="5"/>
    <x v="1"/>
    <x v="0"/>
    <s v="M0008"/>
    <x v="26"/>
    <x v="0"/>
    <x v="24"/>
    <s v="Limpieza de ventilador"/>
    <x v="0"/>
    <n v="0"/>
    <d v="2023-06-20T00:00:00"/>
    <d v="2023-07-11T00:00:00"/>
    <x v="0"/>
    <x v="0"/>
    <n v="0"/>
    <n v="0"/>
    <x v="0"/>
  </r>
  <r>
    <x v="528"/>
    <x v="160"/>
    <x v="5"/>
    <x v="5"/>
    <x v="1"/>
    <x v="0"/>
    <s v="M0031"/>
    <x v="7"/>
    <x v="0"/>
    <x v="7"/>
    <s v="Limpieza general"/>
    <x v="0"/>
    <n v="0"/>
    <d v="2023-06-21T00:00:00"/>
    <d v="2023-07-17T00:00:00"/>
    <x v="2"/>
    <x v="6"/>
    <n v="957"/>
    <n v="191"/>
    <x v="2"/>
  </r>
  <r>
    <x v="529"/>
    <x v="160"/>
    <x v="5"/>
    <x v="5"/>
    <x v="1"/>
    <x v="0"/>
    <s v="M0004"/>
    <x v="40"/>
    <x v="2"/>
    <x v="7"/>
    <s v="Inspección de engranes"/>
    <x v="0"/>
    <n v="0"/>
    <d v="2023-06-21T00:00:00"/>
    <d v="2023-06-30T00:00:00"/>
    <x v="0"/>
    <x v="0"/>
    <n v="0"/>
    <n v="0"/>
    <x v="0"/>
  </r>
  <r>
    <x v="530"/>
    <x v="160"/>
    <x v="5"/>
    <x v="5"/>
    <x v="1"/>
    <x v="0"/>
    <s v="M0038"/>
    <x v="30"/>
    <x v="0"/>
    <x v="26"/>
    <s v="Observación de posibles daños"/>
    <x v="1"/>
    <s v="7 Semanal"/>
    <d v="2023-06-21T00:00:00"/>
    <d v="2023-06-28T00:00:00"/>
    <x v="1"/>
    <x v="0"/>
    <n v="979"/>
    <n v="990"/>
    <x v="1"/>
  </r>
  <r>
    <x v="531"/>
    <x v="161"/>
    <x v="5"/>
    <x v="5"/>
    <x v="1"/>
    <x v="0"/>
    <s v="M0021"/>
    <x v="9"/>
    <x v="0"/>
    <x v="9"/>
    <s v="Observación de posibles daños"/>
    <x v="0"/>
    <n v="0"/>
    <d v="2023-06-22T00:00:00"/>
    <d v="2023-07-08T00:00:00"/>
    <x v="0"/>
    <x v="0"/>
    <n v="0"/>
    <n v="0"/>
    <x v="0"/>
  </r>
  <r>
    <x v="532"/>
    <x v="161"/>
    <x v="5"/>
    <x v="5"/>
    <x v="1"/>
    <x v="0"/>
    <s v="M0036"/>
    <x v="27"/>
    <x v="0"/>
    <x v="15"/>
    <s v="Observación de posibles daños"/>
    <x v="1"/>
    <s v="30 Mensual"/>
    <d v="2023-06-22T00:00:00"/>
    <d v="2023-07-22T00:00:00"/>
    <x v="1"/>
    <x v="0"/>
    <n v="883"/>
    <n v="742"/>
    <x v="1"/>
  </r>
  <r>
    <x v="533"/>
    <x v="161"/>
    <x v="5"/>
    <x v="5"/>
    <x v="1"/>
    <x v="0"/>
    <s v="M0031"/>
    <x v="7"/>
    <x v="0"/>
    <x v="7"/>
    <s v="Inspección y/o reemplazo de tubos de contacto"/>
    <x v="0"/>
    <n v="0"/>
    <d v="2023-06-22T00:00:00"/>
    <d v="2023-07-08T00:00:00"/>
    <x v="0"/>
    <x v="0"/>
    <n v="0"/>
    <n v="0"/>
    <x v="0"/>
  </r>
  <r>
    <x v="534"/>
    <x v="161"/>
    <x v="5"/>
    <x v="5"/>
    <x v="1"/>
    <x v="0"/>
    <s v="M0042"/>
    <x v="10"/>
    <x v="2"/>
    <x v="10"/>
    <s v="Observación de posibles daños"/>
    <x v="1"/>
    <s v="360 Anual"/>
    <d v="2023-06-22T00:00:00"/>
    <d v="2024-06-16T00:00:00"/>
    <x v="1"/>
    <x v="0"/>
    <n v="283"/>
    <n v="637"/>
    <x v="1"/>
  </r>
  <r>
    <x v="535"/>
    <x v="161"/>
    <x v="5"/>
    <x v="5"/>
    <x v="1"/>
    <x v="0"/>
    <s v="M0015"/>
    <x v="33"/>
    <x v="4"/>
    <x v="10"/>
    <s v="Ajuste general de máquinas"/>
    <x v="0"/>
    <n v="0"/>
    <d v="2023-06-22T00:00:00"/>
    <d v="2023-06-27T00:00:00"/>
    <x v="2"/>
    <x v="9"/>
    <n v="395"/>
    <n v="176"/>
    <x v="3"/>
  </r>
  <r>
    <x v="536"/>
    <x v="161"/>
    <x v="5"/>
    <x v="5"/>
    <x v="1"/>
    <x v="0"/>
    <s v="M0007"/>
    <x v="39"/>
    <x v="0"/>
    <x v="2"/>
    <s v="Observación de posibles daños"/>
    <x v="1"/>
    <s v="15 Quincenal"/>
    <d v="2023-06-22T00:00:00"/>
    <d v="2023-07-07T00:00:00"/>
    <x v="1"/>
    <x v="0"/>
    <n v="335"/>
    <n v="784"/>
    <x v="1"/>
  </r>
  <r>
    <x v="537"/>
    <x v="162"/>
    <x v="5"/>
    <x v="5"/>
    <x v="1"/>
    <x v="0"/>
    <s v="M0040"/>
    <x v="41"/>
    <x v="0"/>
    <x v="14"/>
    <s v="Inspección de mangeras"/>
    <x v="0"/>
    <n v="0"/>
    <d v="2023-06-23T00:00:00"/>
    <d v="2023-07-03T00:00:00"/>
    <x v="0"/>
    <x v="0"/>
    <n v="0"/>
    <n v="0"/>
    <x v="0"/>
  </r>
  <r>
    <x v="538"/>
    <x v="163"/>
    <x v="5"/>
    <x v="5"/>
    <x v="1"/>
    <x v="0"/>
    <s v="M0017"/>
    <x v="20"/>
    <x v="0"/>
    <x v="18"/>
    <s v="Inspección y/o reemplazado de filtros de aire"/>
    <x v="0"/>
    <n v="0"/>
    <d v="2023-06-24T00:00:00"/>
    <d v="2023-07-15T00:00:00"/>
    <x v="2"/>
    <x v="22"/>
    <n v="323"/>
    <n v="148"/>
    <x v="1"/>
  </r>
  <r>
    <x v="539"/>
    <x v="163"/>
    <x v="5"/>
    <x v="5"/>
    <x v="1"/>
    <x v="0"/>
    <s v="M0014"/>
    <x v="19"/>
    <x v="2"/>
    <x v="17"/>
    <s v="Inspección y/o reemplazado de filtros de aceite"/>
    <x v="0"/>
    <n v="0"/>
    <d v="2023-06-24T00:00:00"/>
    <d v="2023-06-26T00:00:00"/>
    <x v="2"/>
    <x v="16"/>
    <n v="290"/>
    <n v="835"/>
    <x v="1"/>
  </r>
  <r>
    <x v="540"/>
    <x v="163"/>
    <x v="5"/>
    <x v="5"/>
    <x v="1"/>
    <x v="0"/>
    <s v="M0043"/>
    <x v="23"/>
    <x v="3"/>
    <x v="21"/>
    <s v="Observación de posibles daños"/>
    <x v="1"/>
    <s v="7 Semanal"/>
    <d v="2023-06-24T00:00:00"/>
    <d v="2023-07-01T00:00:00"/>
    <x v="1"/>
    <x v="0"/>
    <n v="753"/>
    <n v="834"/>
    <x v="1"/>
  </r>
  <r>
    <x v="541"/>
    <x v="163"/>
    <x v="5"/>
    <x v="5"/>
    <x v="1"/>
    <x v="0"/>
    <s v="M0039"/>
    <x v="5"/>
    <x v="0"/>
    <x v="3"/>
    <s v="Mantenimiento general"/>
    <x v="0"/>
    <n v="0"/>
    <d v="2023-06-24T00:00:00"/>
    <d v="2023-07-16T00:00:00"/>
    <x v="2"/>
    <x v="1"/>
    <n v="1036"/>
    <n v="378"/>
    <x v="4"/>
  </r>
  <r>
    <x v="542"/>
    <x v="164"/>
    <x v="5"/>
    <x v="5"/>
    <x v="1"/>
    <x v="0"/>
    <s v="M0042"/>
    <x v="10"/>
    <x v="2"/>
    <x v="10"/>
    <s v="Inspección de gases"/>
    <x v="0"/>
    <n v="0"/>
    <d v="2023-06-25T00:00:00"/>
    <d v="2023-07-25T00:00:00"/>
    <x v="2"/>
    <x v="23"/>
    <n v="791"/>
    <n v="462"/>
    <x v="2"/>
  </r>
  <r>
    <x v="543"/>
    <x v="164"/>
    <x v="5"/>
    <x v="5"/>
    <x v="1"/>
    <x v="0"/>
    <s v="M0018"/>
    <x v="0"/>
    <x v="0"/>
    <x v="0"/>
    <s v="Inspección y/o reemplazado de escobillas"/>
    <x v="0"/>
    <n v="0"/>
    <d v="2023-06-25T00:00:00"/>
    <d v="2023-07-04T00:00:00"/>
    <x v="0"/>
    <x v="0"/>
    <n v="0"/>
    <n v="0"/>
    <x v="0"/>
  </r>
  <r>
    <x v="544"/>
    <x v="164"/>
    <x v="5"/>
    <x v="5"/>
    <x v="1"/>
    <x v="0"/>
    <s v="M0042"/>
    <x v="10"/>
    <x v="2"/>
    <x v="10"/>
    <s v="Observación de posibles daños"/>
    <x v="1"/>
    <s v="90 Trimestral"/>
    <d v="2023-06-25T00:00:00"/>
    <d v="2023-09-23T00:00:00"/>
    <x v="1"/>
    <x v="0"/>
    <n v="546"/>
    <n v="221"/>
    <x v="1"/>
  </r>
  <r>
    <x v="545"/>
    <x v="164"/>
    <x v="5"/>
    <x v="5"/>
    <x v="1"/>
    <x v="0"/>
    <s v="M0024"/>
    <x v="21"/>
    <x v="2"/>
    <x v="19"/>
    <s v="Inspección de nivel de com¿bustible"/>
    <x v="0"/>
    <n v="0"/>
    <d v="2023-06-25T00:00:00"/>
    <d v="2023-07-05T00:00:00"/>
    <x v="2"/>
    <x v="30"/>
    <n v="529"/>
    <n v="529"/>
    <x v="4"/>
  </r>
  <r>
    <x v="546"/>
    <x v="164"/>
    <x v="5"/>
    <x v="5"/>
    <x v="1"/>
    <x v="0"/>
    <s v="M0033"/>
    <x v="0"/>
    <x v="0"/>
    <x v="4"/>
    <s v="Observación de posibles daños"/>
    <x v="1"/>
    <s v="15 Quincenal"/>
    <d v="2023-06-25T00:00:00"/>
    <d v="2023-07-10T00:00:00"/>
    <x v="1"/>
    <x v="0"/>
    <n v="687"/>
    <n v="709"/>
    <x v="1"/>
  </r>
  <r>
    <x v="547"/>
    <x v="164"/>
    <x v="5"/>
    <x v="5"/>
    <x v="1"/>
    <x v="0"/>
    <s v="M0026"/>
    <x v="11"/>
    <x v="2"/>
    <x v="11"/>
    <s v="Limpieza y ajuste de inyectores"/>
    <x v="0"/>
    <n v="0"/>
    <d v="2023-06-25T00:00:00"/>
    <d v="2023-06-27T00:00:00"/>
    <x v="2"/>
    <x v="16"/>
    <n v="1005"/>
    <n v="192"/>
    <x v="2"/>
  </r>
  <r>
    <x v="548"/>
    <x v="165"/>
    <x v="5"/>
    <x v="5"/>
    <x v="1"/>
    <x v="0"/>
    <s v="M0003"/>
    <x v="22"/>
    <x v="2"/>
    <x v="20"/>
    <s v="Observación de posibles daños"/>
    <x v="1"/>
    <s v="180 Semestral"/>
    <d v="2023-06-26T00:00:00"/>
    <d v="2023-12-23T00:00:00"/>
    <x v="1"/>
    <x v="0"/>
    <n v="1131"/>
    <n v="973"/>
    <x v="1"/>
  </r>
  <r>
    <x v="549"/>
    <x v="165"/>
    <x v="5"/>
    <x v="5"/>
    <x v="1"/>
    <x v="0"/>
    <s v="M0012"/>
    <x v="3"/>
    <x v="0"/>
    <x v="3"/>
    <s v="Verificación del sistema de enfriado"/>
    <x v="0"/>
    <n v="0"/>
    <d v="2023-06-26T00:00:00"/>
    <d v="2023-07-02T00:00:00"/>
    <x v="2"/>
    <x v="12"/>
    <n v="913"/>
    <n v="928"/>
    <x v="3"/>
  </r>
  <r>
    <x v="550"/>
    <x v="166"/>
    <x v="5"/>
    <x v="5"/>
    <x v="1"/>
    <x v="0"/>
    <s v="M0010"/>
    <x v="37"/>
    <x v="0"/>
    <x v="1"/>
    <s v="Observación de posibles daños"/>
    <x v="1"/>
    <s v="360 Anual"/>
    <d v="2023-06-27T00:00:00"/>
    <d v="2024-06-21T00:00:00"/>
    <x v="1"/>
    <x v="0"/>
    <n v="548"/>
    <n v="274"/>
    <x v="1"/>
  </r>
  <r>
    <x v="551"/>
    <x v="167"/>
    <x v="5"/>
    <x v="5"/>
    <x v="1"/>
    <x v="0"/>
    <s v="M0005"/>
    <x v="8"/>
    <x v="0"/>
    <x v="8"/>
    <s v="Limpieza general"/>
    <x v="0"/>
    <n v="0"/>
    <d v="2023-06-28T00:00:00"/>
    <d v="2023-07-26T00:00:00"/>
    <x v="0"/>
    <x v="0"/>
    <n v="0"/>
    <n v="0"/>
    <x v="0"/>
  </r>
  <r>
    <x v="552"/>
    <x v="167"/>
    <x v="5"/>
    <x v="5"/>
    <x v="1"/>
    <x v="0"/>
    <s v="M0024"/>
    <x v="21"/>
    <x v="2"/>
    <x v="19"/>
    <s v="Inspección de engranes"/>
    <x v="0"/>
    <n v="0"/>
    <d v="2023-06-28T00:00:00"/>
    <d v="2023-07-18T00:00:00"/>
    <x v="0"/>
    <x v="0"/>
    <n v="0"/>
    <n v="0"/>
    <x v="0"/>
  </r>
  <r>
    <x v="553"/>
    <x v="168"/>
    <x v="5"/>
    <x v="5"/>
    <x v="1"/>
    <x v="0"/>
    <s v="M0035"/>
    <x v="34"/>
    <x v="0"/>
    <x v="24"/>
    <s v="Revisió Ajuste y/o de bandas, correas y poleas"/>
    <x v="0"/>
    <n v="0"/>
    <d v="2023-06-29T00:00:00"/>
    <d v="2023-07-24T00:00:00"/>
    <x v="2"/>
    <x v="2"/>
    <n v="711"/>
    <n v="981"/>
    <x v="4"/>
  </r>
  <r>
    <x v="554"/>
    <x v="168"/>
    <x v="5"/>
    <x v="5"/>
    <x v="1"/>
    <x v="0"/>
    <s v="M0032"/>
    <x v="14"/>
    <x v="0"/>
    <x v="8"/>
    <s v="Observación de posibles daños"/>
    <x v="1"/>
    <s v="60 Bimestral"/>
    <d v="2023-06-29T00:00:00"/>
    <d v="2023-08-28T00:00:00"/>
    <x v="1"/>
    <x v="0"/>
    <n v="1118"/>
    <n v="756"/>
    <x v="1"/>
  </r>
  <r>
    <x v="555"/>
    <x v="168"/>
    <x v="5"/>
    <x v="5"/>
    <x v="1"/>
    <x v="0"/>
    <s v="M0012"/>
    <x v="3"/>
    <x v="0"/>
    <x v="3"/>
    <s v="Inspección y/o reemplazo de boquillas"/>
    <x v="0"/>
    <n v="0"/>
    <d v="2023-06-29T00:00:00"/>
    <d v="2023-07-24T00:00:00"/>
    <x v="0"/>
    <x v="0"/>
    <n v="0"/>
    <n v="0"/>
    <x v="0"/>
  </r>
  <r>
    <x v="556"/>
    <x v="168"/>
    <x v="5"/>
    <x v="5"/>
    <x v="1"/>
    <x v="0"/>
    <s v="M0034"/>
    <x v="2"/>
    <x v="0"/>
    <x v="2"/>
    <s v="Observación de posibles daños"/>
    <x v="1"/>
    <s v="360 Anual"/>
    <d v="2023-06-29T00:00:00"/>
    <d v="2024-06-23T00:00:00"/>
    <x v="1"/>
    <x v="0"/>
    <n v="750"/>
    <n v="767"/>
    <x v="1"/>
  </r>
  <r>
    <x v="557"/>
    <x v="169"/>
    <x v="5"/>
    <x v="5"/>
    <x v="1"/>
    <x v="0"/>
    <s v="M0042"/>
    <x v="10"/>
    <x v="2"/>
    <x v="10"/>
    <s v="Inspección y/o reemplazo de toderas"/>
    <x v="0"/>
    <n v="0"/>
    <d v="2023-06-30T00:00:00"/>
    <d v="2023-07-29T00:00:00"/>
    <x v="0"/>
    <x v="0"/>
    <n v="0"/>
    <n v="0"/>
    <x v="0"/>
  </r>
  <r>
    <x v="558"/>
    <x v="170"/>
    <x v="6"/>
    <x v="6"/>
    <x v="2"/>
    <x v="1"/>
    <s v="M0010"/>
    <x v="37"/>
    <x v="0"/>
    <x v="1"/>
    <s v="Ajuste general de máquinas"/>
    <x v="0"/>
    <n v="0"/>
    <d v="2023-07-01T00:00:00"/>
    <d v="2023-07-24T00:00:00"/>
    <x v="0"/>
    <x v="0"/>
    <n v="0"/>
    <n v="0"/>
    <x v="0"/>
  </r>
  <r>
    <x v="559"/>
    <x v="170"/>
    <x v="6"/>
    <x v="6"/>
    <x v="2"/>
    <x v="1"/>
    <s v="M0026"/>
    <x v="11"/>
    <x v="2"/>
    <x v="11"/>
    <s v="Inspección de tuberías "/>
    <x v="0"/>
    <n v="0"/>
    <d v="2023-07-01T00:00:00"/>
    <d v="2023-07-18T00:00:00"/>
    <x v="0"/>
    <x v="0"/>
    <n v="0"/>
    <n v="0"/>
    <x v="0"/>
  </r>
  <r>
    <x v="560"/>
    <x v="171"/>
    <x v="6"/>
    <x v="6"/>
    <x v="2"/>
    <x v="1"/>
    <s v="M0025"/>
    <x v="25"/>
    <x v="2"/>
    <x v="23"/>
    <s v="Observación de posibles daños"/>
    <x v="1"/>
    <s v="90 Trimestral"/>
    <d v="2023-07-02T00:00:00"/>
    <d v="2023-09-30T00:00:00"/>
    <x v="1"/>
    <x v="0"/>
    <n v="420"/>
    <n v="258"/>
    <x v="1"/>
  </r>
  <r>
    <x v="561"/>
    <x v="171"/>
    <x v="6"/>
    <x v="6"/>
    <x v="2"/>
    <x v="1"/>
    <s v="M0005"/>
    <x v="8"/>
    <x v="0"/>
    <x v="8"/>
    <s v="Inspección y/o reemplazado de filtros de aire"/>
    <x v="0"/>
    <n v="0"/>
    <d v="2023-07-02T00:00:00"/>
    <d v="2023-07-18T00:00:00"/>
    <x v="2"/>
    <x v="7"/>
    <n v="1010"/>
    <n v="593"/>
    <x v="4"/>
  </r>
  <r>
    <x v="562"/>
    <x v="171"/>
    <x v="6"/>
    <x v="6"/>
    <x v="2"/>
    <x v="1"/>
    <s v="M0004"/>
    <x v="40"/>
    <x v="2"/>
    <x v="7"/>
    <s v="Inspección y/o reemplazado de filtros de aceite"/>
    <x v="0"/>
    <n v="0"/>
    <d v="2023-07-02T00:00:00"/>
    <d v="2023-07-24T00:00:00"/>
    <x v="2"/>
    <x v="1"/>
    <n v="833"/>
    <n v="517"/>
    <x v="1"/>
  </r>
  <r>
    <x v="563"/>
    <x v="172"/>
    <x v="6"/>
    <x v="6"/>
    <x v="2"/>
    <x v="1"/>
    <s v="M0016"/>
    <x v="31"/>
    <x v="0"/>
    <x v="21"/>
    <s v="Inspección de Frenos"/>
    <x v="0"/>
    <n v="0"/>
    <d v="2023-07-03T00:00:00"/>
    <d v="2023-07-27T00:00:00"/>
    <x v="2"/>
    <x v="25"/>
    <n v="807"/>
    <n v="129"/>
    <x v="3"/>
  </r>
  <r>
    <x v="564"/>
    <x v="172"/>
    <x v="6"/>
    <x v="6"/>
    <x v="2"/>
    <x v="1"/>
    <s v="M0009"/>
    <x v="17"/>
    <x v="0"/>
    <x v="15"/>
    <s v="Observación de posibles daños"/>
    <x v="1"/>
    <s v="7 Semanal"/>
    <d v="2023-07-03T00:00:00"/>
    <d v="2023-07-10T00:00:00"/>
    <x v="1"/>
    <x v="0"/>
    <n v="226"/>
    <n v="370"/>
    <x v="1"/>
  </r>
  <r>
    <x v="565"/>
    <x v="173"/>
    <x v="6"/>
    <x v="6"/>
    <x v="2"/>
    <x v="1"/>
    <s v="M0020"/>
    <x v="13"/>
    <x v="0"/>
    <x v="13"/>
    <s v="Inspección de gases"/>
    <x v="0"/>
    <n v="0"/>
    <d v="2023-07-04T00:00:00"/>
    <d v="2023-07-07T00:00:00"/>
    <x v="0"/>
    <x v="0"/>
    <n v="0"/>
    <n v="0"/>
    <x v="0"/>
  </r>
  <r>
    <x v="566"/>
    <x v="174"/>
    <x v="6"/>
    <x v="6"/>
    <x v="2"/>
    <x v="1"/>
    <s v="M0002"/>
    <x v="16"/>
    <x v="0"/>
    <x v="12"/>
    <s v="Observación de posibles daños"/>
    <x v="1"/>
    <s v="360 Anual"/>
    <d v="2023-07-05T00:00:00"/>
    <d v="2024-06-29T00:00:00"/>
    <x v="1"/>
    <x v="0"/>
    <n v="319"/>
    <n v="608"/>
    <x v="1"/>
  </r>
  <r>
    <x v="567"/>
    <x v="174"/>
    <x v="6"/>
    <x v="6"/>
    <x v="2"/>
    <x v="1"/>
    <s v="M0033"/>
    <x v="0"/>
    <x v="0"/>
    <x v="4"/>
    <s v="Inspección y/o reemplazado de cuchillas"/>
    <x v="0"/>
    <n v="0"/>
    <d v="2023-07-05T00:00:00"/>
    <d v="2023-07-11T00:00:00"/>
    <x v="2"/>
    <x v="12"/>
    <n v="831"/>
    <n v="477"/>
    <x v="1"/>
  </r>
  <r>
    <x v="568"/>
    <x v="174"/>
    <x v="6"/>
    <x v="6"/>
    <x v="2"/>
    <x v="1"/>
    <s v="M0033"/>
    <x v="0"/>
    <x v="0"/>
    <x v="4"/>
    <s v="Observación de posibles daños"/>
    <x v="1"/>
    <s v="7 Semanal"/>
    <d v="2023-07-05T00:00:00"/>
    <d v="2023-07-12T00:00:00"/>
    <x v="1"/>
    <x v="0"/>
    <n v="1184"/>
    <n v="522"/>
    <x v="1"/>
  </r>
  <r>
    <x v="569"/>
    <x v="174"/>
    <x v="6"/>
    <x v="6"/>
    <x v="2"/>
    <x v="1"/>
    <s v="M0002"/>
    <x v="16"/>
    <x v="0"/>
    <x v="12"/>
    <s v="Revisión de válvulas"/>
    <x v="0"/>
    <n v="0"/>
    <d v="2023-07-05T00:00:00"/>
    <d v="2023-07-30T00:00:00"/>
    <x v="2"/>
    <x v="2"/>
    <n v="447"/>
    <n v="746"/>
    <x v="2"/>
  </r>
  <r>
    <x v="570"/>
    <x v="175"/>
    <x v="6"/>
    <x v="6"/>
    <x v="2"/>
    <x v="1"/>
    <s v="M0030"/>
    <x v="35"/>
    <x v="0"/>
    <x v="20"/>
    <s v="Observación de posibles daños"/>
    <x v="1"/>
    <s v="60 Bimestral"/>
    <d v="2023-07-06T00:00:00"/>
    <d v="2023-09-04T00:00:00"/>
    <x v="1"/>
    <x v="0"/>
    <n v="1024"/>
    <n v="538"/>
    <x v="1"/>
  </r>
  <r>
    <x v="571"/>
    <x v="175"/>
    <x v="6"/>
    <x v="6"/>
    <x v="2"/>
    <x v="1"/>
    <s v="M0025"/>
    <x v="25"/>
    <x v="2"/>
    <x v="23"/>
    <s v="Limpieza y ajuste de terminales de baterías"/>
    <x v="0"/>
    <n v="0"/>
    <d v="2023-07-06T00:00:00"/>
    <d v="2023-08-03T00:00:00"/>
    <x v="2"/>
    <x v="3"/>
    <n v="745"/>
    <n v="579"/>
    <x v="2"/>
  </r>
  <r>
    <x v="572"/>
    <x v="176"/>
    <x v="6"/>
    <x v="6"/>
    <x v="2"/>
    <x v="1"/>
    <s v="M0016"/>
    <x v="31"/>
    <x v="0"/>
    <x v="21"/>
    <s v="Verificación del sistema de enfriado"/>
    <x v="0"/>
    <n v="0"/>
    <d v="2023-07-08T00:00:00"/>
    <d v="2023-07-26T00:00:00"/>
    <x v="2"/>
    <x v="5"/>
    <n v="637"/>
    <n v="758"/>
    <x v="1"/>
  </r>
  <r>
    <x v="573"/>
    <x v="176"/>
    <x v="6"/>
    <x v="6"/>
    <x v="2"/>
    <x v="1"/>
    <s v="M0029"/>
    <x v="12"/>
    <x v="3"/>
    <x v="12"/>
    <s v="Limpieza de ventilador"/>
    <x v="0"/>
    <n v="0"/>
    <d v="2023-07-08T00:00:00"/>
    <d v="2023-07-24T00:00:00"/>
    <x v="2"/>
    <x v="7"/>
    <n v="472"/>
    <n v="545"/>
    <x v="2"/>
  </r>
  <r>
    <x v="574"/>
    <x v="176"/>
    <x v="6"/>
    <x v="6"/>
    <x v="2"/>
    <x v="1"/>
    <s v="M0038"/>
    <x v="30"/>
    <x v="0"/>
    <x v="26"/>
    <s v="Limpieza general"/>
    <x v="0"/>
    <n v="0"/>
    <d v="2023-07-08T00:00:00"/>
    <d v="2023-07-15T00:00:00"/>
    <x v="0"/>
    <x v="0"/>
    <n v="0"/>
    <n v="0"/>
    <x v="0"/>
  </r>
  <r>
    <x v="575"/>
    <x v="177"/>
    <x v="6"/>
    <x v="6"/>
    <x v="2"/>
    <x v="1"/>
    <s v="M0021"/>
    <x v="9"/>
    <x v="0"/>
    <x v="9"/>
    <s v="Inspección de engranes"/>
    <x v="0"/>
    <n v="0"/>
    <d v="2023-07-09T00:00:00"/>
    <d v="2023-07-22T00:00:00"/>
    <x v="0"/>
    <x v="0"/>
    <n v="0"/>
    <n v="0"/>
    <x v="0"/>
  </r>
  <r>
    <x v="576"/>
    <x v="177"/>
    <x v="6"/>
    <x v="6"/>
    <x v="2"/>
    <x v="1"/>
    <s v="M0001"/>
    <x v="38"/>
    <x v="0"/>
    <x v="25"/>
    <s v="Revisió Ajuste y/o de bandas, correas y poleas"/>
    <x v="0"/>
    <n v="0"/>
    <d v="2023-07-09T00:00:00"/>
    <d v="2023-08-04T00:00:00"/>
    <x v="2"/>
    <x v="6"/>
    <n v="395"/>
    <n v="559"/>
    <x v="4"/>
  </r>
  <r>
    <x v="577"/>
    <x v="178"/>
    <x v="6"/>
    <x v="6"/>
    <x v="2"/>
    <x v="1"/>
    <s v="M0017"/>
    <x v="20"/>
    <x v="0"/>
    <x v="18"/>
    <s v="Observación de posibles daños"/>
    <x v="0"/>
    <n v="0"/>
    <d v="2023-07-10T00:00:00"/>
    <d v="2023-07-15T00:00:00"/>
    <x v="2"/>
    <x v="9"/>
    <n v="305"/>
    <n v="109"/>
    <x v="4"/>
  </r>
  <r>
    <x v="578"/>
    <x v="178"/>
    <x v="6"/>
    <x v="6"/>
    <x v="2"/>
    <x v="1"/>
    <s v="M0039"/>
    <x v="5"/>
    <x v="0"/>
    <x v="3"/>
    <s v="Observación de posibles daños"/>
    <x v="1"/>
    <s v="60 Bimestral"/>
    <d v="2023-07-10T00:00:00"/>
    <d v="2023-09-08T00:00:00"/>
    <x v="1"/>
    <x v="0"/>
    <n v="1138"/>
    <n v="984"/>
    <x v="1"/>
  </r>
  <r>
    <x v="579"/>
    <x v="178"/>
    <x v="6"/>
    <x v="6"/>
    <x v="2"/>
    <x v="1"/>
    <s v="M0043"/>
    <x v="23"/>
    <x v="3"/>
    <x v="21"/>
    <s v="Inspección y/o reemplazo de tubos de contacto"/>
    <x v="0"/>
    <n v="0"/>
    <d v="2023-07-10T00:00:00"/>
    <d v="2023-07-20T00:00:00"/>
    <x v="2"/>
    <x v="30"/>
    <n v="319"/>
    <n v="650"/>
    <x v="2"/>
  </r>
  <r>
    <x v="580"/>
    <x v="179"/>
    <x v="6"/>
    <x v="6"/>
    <x v="2"/>
    <x v="1"/>
    <s v="M0002"/>
    <x v="16"/>
    <x v="0"/>
    <x v="12"/>
    <s v="Observación de posibles daños"/>
    <x v="1"/>
    <s v="7 Semanal"/>
    <d v="2023-07-11T00:00:00"/>
    <d v="2023-07-18T00:00:00"/>
    <x v="1"/>
    <x v="0"/>
    <n v="1199"/>
    <n v="447"/>
    <x v="1"/>
  </r>
  <r>
    <x v="581"/>
    <x v="180"/>
    <x v="6"/>
    <x v="6"/>
    <x v="2"/>
    <x v="1"/>
    <s v="M0006"/>
    <x v="32"/>
    <x v="0"/>
    <x v="4"/>
    <s v="Ajuste general de máquinas"/>
    <x v="0"/>
    <n v="0"/>
    <d v="2023-07-12T00:00:00"/>
    <d v="2023-08-02T00:00:00"/>
    <x v="0"/>
    <x v="0"/>
    <n v="0"/>
    <n v="0"/>
    <x v="0"/>
  </r>
  <r>
    <x v="582"/>
    <x v="180"/>
    <x v="6"/>
    <x v="6"/>
    <x v="2"/>
    <x v="1"/>
    <s v="M0018"/>
    <x v="0"/>
    <x v="0"/>
    <x v="0"/>
    <s v="Inspección de tuberías "/>
    <x v="0"/>
    <n v="0"/>
    <d v="2023-07-12T00:00:00"/>
    <d v="2023-07-16T00:00:00"/>
    <x v="0"/>
    <x v="0"/>
    <n v="0"/>
    <n v="0"/>
    <x v="0"/>
  </r>
  <r>
    <x v="583"/>
    <x v="181"/>
    <x v="6"/>
    <x v="6"/>
    <x v="2"/>
    <x v="1"/>
    <s v="M0010"/>
    <x v="37"/>
    <x v="0"/>
    <x v="1"/>
    <s v="Inspección de mangeras"/>
    <x v="0"/>
    <n v="0"/>
    <d v="2023-07-13T00:00:00"/>
    <d v="2023-07-21T00:00:00"/>
    <x v="0"/>
    <x v="0"/>
    <n v="0"/>
    <n v="0"/>
    <x v="0"/>
  </r>
  <r>
    <x v="584"/>
    <x v="181"/>
    <x v="6"/>
    <x v="6"/>
    <x v="2"/>
    <x v="1"/>
    <s v="M0022"/>
    <x v="24"/>
    <x v="0"/>
    <x v="22"/>
    <s v="Inspección y/o reemplazado de filtros de aire"/>
    <x v="0"/>
    <n v="0"/>
    <d v="2023-07-13T00:00:00"/>
    <d v="2023-07-17T00:00:00"/>
    <x v="0"/>
    <x v="0"/>
    <n v="0"/>
    <n v="0"/>
    <x v="0"/>
  </r>
  <r>
    <x v="585"/>
    <x v="182"/>
    <x v="6"/>
    <x v="6"/>
    <x v="2"/>
    <x v="1"/>
    <s v="M0030"/>
    <x v="35"/>
    <x v="0"/>
    <x v="20"/>
    <s v="Inspección y/o reemplazado de filtros de aceite"/>
    <x v="0"/>
    <n v="0"/>
    <d v="2023-07-14T00:00:00"/>
    <d v="2023-08-10T00:00:00"/>
    <x v="0"/>
    <x v="0"/>
    <n v="0"/>
    <n v="0"/>
    <x v="0"/>
  </r>
  <r>
    <x v="586"/>
    <x v="182"/>
    <x v="6"/>
    <x v="6"/>
    <x v="2"/>
    <x v="1"/>
    <s v="M0016"/>
    <x v="31"/>
    <x v="0"/>
    <x v="21"/>
    <s v="Observación de posibles daños"/>
    <x v="1"/>
    <s v="15 Quincenal"/>
    <d v="2023-07-14T00:00:00"/>
    <d v="2023-07-29T00:00:00"/>
    <x v="1"/>
    <x v="0"/>
    <n v="491"/>
    <n v="437"/>
    <x v="1"/>
  </r>
  <r>
    <x v="587"/>
    <x v="183"/>
    <x v="6"/>
    <x v="6"/>
    <x v="2"/>
    <x v="1"/>
    <s v="M0036"/>
    <x v="27"/>
    <x v="0"/>
    <x v="15"/>
    <s v="Mantenimiento general"/>
    <x v="0"/>
    <n v="0"/>
    <d v="2023-07-15T00:00:00"/>
    <d v="2023-07-28T00:00:00"/>
    <x v="2"/>
    <x v="29"/>
    <n v="1193"/>
    <n v="189"/>
    <x v="2"/>
  </r>
  <r>
    <x v="588"/>
    <x v="183"/>
    <x v="6"/>
    <x v="6"/>
    <x v="2"/>
    <x v="1"/>
    <s v="M0038"/>
    <x v="30"/>
    <x v="0"/>
    <x v="26"/>
    <s v="Observación de posibles daños"/>
    <x v="1"/>
    <s v="60 Bimestral"/>
    <d v="2023-07-15T00:00:00"/>
    <d v="2023-09-13T00:00:00"/>
    <x v="1"/>
    <x v="0"/>
    <n v="688"/>
    <n v="436"/>
    <x v="1"/>
  </r>
  <r>
    <x v="589"/>
    <x v="183"/>
    <x v="6"/>
    <x v="6"/>
    <x v="2"/>
    <x v="1"/>
    <s v="M0013"/>
    <x v="15"/>
    <x v="0"/>
    <x v="14"/>
    <s v="Inspección y/o reemplazado de escobillas"/>
    <x v="0"/>
    <n v="0"/>
    <d v="2023-07-15T00:00:00"/>
    <d v="2023-08-09T00:00:00"/>
    <x v="2"/>
    <x v="2"/>
    <n v="804"/>
    <n v="484"/>
    <x v="1"/>
  </r>
  <r>
    <x v="590"/>
    <x v="183"/>
    <x v="6"/>
    <x v="6"/>
    <x v="2"/>
    <x v="1"/>
    <s v="M0041"/>
    <x v="28"/>
    <x v="0"/>
    <x v="17"/>
    <s v="Observación de posibles daños"/>
    <x v="1"/>
    <s v="30 Mensual"/>
    <d v="2023-07-15T00:00:00"/>
    <d v="2023-08-14T00:00:00"/>
    <x v="1"/>
    <x v="0"/>
    <n v="349"/>
    <n v="702"/>
    <x v="1"/>
  </r>
  <r>
    <x v="591"/>
    <x v="183"/>
    <x v="6"/>
    <x v="6"/>
    <x v="2"/>
    <x v="1"/>
    <s v="M0025"/>
    <x v="25"/>
    <x v="2"/>
    <x v="23"/>
    <s v="Inspección de nivel de com¿bustible"/>
    <x v="0"/>
    <n v="0"/>
    <d v="2023-07-15T00:00:00"/>
    <d v="2023-08-14T00:00:00"/>
    <x v="2"/>
    <x v="23"/>
    <n v="668"/>
    <n v="446"/>
    <x v="4"/>
  </r>
  <r>
    <x v="592"/>
    <x v="183"/>
    <x v="6"/>
    <x v="6"/>
    <x v="2"/>
    <x v="1"/>
    <s v="M0033"/>
    <x v="0"/>
    <x v="0"/>
    <x v="4"/>
    <s v="Observación de posibles daños"/>
    <x v="1"/>
    <s v="180 Semestral"/>
    <d v="2023-07-15T00:00:00"/>
    <d v="2024-01-11T00:00:00"/>
    <x v="1"/>
    <x v="0"/>
    <n v="808"/>
    <n v="359"/>
    <x v="1"/>
  </r>
  <r>
    <x v="593"/>
    <x v="184"/>
    <x v="6"/>
    <x v="6"/>
    <x v="2"/>
    <x v="1"/>
    <s v="M0016"/>
    <x v="31"/>
    <x v="0"/>
    <x v="21"/>
    <s v="Limpieza y ajuste de inyectores"/>
    <x v="0"/>
    <n v="0"/>
    <d v="2023-07-16T00:00:00"/>
    <d v="2023-08-09T00:00:00"/>
    <x v="2"/>
    <x v="25"/>
    <n v="964"/>
    <n v="328"/>
    <x v="3"/>
  </r>
  <r>
    <x v="594"/>
    <x v="184"/>
    <x v="6"/>
    <x v="6"/>
    <x v="2"/>
    <x v="1"/>
    <s v="M0014"/>
    <x v="19"/>
    <x v="2"/>
    <x v="17"/>
    <s v="Observación de posibles daños"/>
    <x v="1"/>
    <s v="360 Anual"/>
    <d v="2023-07-16T00:00:00"/>
    <d v="2024-07-10T00:00:00"/>
    <x v="1"/>
    <x v="0"/>
    <n v="1035"/>
    <n v="331"/>
    <x v="1"/>
  </r>
  <r>
    <x v="595"/>
    <x v="184"/>
    <x v="6"/>
    <x v="6"/>
    <x v="2"/>
    <x v="1"/>
    <s v="M0031"/>
    <x v="7"/>
    <x v="0"/>
    <x v="7"/>
    <s v="Verificación del sistema de enfriado"/>
    <x v="0"/>
    <n v="0"/>
    <d v="2023-07-16T00:00:00"/>
    <d v="2023-08-03T00:00:00"/>
    <x v="0"/>
    <x v="0"/>
    <n v="0"/>
    <n v="0"/>
    <x v="0"/>
  </r>
  <r>
    <x v="596"/>
    <x v="184"/>
    <x v="6"/>
    <x v="6"/>
    <x v="2"/>
    <x v="1"/>
    <s v="M0014"/>
    <x v="19"/>
    <x v="2"/>
    <x v="17"/>
    <s v="Limpieza de ventilador"/>
    <x v="0"/>
    <n v="0"/>
    <d v="2023-07-16T00:00:00"/>
    <d v="2023-08-06T00:00:00"/>
    <x v="0"/>
    <x v="0"/>
    <n v="0"/>
    <n v="0"/>
    <x v="0"/>
  </r>
  <r>
    <x v="597"/>
    <x v="184"/>
    <x v="6"/>
    <x v="6"/>
    <x v="2"/>
    <x v="1"/>
    <s v="M0005"/>
    <x v="8"/>
    <x v="0"/>
    <x v="8"/>
    <s v="Limpieza general"/>
    <x v="0"/>
    <n v="0"/>
    <d v="2023-07-16T00:00:00"/>
    <d v="2023-07-24T00:00:00"/>
    <x v="2"/>
    <x v="8"/>
    <n v="448"/>
    <n v="734"/>
    <x v="3"/>
  </r>
  <r>
    <x v="598"/>
    <x v="185"/>
    <x v="6"/>
    <x v="6"/>
    <x v="2"/>
    <x v="1"/>
    <s v="M0030"/>
    <x v="35"/>
    <x v="0"/>
    <x v="20"/>
    <s v="Observación de posibles daños"/>
    <x v="1"/>
    <s v="60 Bimestral"/>
    <d v="2023-07-17T00:00:00"/>
    <d v="2023-09-15T00:00:00"/>
    <x v="1"/>
    <x v="0"/>
    <n v="903"/>
    <n v="273"/>
    <x v="1"/>
  </r>
  <r>
    <x v="599"/>
    <x v="185"/>
    <x v="6"/>
    <x v="6"/>
    <x v="2"/>
    <x v="1"/>
    <s v="M0033"/>
    <x v="0"/>
    <x v="0"/>
    <x v="4"/>
    <s v="Revisió Ajuste y/o de bandas, correas y poleas"/>
    <x v="0"/>
    <n v="0"/>
    <d v="2023-07-17T00:00:00"/>
    <d v="2023-08-08T00:00:00"/>
    <x v="2"/>
    <x v="1"/>
    <n v="439"/>
    <n v="970"/>
    <x v="4"/>
  </r>
  <r>
    <x v="600"/>
    <x v="185"/>
    <x v="6"/>
    <x v="6"/>
    <x v="2"/>
    <x v="1"/>
    <s v="M0015"/>
    <x v="33"/>
    <x v="4"/>
    <x v="10"/>
    <s v="Observación de posibles daños"/>
    <x v="0"/>
    <n v="0"/>
    <d v="2023-07-17T00:00:00"/>
    <d v="2023-08-10T00:00:00"/>
    <x v="0"/>
    <x v="0"/>
    <n v="0"/>
    <n v="0"/>
    <x v="0"/>
  </r>
  <r>
    <x v="601"/>
    <x v="186"/>
    <x v="6"/>
    <x v="6"/>
    <x v="2"/>
    <x v="1"/>
    <s v="M0017"/>
    <x v="20"/>
    <x v="0"/>
    <x v="18"/>
    <s v="Inspección y/o reemplazo de boquillas"/>
    <x v="0"/>
    <n v="0"/>
    <d v="2023-07-18T00:00:00"/>
    <d v="2023-08-10T00:00:00"/>
    <x v="2"/>
    <x v="10"/>
    <n v="813"/>
    <n v="193"/>
    <x v="4"/>
  </r>
  <r>
    <x v="602"/>
    <x v="186"/>
    <x v="6"/>
    <x v="6"/>
    <x v="2"/>
    <x v="1"/>
    <s v="M0007"/>
    <x v="39"/>
    <x v="0"/>
    <x v="2"/>
    <s v="Inspección y/o reemplazo de tubos de contacto"/>
    <x v="0"/>
    <n v="0"/>
    <d v="2023-07-18T00:00:00"/>
    <d v="2023-07-23T00:00:00"/>
    <x v="0"/>
    <x v="0"/>
    <n v="0"/>
    <n v="0"/>
    <x v="0"/>
  </r>
  <r>
    <x v="603"/>
    <x v="186"/>
    <x v="6"/>
    <x v="6"/>
    <x v="2"/>
    <x v="1"/>
    <s v="M0021"/>
    <x v="9"/>
    <x v="0"/>
    <x v="9"/>
    <s v="Inspección y/o reemplazo de toderas"/>
    <x v="0"/>
    <n v="0"/>
    <d v="2023-07-18T00:00:00"/>
    <d v="2023-08-14T00:00:00"/>
    <x v="0"/>
    <x v="0"/>
    <n v="0"/>
    <n v="0"/>
    <x v="0"/>
  </r>
  <r>
    <x v="604"/>
    <x v="187"/>
    <x v="6"/>
    <x v="6"/>
    <x v="2"/>
    <x v="1"/>
    <s v="M0033"/>
    <x v="0"/>
    <x v="0"/>
    <x v="4"/>
    <s v="Observación de posibles daños"/>
    <x v="1"/>
    <s v="7 Semanal"/>
    <d v="2023-07-19T00:00:00"/>
    <d v="2023-07-26T00:00:00"/>
    <x v="1"/>
    <x v="0"/>
    <n v="1120"/>
    <n v="517"/>
    <x v="1"/>
  </r>
  <r>
    <x v="605"/>
    <x v="187"/>
    <x v="6"/>
    <x v="6"/>
    <x v="2"/>
    <x v="1"/>
    <s v="M0032"/>
    <x v="14"/>
    <x v="0"/>
    <x v="8"/>
    <s v="Inspección de tuberías "/>
    <x v="0"/>
    <n v="0"/>
    <d v="2023-07-19T00:00:00"/>
    <d v="2023-08-04T00:00:00"/>
    <x v="2"/>
    <x v="7"/>
    <n v="848"/>
    <n v="810"/>
    <x v="2"/>
  </r>
  <r>
    <x v="606"/>
    <x v="188"/>
    <x v="6"/>
    <x v="6"/>
    <x v="2"/>
    <x v="1"/>
    <s v="M0016"/>
    <x v="31"/>
    <x v="0"/>
    <x v="21"/>
    <s v="Inspección de mangeras"/>
    <x v="0"/>
    <n v="0"/>
    <d v="2023-07-20T00:00:00"/>
    <d v="2023-08-14T00:00:00"/>
    <x v="0"/>
    <x v="0"/>
    <n v="0"/>
    <n v="0"/>
    <x v="0"/>
  </r>
  <r>
    <x v="607"/>
    <x v="189"/>
    <x v="6"/>
    <x v="6"/>
    <x v="2"/>
    <x v="1"/>
    <s v="M0016"/>
    <x v="31"/>
    <x v="0"/>
    <x v="21"/>
    <s v="Inspección y/o reemplazado de filtros de aire"/>
    <x v="0"/>
    <n v="0"/>
    <d v="2023-07-21T00:00:00"/>
    <d v="2023-08-11T00:00:00"/>
    <x v="0"/>
    <x v="0"/>
    <n v="0"/>
    <n v="0"/>
    <x v="0"/>
  </r>
  <r>
    <x v="608"/>
    <x v="189"/>
    <x v="6"/>
    <x v="6"/>
    <x v="2"/>
    <x v="1"/>
    <s v="M0021"/>
    <x v="9"/>
    <x v="0"/>
    <x v="9"/>
    <s v="Inspección y/o reemplazado de filtros de aceite"/>
    <x v="0"/>
    <n v="0"/>
    <d v="2023-07-21T00:00:00"/>
    <d v="2023-08-10T00:00:00"/>
    <x v="0"/>
    <x v="0"/>
    <n v="0"/>
    <n v="0"/>
    <x v="0"/>
  </r>
  <r>
    <x v="609"/>
    <x v="189"/>
    <x v="6"/>
    <x v="6"/>
    <x v="2"/>
    <x v="1"/>
    <s v="M0012"/>
    <x v="3"/>
    <x v="0"/>
    <x v="3"/>
    <s v="Inspección de Frenos"/>
    <x v="0"/>
    <n v="0"/>
    <d v="2023-07-21T00:00:00"/>
    <d v="2023-08-09T00:00:00"/>
    <x v="2"/>
    <x v="27"/>
    <n v="356"/>
    <n v="209"/>
    <x v="4"/>
  </r>
  <r>
    <x v="610"/>
    <x v="189"/>
    <x v="6"/>
    <x v="6"/>
    <x v="2"/>
    <x v="1"/>
    <s v="M0031"/>
    <x v="7"/>
    <x v="0"/>
    <x v="7"/>
    <s v="Observación de posibles daños"/>
    <x v="1"/>
    <s v="60 Bimestral"/>
    <d v="2023-07-21T00:00:00"/>
    <d v="2023-09-19T00:00:00"/>
    <x v="1"/>
    <x v="0"/>
    <n v="674"/>
    <n v="385"/>
    <x v="1"/>
  </r>
  <r>
    <x v="611"/>
    <x v="190"/>
    <x v="6"/>
    <x v="6"/>
    <x v="2"/>
    <x v="1"/>
    <s v="M0033"/>
    <x v="0"/>
    <x v="0"/>
    <x v="4"/>
    <s v="Inspección de gases"/>
    <x v="0"/>
    <n v="0"/>
    <d v="2023-07-22T00:00:00"/>
    <d v="2023-08-17T00:00:00"/>
    <x v="2"/>
    <x v="6"/>
    <n v="448"/>
    <n v="379"/>
    <x v="4"/>
  </r>
  <r>
    <x v="612"/>
    <x v="191"/>
    <x v="6"/>
    <x v="6"/>
    <x v="2"/>
    <x v="1"/>
    <s v="M0043"/>
    <x v="23"/>
    <x v="3"/>
    <x v="21"/>
    <s v="Observación de posibles daños"/>
    <x v="1"/>
    <s v="360 Anual"/>
    <d v="2023-07-23T00:00:00"/>
    <d v="2024-07-17T00:00:00"/>
    <x v="1"/>
    <x v="0"/>
    <n v="761"/>
    <n v="468"/>
    <x v="1"/>
  </r>
  <r>
    <x v="613"/>
    <x v="192"/>
    <x v="6"/>
    <x v="6"/>
    <x v="2"/>
    <x v="1"/>
    <s v="M0007"/>
    <x v="39"/>
    <x v="0"/>
    <x v="2"/>
    <s v="Inspección y/o reemplazado de cuchillas"/>
    <x v="0"/>
    <n v="0"/>
    <d v="2023-07-24T00:00:00"/>
    <d v="2023-07-26T00:00:00"/>
    <x v="0"/>
    <x v="0"/>
    <n v="0"/>
    <n v="0"/>
    <x v="0"/>
  </r>
  <r>
    <x v="614"/>
    <x v="192"/>
    <x v="6"/>
    <x v="6"/>
    <x v="2"/>
    <x v="1"/>
    <s v="M0028"/>
    <x v="29"/>
    <x v="0"/>
    <x v="25"/>
    <s v="Inspección de nivel de com¿bustible"/>
    <x v="0"/>
    <n v="0"/>
    <d v="2023-07-24T00:00:00"/>
    <d v="2023-07-30T00:00:00"/>
    <x v="0"/>
    <x v="0"/>
    <n v="0"/>
    <n v="0"/>
    <x v="0"/>
  </r>
  <r>
    <x v="615"/>
    <x v="193"/>
    <x v="6"/>
    <x v="6"/>
    <x v="2"/>
    <x v="1"/>
    <s v="M0015"/>
    <x v="33"/>
    <x v="4"/>
    <x v="10"/>
    <s v="Revisión de válvulas"/>
    <x v="0"/>
    <n v="0"/>
    <d v="2023-07-25T00:00:00"/>
    <d v="2023-07-30T00:00:00"/>
    <x v="0"/>
    <x v="0"/>
    <n v="0"/>
    <n v="0"/>
    <x v="0"/>
  </r>
  <r>
    <x v="616"/>
    <x v="193"/>
    <x v="6"/>
    <x v="6"/>
    <x v="2"/>
    <x v="1"/>
    <s v="M0021"/>
    <x v="9"/>
    <x v="0"/>
    <x v="9"/>
    <s v="Limpieza y ajuste de inyectores"/>
    <x v="0"/>
    <n v="0"/>
    <d v="2023-07-25T00:00:00"/>
    <d v="2023-08-01T00:00:00"/>
    <x v="0"/>
    <x v="0"/>
    <n v="0"/>
    <n v="0"/>
    <x v="0"/>
  </r>
  <r>
    <x v="617"/>
    <x v="194"/>
    <x v="6"/>
    <x v="6"/>
    <x v="2"/>
    <x v="1"/>
    <s v="M0035"/>
    <x v="34"/>
    <x v="0"/>
    <x v="24"/>
    <s v="Limpieza y ajuste de terminales de baterías"/>
    <x v="0"/>
    <n v="0"/>
    <d v="2023-07-26T00:00:00"/>
    <d v="2023-08-22T00:00:00"/>
    <x v="0"/>
    <x v="0"/>
    <n v="0"/>
    <n v="0"/>
    <x v="0"/>
  </r>
  <r>
    <x v="618"/>
    <x v="195"/>
    <x v="6"/>
    <x v="6"/>
    <x v="2"/>
    <x v="1"/>
    <s v="M0009"/>
    <x v="17"/>
    <x v="0"/>
    <x v="15"/>
    <s v="Observación de posibles daños"/>
    <x v="1"/>
    <s v="30 Mensual"/>
    <d v="2023-07-27T00:00:00"/>
    <d v="2023-08-26T00:00:00"/>
    <x v="1"/>
    <x v="0"/>
    <n v="554"/>
    <n v="458"/>
    <x v="1"/>
  </r>
  <r>
    <x v="619"/>
    <x v="195"/>
    <x v="6"/>
    <x v="6"/>
    <x v="2"/>
    <x v="1"/>
    <s v="M0032"/>
    <x v="14"/>
    <x v="0"/>
    <x v="8"/>
    <s v="Limpieza de ventilador"/>
    <x v="0"/>
    <n v="0"/>
    <d v="2023-07-27T00:00:00"/>
    <d v="2023-07-28T00:00:00"/>
    <x v="0"/>
    <x v="0"/>
    <n v="0"/>
    <n v="0"/>
    <x v="0"/>
  </r>
  <r>
    <x v="620"/>
    <x v="196"/>
    <x v="6"/>
    <x v="6"/>
    <x v="2"/>
    <x v="1"/>
    <s v="M0007"/>
    <x v="39"/>
    <x v="0"/>
    <x v="2"/>
    <s v="Observación de posibles daños"/>
    <x v="1"/>
    <s v="7 Semanal"/>
    <d v="2023-07-28T00:00:00"/>
    <d v="2023-08-04T00:00:00"/>
    <x v="1"/>
    <x v="0"/>
    <n v="796"/>
    <n v="945"/>
    <x v="1"/>
  </r>
  <r>
    <x v="621"/>
    <x v="196"/>
    <x v="6"/>
    <x v="6"/>
    <x v="2"/>
    <x v="1"/>
    <s v="M0033"/>
    <x v="0"/>
    <x v="0"/>
    <x v="4"/>
    <s v="Inspección de engranes"/>
    <x v="0"/>
    <n v="0"/>
    <d v="2023-07-28T00:00:00"/>
    <d v="2023-08-23T00:00:00"/>
    <x v="0"/>
    <x v="0"/>
    <n v="0"/>
    <n v="0"/>
    <x v="0"/>
  </r>
  <r>
    <x v="622"/>
    <x v="197"/>
    <x v="6"/>
    <x v="6"/>
    <x v="2"/>
    <x v="1"/>
    <s v="M0010"/>
    <x v="37"/>
    <x v="0"/>
    <x v="1"/>
    <s v="Revisió Ajuste y/o de bandas, correas y poleas"/>
    <x v="0"/>
    <n v="0"/>
    <d v="2023-07-29T00:00:00"/>
    <d v="2023-08-25T00:00:00"/>
    <x v="2"/>
    <x v="19"/>
    <n v="707"/>
    <n v="272"/>
    <x v="2"/>
  </r>
  <r>
    <x v="623"/>
    <x v="197"/>
    <x v="6"/>
    <x v="6"/>
    <x v="2"/>
    <x v="1"/>
    <s v="M0028"/>
    <x v="29"/>
    <x v="0"/>
    <x v="25"/>
    <s v="Observación de posibles daños"/>
    <x v="0"/>
    <n v="0"/>
    <d v="2023-07-29T00:00:00"/>
    <d v="2023-08-06T00:00:00"/>
    <x v="2"/>
    <x v="8"/>
    <n v="357"/>
    <n v="292"/>
    <x v="4"/>
  </r>
  <r>
    <x v="624"/>
    <x v="198"/>
    <x v="6"/>
    <x v="6"/>
    <x v="2"/>
    <x v="1"/>
    <s v="M0030"/>
    <x v="35"/>
    <x v="0"/>
    <x v="20"/>
    <s v="Inspección y/o reemplazo de boquillas"/>
    <x v="0"/>
    <n v="0"/>
    <d v="2023-07-30T00:00:00"/>
    <d v="2023-08-16T00:00:00"/>
    <x v="2"/>
    <x v="14"/>
    <n v="670"/>
    <n v="984"/>
    <x v="4"/>
  </r>
  <r>
    <x v="625"/>
    <x v="199"/>
    <x v="6"/>
    <x v="6"/>
    <x v="2"/>
    <x v="1"/>
    <s v="M0028"/>
    <x v="29"/>
    <x v="0"/>
    <x v="25"/>
    <s v="Inspección y/o reemplazo de tubos de contacto"/>
    <x v="0"/>
    <n v="0"/>
    <d v="2023-07-31T00:00:00"/>
    <d v="2023-08-14T00:00:00"/>
    <x v="2"/>
    <x v="21"/>
    <n v="569"/>
    <n v="425"/>
    <x v="4"/>
  </r>
  <r>
    <x v="626"/>
    <x v="199"/>
    <x v="6"/>
    <x v="6"/>
    <x v="2"/>
    <x v="1"/>
    <s v="M0008"/>
    <x v="26"/>
    <x v="0"/>
    <x v="24"/>
    <s v="Inspección y/o reemplazo de toderas"/>
    <x v="0"/>
    <n v="0"/>
    <d v="2023-07-31T00:00:00"/>
    <d v="2023-08-23T00:00:00"/>
    <x v="2"/>
    <x v="10"/>
    <n v="270"/>
    <n v="733"/>
    <x v="3"/>
  </r>
  <r>
    <x v="627"/>
    <x v="199"/>
    <x v="6"/>
    <x v="6"/>
    <x v="2"/>
    <x v="1"/>
    <s v="M0037"/>
    <x v="1"/>
    <x v="0"/>
    <x v="1"/>
    <s v="Ajuste general de máquinas"/>
    <x v="0"/>
    <n v="0"/>
    <d v="2023-07-31T00:00:00"/>
    <d v="2023-08-12T00:00:00"/>
    <x v="2"/>
    <x v="13"/>
    <n v="282"/>
    <n v="233"/>
    <x v="4"/>
  </r>
  <r>
    <x v="628"/>
    <x v="199"/>
    <x v="6"/>
    <x v="6"/>
    <x v="2"/>
    <x v="1"/>
    <s v="M0008"/>
    <x v="26"/>
    <x v="0"/>
    <x v="24"/>
    <s v="Observación de posibles daños"/>
    <x v="1"/>
    <s v="30 Mensual"/>
    <d v="2023-07-31T00:00:00"/>
    <d v="2023-08-30T00:00:00"/>
    <x v="1"/>
    <x v="0"/>
    <n v="1140"/>
    <n v="889"/>
    <x v="1"/>
  </r>
  <r>
    <x v="629"/>
    <x v="200"/>
    <x v="7"/>
    <x v="7"/>
    <x v="2"/>
    <x v="1"/>
    <s v="M0039"/>
    <x v="5"/>
    <x v="0"/>
    <x v="3"/>
    <s v="Inspección de mangeras"/>
    <x v="0"/>
    <n v="0"/>
    <d v="2023-08-01T00:00:00"/>
    <d v="2023-08-29T00:00:00"/>
    <x v="2"/>
    <x v="3"/>
    <n v="867"/>
    <n v="925"/>
    <x v="4"/>
  </r>
  <r>
    <x v="630"/>
    <x v="200"/>
    <x v="7"/>
    <x v="7"/>
    <x v="2"/>
    <x v="1"/>
    <s v="M0005"/>
    <x v="8"/>
    <x v="0"/>
    <x v="8"/>
    <s v="Observación de posibles daños"/>
    <x v="1"/>
    <s v="90 Trimestral"/>
    <d v="2023-08-01T00:00:00"/>
    <d v="2023-10-30T00:00:00"/>
    <x v="1"/>
    <x v="0"/>
    <n v="241"/>
    <n v="137"/>
    <x v="1"/>
  </r>
  <r>
    <x v="631"/>
    <x v="200"/>
    <x v="7"/>
    <x v="7"/>
    <x v="2"/>
    <x v="1"/>
    <s v="M0009"/>
    <x v="17"/>
    <x v="0"/>
    <x v="15"/>
    <s v="Inspección y/o reemplazado de filtros de aceite"/>
    <x v="0"/>
    <n v="0"/>
    <d v="2023-08-01T00:00:00"/>
    <d v="2023-08-20T00:00:00"/>
    <x v="0"/>
    <x v="0"/>
    <n v="0"/>
    <n v="0"/>
    <x v="0"/>
  </r>
  <r>
    <x v="632"/>
    <x v="200"/>
    <x v="7"/>
    <x v="7"/>
    <x v="2"/>
    <x v="1"/>
    <s v="M0005"/>
    <x v="8"/>
    <x v="0"/>
    <x v="8"/>
    <s v="Inspección de Frenos"/>
    <x v="0"/>
    <n v="0"/>
    <d v="2023-08-01T00:00:00"/>
    <d v="2023-08-11T00:00:00"/>
    <x v="0"/>
    <x v="0"/>
    <n v="0"/>
    <n v="0"/>
    <x v="0"/>
  </r>
  <r>
    <x v="633"/>
    <x v="200"/>
    <x v="7"/>
    <x v="7"/>
    <x v="2"/>
    <x v="1"/>
    <s v="M0003"/>
    <x v="22"/>
    <x v="2"/>
    <x v="20"/>
    <s v="Mantenimiento general"/>
    <x v="0"/>
    <n v="0"/>
    <d v="2023-08-01T00:00:00"/>
    <d v="2023-08-13T00:00:00"/>
    <x v="2"/>
    <x v="13"/>
    <n v="372"/>
    <n v="645"/>
    <x v="2"/>
  </r>
  <r>
    <x v="634"/>
    <x v="200"/>
    <x v="7"/>
    <x v="7"/>
    <x v="2"/>
    <x v="1"/>
    <s v="M0020"/>
    <x v="13"/>
    <x v="0"/>
    <x v="13"/>
    <s v="Observación de posibles daños"/>
    <x v="1"/>
    <s v="7 Semanal"/>
    <d v="2023-08-01T00:00:00"/>
    <d v="2023-08-08T00:00:00"/>
    <x v="1"/>
    <x v="0"/>
    <n v="440"/>
    <n v="829"/>
    <x v="1"/>
  </r>
  <r>
    <x v="635"/>
    <x v="200"/>
    <x v="7"/>
    <x v="7"/>
    <x v="2"/>
    <x v="1"/>
    <s v="M0001"/>
    <x v="38"/>
    <x v="0"/>
    <x v="25"/>
    <s v="Inspección y/o reemplazado de escobillas"/>
    <x v="0"/>
    <n v="0"/>
    <d v="2023-08-01T00:00:00"/>
    <d v="2023-08-28T00:00:00"/>
    <x v="2"/>
    <x v="19"/>
    <n v="221"/>
    <n v="455"/>
    <x v="4"/>
  </r>
  <r>
    <x v="636"/>
    <x v="201"/>
    <x v="7"/>
    <x v="7"/>
    <x v="2"/>
    <x v="1"/>
    <s v="M0006"/>
    <x v="32"/>
    <x v="0"/>
    <x v="4"/>
    <s v="Inspección y/o reemplazado de cuchillas"/>
    <x v="0"/>
    <n v="0"/>
    <d v="2023-08-02T00:00:00"/>
    <d v="2023-08-29T00:00:00"/>
    <x v="0"/>
    <x v="0"/>
    <n v="0"/>
    <n v="0"/>
    <x v="0"/>
  </r>
  <r>
    <x v="637"/>
    <x v="202"/>
    <x v="7"/>
    <x v="7"/>
    <x v="2"/>
    <x v="1"/>
    <s v="M0039"/>
    <x v="5"/>
    <x v="0"/>
    <x v="3"/>
    <s v="Inspección de nivel de com¿bustible"/>
    <x v="0"/>
    <n v="0"/>
    <d v="2023-08-04T00:00:00"/>
    <d v="2023-08-06T00:00:00"/>
    <x v="2"/>
    <x v="16"/>
    <n v="887"/>
    <n v="402"/>
    <x v="4"/>
  </r>
  <r>
    <x v="638"/>
    <x v="202"/>
    <x v="7"/>
    <x v="7"/>
    <x v="2"/>
    <x v="1"/>
    <s v="M0033"/>
    <x v="0"/>
    <x v="0"/>
    <x v="4"/>
    <s v="Revisión de válvulas"/>
    <x v="0"/>
    <n v="0"/>
    <d v="2023-08-04T00:00:00"/>
    <d v="2023-08-17T00:00:00"/>
    <x v="0"/>
    <x v="0"/>
    <n v="0"/>
    <n v="0"/>
    <x v="0"/>
  </r>
  <r>
    <x v="639"/>
    <x v="202"/>
    <x v="7"/>
    <x v="7"/>
    <x v="2"/>
    <x v="1"/>
    <s v="M0008"/>
    <x v="26"/>
    <x v="0"/>
    <x v="24"/>
    <s v="Limpieza y ajuste de inyectores"/>
    <x v="0"/>
    <n v="0"/>
    <d v="2023-08-04T00:00:00"/>
    <d v="2023-08-25T00:00:00"/>
    <x v="0"/>
    <x v="0"/>
    <n v="0"/>
    <n v="0"/>
    <x v="0"/>
  </r>
  <r>
    <x v="640"/>
    <x v="202"/>
    <x v="7"/>
    <x v="7"/>
    <x v="2"/>
    <x v="1"/>
    <s v="M0017"/>
    <x v="20"/>
    <x v="0"/>
    <x v="18"/>
    <s v="Limpieza y ajuste de terminales de baterías"/>
    <x v="0"/>
    <n v="0"/>
    <d v="2023-08-04T00:00:00"/>
    <d v="2023-08-11T00:00:00"/>
    <x v="0"/>
    <x v="0"/>
    <n v="0"/>
    <n v="0"/>
    <x v="0"/>
  </r>
  <r>
    <x v="641"/>
    <x v="202"/>
    <x v="7"/>
    <x v="7"/>
    <x v="2"/>
    <x v="1"/>
    <s v="M0014"/>
    <x v="19"/>
    <x v="2"/>
    <x v="17"/>
    <s v="Verificación del sistema de enfriado"/>
    <x v="0"/>
    <n v="0"/>
    <d v="2023-08-04T00:00:00"/>
    <d v="2023-08-16T00:00:00"/>
    <x v="2"/>
    <x v="13"/>
    <n v="699"/>
    <n v="993"/>
    <x v="2"/>
  </r>
  <r>
    <x v="642"/>
    <x v="202"/>
    <x v="7"/>
    <x v="7"/>
    <x v="2"/>
    <x v="1"/>
    <s v="M0024"/>
    <x v="21"/>
    <x v="2"/>
    <x v="19"/>
    <s v="Observación de posibles daños"/>
    <x v="1"/>
    <s v="360 Anual"/>
    <d v="2023-08-04T00:00:00"/>
    <d v="2024-07-29T00:00:00"/>
    <x v="1"/>
    <x v="0"/>
    <n v="770"/>
    <n v="917"/>
    <x v="1"/>
  </r>
  <r>
    <x v="643"/>
    <x v="202"/>
    <x v="7"/>
    <x v="7"/>
    <x v="2"/>
    <x v="1"/>
    <s v="M0005"/>
    <x v="8"/>
    <x v="0"/>
    <x v="8"/>
    <s v="Limpieza general"/>
    <x v="0"/>
    <n v="0"/>
    <d v="2023-08-04T00:00:00"/>
    <d v="2023-08-31T00:00:00"/>
    <x v="2"/>
    <x v="19"/>
    <n v="1037"/>
    <n v="737"/>
    <x v="2"/>
  </r>
  <r>
    <x v="644"/>
    <x v="203"/>
    <x v="7"/>
    <x v="7"/>
    <x v="2"/>
    <x v="1"/>
    <s v="M0010"/>
    <x v="37"/>
    <x v="0"/>
    <x v="1"/>
    <s v="Observación de posibles daños"/>
    <x v="1"/>
    <s v="180 Semestral"/>
    <d v="2023-08-06T00:00:00"/>
    <d v="2024-02-02T00:00:00"/>
    <x v="1"/>
    <x v="0"/>
    <n v="269"/>
    <n v="594"/>
    <x v="1"/>
  </r>
  <r>
    <x v="645"/>
    <x v="204"/>
    <x v="7"/>
    <x v="7"/>
    <x v="2"/>
    <x v="1"/>
    <s v="M0035"/>
    <x v="34"/>
    <x v="0"/>
    <x v="24"/>
    <s v="Revisió Ajuste y/o de bandas, correas y poleas"/>
    <x v="0"/>
    <n v="0"/>
    <d v="2023-08-07T00:00:00"/>
    <d v="2023-09-05T00:00:00"/>
    <x v="2"/>
    <x v="17"/>
    <n v="475"/>
    <n v="347"/>
    <x v="4"/>
  </r>
  <r>
    <x v="646"/>
    <x v="204"/>
    <x v="7"/>
    <x v="7"/>
    <x v="2"/>
    <x v="1"/>
    <s v="M0033"/>
    <x v="0"/>
    <x v="0"/>
    <x v="4"/>
    <s v="Observación de posibles daños"/>
    <x v="0"/>
    <n v="0"/>
    <d v="2023-08-07T00:00:00"/>
    <d v="2023-08-17T00:00:00"/>
    <x v="2"/>
    <x v="30"/>
    <n v="217"/>
    <n v="538"/>
    <x v="4"/>
  </r>
  <r>
    <x v="647"/>
    <x v="204"/>
    <x v="7"/>
    <x v="7"/>
    <x v="2"/>
    <x v="1"/>
    <s v="M0036"/>
    <x v="27"/>
    <x v="0"/>
    <x v="15"/>
    <s v="Inspección y/o reemplazo de boquillas"/>
    <x v="0"/>
    <n v="0"/>
    <d v="2023-08-07T00:00:00"/>
    <d v="2023-09-05T00:00:00"/>
    <x v="2"/>
    <x v="17"/>
    <n v="1070"/>
    <n v="629"/>
    <x v="4"/>
  </r>
  <r>
    <x v="648"/>
    <x v="204"/>
    <x v="7"/>
    <x v="7"/>
    <x v="2"/>
    <x v="1"/>
    <s v="M0017"/>
    <x v="20"/>
    <x v="0"/>
    <x v="18"/>
    <s v="Inspección y/o reemplazo de tubos de contacto"/>
    <x v="0"/>
    <n v="0"/>
    <d v="2023-08-07T00:00:00"/>
    <d v="2023-08-30T00:00:00"/>
    <x v="2"/>
    <x v="10"/>
    <n v="443"/>
    <n v="417"/>
    <x v="1"/>
  </r>
  <r>
    <x v="649"/>
    <x v="205"/>
    <x v="7"/>
    <x v="7"/>
    <x v="2"/>
    <x v="1"/>
    <s v="M0027"/>
    <x v="6"/>
    <x v="2"/>
    <x v="6"/>
    <s v="Inspección y/o reemplazo de toderas"/>
    <x v="0"/>
    <n v="0"/>
    <d v="2023-08-08T00:00:00"/>
    <d v="2023-09-07T00:00:00"/>
    <x v="2"/>
    <x v="23"/>
    <n v="878"/>
    <n v="699"/>
    <x v="4"/>
  </r>
  <r>
    <x v="650"/>
    <x v="206"/>
    <x v="7"/>
    <x v="7"/>
    <x v="2"/>
    <x v="1"/>
    <s v="M0025"/>
    <x v="25"/>
    <x v="2"/>
    <x v="23"/>
    <s v="Ajuste general de máquinas"/>
    <x v="0"/>
    <n v="0"/>
    <d v="2023-08-09T00:00:00"/>
    <d v="2023-09-02T00:00:00"/>
    <x v="0"/>
    <x v="0"/>
    <n v="0"/>
    <n v="0"/>
    <x v="0"/>
  </r>
  <r>
    <x v="651"/>
    <x v="206"/>
    <x v="7"/>
    <x v="7"/>
    <x v="2"/>
    <x v="1"/>
    <s v="M0024"/>
    <x v="21"/>
    <x v="2"/>
    <x v="19"/>
    <s v="Inspección de tuberías "/>
    <x v="0"/>
    <n v="0"/>
    <d v="2023-08-09T00:00:00"/>
    <d v="2023-08-20T00:00:00"/>
    <x v="0"/>
    <x v="0"/>
    <n v="0"/>
    <n v="0"/>
    <x v="0"/>
  </r>
  <r>
    <x v="652"/>
    <x v="206"/>
    <x v="7"/>
    <x v="7"/>
    <x v="2"/>
    <x v="1"/>
    <s v="M0036"/>
    <x v="27"/>
    <x v="0"/>
    <x v="15"/>
    <s v="Observación de posibles daños"/>
    <x v="1"/>
    <s v="60 Bimestral"/>
    <d v="2023-08-09T00:00:00"/>
    <d v="2023-10-08T00:00:00"/>
    <x v="1"/>
    <x v="0"/>
    <n v="409"/>
    <n v="736"/>
    <x v="1"/>
  </r>
  <r>
    <x v="653"/>
    <x v="207"/>
    <x v="7"/>
    <x v="7"/>
    <x v="2"/>
    <x v="1"/>
    <s v="M0041"/>
    <x v="28"/>
    <x v="0"/>
    <x v="17"/>
    <s v="Inspección y/o reemplazado de filtros de aire"/>
    <x v="0"/>
    <n v="0"/>
    <d v="2023-08-10T00:00:00"/>
    <d v="2023-08-20T00:00:00"/>
    <x v="2"/>
    <x v="30"/>
    <n v="1033"/>
    <n v="626"/>
    <x v="3"/>
  </r>
  <r>
    <x v="654"/>
    <x v="208"/>
    <x v="7"/>
    <x v="7"/>
    <x v="2"/>
    <x v="1"/>
    <s v="M0033"/>
    <x v="0"/>
    <x v="0"/>
    <x v="4"/>
    <s v="Inspección y/o reemplazado de filtros de aceite"/>
    <x v="0"/>
    <n v="0"/>
    <d v="2023-08-11T00:00:00"/>
    <d v="2023-09-05T00:00:00"/>
    <x v="0"/>
    <x v="0"/>
    <n v="0"/>
    <n v="0"/>
    <x v="0"/>
  </r>
  <r>
    <x v="655"/>
    <x v="208"/>
    <x v="7"/>
    <x v="7"/>
    <x v="2"/>
    <x v="1"/>
    <s v="M0032"/>
    <x v="14"/>
    <x v="0"/>
    <x v="8"/>
    <s v="Inspección de Frenos"/>
    <x v="0"/>
    <n v="0"/>
    <d v="2023-08-11T00:00:00"/>
    <d v="2023-09-08T00:00:00"/>
    <x v="0"/>
    <x v="0"/>
    <n v="0"/>
    <n v="0"/>
    <x v="0"/>
  </r>
  <r>
    <x v="656"/>
    <x v="209"/>
    <x v="7"/>
    <x v="7"/>
    <x v="2"/>
    <x v="1"/>
    <s v="M0008"/>
    <x v="26"/>
    <x v="0"/>
    <x v="24"/>
    <s v="Mantenimiento general"/>
    <x v="0"/>
    <n v="0"/>
    <d v="2023-08-12T00:00:00"/>
    <d v="2023-08-20T00:00:00"/>
    <x v="0"/>
    <x v="0"/>
    <n v="0"/>
    <n v="0"/>
    <x v="0"/>
  </r>
  <r>
    <x v="657"/>
    <x v="210"/>
    <x v="7"/>
    <x v="7"/>
    <x v="2"/>
    <x v="1"/>
    <s v="M0012"/>
    <x v="3"/>
    <x v="0"/>
    <x v="3"/>
    <s v="Inspección de gases"/>
    <x v="0"/>
    <n v="0"/>
    <d v="2023-08-13T00:00:00"/>
    <d v="2023-08-25T00:00:00"/>
    <x v="0"/>
    <x v="0"/>
    <n v="0"/>
    <n v="0"/>
    <x v="0"/>
  </r>
  <r>
    <x v="658"/>
    <x v="211"/>
    <x v="7"/>
    <x v="7"/>
    <x v="2"/>
    <x v="1"/>
    <s v="M0022"/>
    <x v="24"/>
    <x v="0"/>
    <x v="22"/>
    <s v="Observación de posibles daños"/>
    <x v="1"/>
    <s v="15 Quincenal"/>
    <d v="2023-08-14T00:00:00"/>
    <d v="2023-08-29T00:00:00"/>
    <x v="1"/>
    <x v="0"/>
    <n v="375"/>
    <n v="797"/>
    <x v="1"/>
  </r>
  <r>
    <x v="659"/>
    <x v="211"/>
    <x v="7"/>
    <x v="7"/>
    <x v="2"/>
    <x v="1"/>
    <s v="M0017"/>
    <x v="20"/>
    <x v="0"/>
    <x v="18"/>
    <s v="Inspección y/o reemplazado de cuchillas"/>
    <x v="0"/>
    <n v="0"/>
    <d v="2023-08-14T00:00:00"/>
    <d v="2023-09-07T00:00:00"/>
    <x v="2"/>
    <x v="25"/>
    <n v="927"/>
    <n v="711"/>
    <x v="4"/>
  </r>
  <r>
    <x v="660"/>
    <x v="211"/>
    <x v="7"/>
    <x v="7"/>
    <x v="2"/>
    <x v="1"/>
    <s v="M0005"/>
    <x v="8"/>
    <x v="0"/>
    <x v="8"/>
    <s v="Inspección de nivel de com¿bustible"/>
    <x v="0"/>
    <n v="0"/>
    <d v="2023-08-14T00:00:00"/>
    <d v="2023-08-18T00:00:00"/>
    <x v="2"/>
    <x v="28"/>
    <n v="428"/>
    <n v="801"/>
    <x v="4"/>
  </r>
  <r>
    <x v="661"/>
    <x v="211"/>
    <x v="7"/>
    <x v="7"/>
    <x v="2"/>
    <x v="1"/>
    <s v="M0022"/>
    <x v="24"/>
    <x v="0"/>
    <x v="22"/>
    <s v="Revisión de válvulas"/>
    <x v="0"/>
    <n v="0"/>
    <d v="2023-08-14T00:00:00"/>
    <d v="2023-09-09T00:00:00"/>
    <x v="2"/>
    <x v="6"/>
    <n v="540"/>
    <n v="736"/>
    <x v="3"/>
  </r>
  <r>
    <x v="662"/>
    <x v="212"/>
    <x v="7"/>
    <x v="7"/>
    <x v="2"/>
    <x v="1"/>
    <s v="M0042"/>
    <x v="10"/>
    <x v="2"/>
    <x v="10"/>
    <s v="Observación de posibles daños"/>
    <x v="1"/>
    <s v="180 Semestral"/>
    <d v="2023-08-15T00:00:00"/>
    <d v="2024-02-11T00:00:00"/>
    <x v="1"/>
    <x v="0"/>
    <n v="1132"/>
    <n v="351"/>
    <x v="1"/>
  </r>
  <r>
    <x v="663"/>
    <x v="212"/>
    <x v="7"/>
    <x v="7"/>
    <x v="2"/>
    <x v="1"/>
    <s v="M0042"/>
    <x v="10"/>
    <x v="2"/>
    <x v="10"/>
    <s v="Limpieza y ajuste de terminales de baterías"/>
    <x v="0"/>
    <n v="0"/>
    <d v="2023-08-15T00:00:00"/>
    <d v="2023-08-22T00:00:00"/>
    <x v="2"/>
    <x v="4"/>
    <n v="275"/>
    <n v="565"/>
    <x v="1"/>
  </r>
  <r>
    <x v="664"/>
    <x v="213"/>
    <x v="7"/>
    <x v="7"/>
    <x v="2"/>
    <x v="1"/>
    <s v="M0033"/>
    <x v="0"/>
    <x v="0"/>
    <x v="4"/>
    <s v="Verificación del sistema de enfriado"/>
    <x v="0"/>
    <n v="0"/>
    <d v="2023-08-16T00:00:00"/>
    <d v="2023-09-07T00:00:00"/>
    <x v="0"/>
    <x v="0"/>
    <n v="0"/>
    <n v="0"/>
    <x v="0"/>
  </r>
  <r>
    <x v="665"/>
    <x v="213"/>
    <x v="7"/>
    <x v="7"/>
    <x v="2"/>
    <x v="1"/>
    <s v="M0042"/>
    <x v="10"/>
    <x v="2"/>
    <x v="10"/>
    <s v="Limpieza de ventilador"/>
    <x v="0"/>
    <n v="0"/>
    <d v="2023-08-16T00:00:00"/>
    <d v="2023-08-27T00:00:00"/>
    <x v="2"/>
    <x v="18"/>
    <n v="1164"/>
    <n v="210"/>
    <x v="4"/>
  </r>
  <r>
    <x v="666"/>
    <x v="213"/>
    <x v="7"/>
    <x v="7"/>
    <x v="2"/>
    <x v="1"/>
    <s v="M0037"/>
    <x v="1"/>
    <x v="0"/>
    <x v="1"/>
    <s v="Limpieza general"/>
    <x v="0"/>
    <n v="0"/>
    <d v="2023-08-16T00:00:00"/>
    <d v="2023-09-14T00:00:00"/>
    <x v="0"/>
    <x v="0"/>
    <n v="0"/>
    <n v="0"/>
    <x v="0"/>
  </r>
  <r>
    <x v="667"/>
    <x v="214"/>
    <x v="7"/>
    <x v="7"/>
    <x v="2"/>
    <x v="1"/>
    <s v="M0025"/>
    <x v="25"/>
    <x v="2"/>
    <x v="23"/>
    <s v="Inspección de engranes"/>
    <x v="0"/>
    <n v="0"/>
    <d v="2023-08-17T00:00:00"/>
    <d v="2023-09-02T00:00:00"/>
    <x v="2"/>
    <x v="7"/>
    <n v="589"/>
    <n v="793"/>
    <x v="2"/>
  </r>
  <r>
    <x v="668"/>
    <x v="214"/>
    <x v="7"/>
    <x v="7"/>
    <x v="2"/>
    <x v="1"/>
    <s v="M0006"/>
    <x v="32"/>
    <x v="0"/>
    <x v="4"/>
    <s v="Observación de posibles daños"/>
    <x v="1"/>
    <s v="15 Quincenal"/>
    <d v="2023-08-17T00:00:00"/>
    <d v="2023-09-01T00:00:00"/>
    <x v="1"/>
    <x v="0"/>
    <n v="951"/>
    <n v="204"/>
    <x v="1"/>
  </r>
  <r>
    <x v="669"/>
    <x v="215"/>
    <x v="7"/>
    <x v="7"/>
    <x v="2"/>
    <x v="1"/>
    <s v="M0020"/>
    <x v="13"/>
    <x v="0"/>
    <x v="13"/>
    <s v="Observación de posibles daños"/>
    <x v="0"/>
    <n v="0"/>
    <d v="2023-08-18T00:00:00"/>
    <d v="2023-08-26T00:00:00"/>
    <x v="2"/>
    <x v="8"/>
    <n v="256"/>
    <n v="581"/>
    <x v="2"/>
  </r>
  <r>
    <x v="670"/>
    <x v="215"/>
    <x v="7"/>
    <x v="7"/>
    <x v="2"/>
    <x v="1"/>
    <s v="M0033"/>
    <x v="0"/>
    <x v="0"/>
    <x v="4"/>
    <s v="Inspección y/o reemplazo de boquillas"/>
    <x v="0"/>
    <n v="0"/>
    <d v="2023-08-18T00:00:00"/>
    <d v="2023-08-31T00:00:00"/>
    <x v="2"/>
    <x v="29"/>
    <n v="572"/>
    <n v="189"/>
    <x v="3"/>
  </r>
  <r>
    <x v="671"/>
    <x v="215"/>
    <x v="7"/>
    <x v="7"/>
    <x v="2"/>
    <x v="1"/>
    <s v="M0018"/>
    <x v="0"/>
    <x v="0"/>
    <x v="0"/>
    <s v="Inspección y/o reemplazo de tubos de contacto"/>
    <x v="0"/>
    <n v="0"/>
    <d v="2023-08-18T00:00:00"/>
    <d v="2023-08-24T00:00:00"/>
    <x v="2"/>
    <x v="12"/>
    <n v="279"/>
    <n v="903"/>
    <x v="4"/>
  </r>
  <r>
    <x v="672"/>
    <x v="215"/>
    <x v="7"/>
    <x v="7"/>
    <x v="2"/>
    <x v="1"/>
    <s v="M0003"/>
    <x v="22"/>
    <x v="2"/>
    <x v="20"/>
    <s v="Observación de posibles daños"/>
    <x v="1"/>
    <s v="7 Semanal"/>
    <d v="2023-08-18T00:00:00"/>
    <d v="2023-08-25T00:00:00"/>
    <x v="1"/>
    <x v="0"/>
    <n v="1121"/>
    <n v="571"/>
    <x v="1"/>
  </r>
  <r>
    <x v="673"/>
    <x v="215"/>
    <x v="7"/>
    <x v="7"/>
    <x v="2"/>
    <x v="1"/>
    <s v="M0018"/>
    <x v="0"/>
    <x v="0"/>
    <x v="0"/>
    <s v="Ajuste general de máquinas"/>
    <x v="0"/>
    <n v="0"/>
    <d v="2023-08-18T00:00:00"/>
    <d v="2023-09-01T00:00:00"/>
    <x v="2"/>
    <x v="21"/>
    <n v="200"/>
    <n v="738"/>
    <x v="3"/>
  </r>
  <r>
    <x v="674"/>
    <x v="215"/>
    <x v="7"/>
    <x v="7"/>
    <x v="2"/>
    <x v="1"/>
    <s v="M0009"/>
    <x v="17"/>
    <x v="0"/>
    <x v="15"/>
    <s v="Observación de posibles daños"/>
    <x v="1"/>
    <s v="360 Anual"/>
    <d v="2023-08-18T00:00:00"/>
    <d v="2024-08-12T00:00:00"/>
    <x v="1"/>
    <x v="0"/>
    <n v="870"/>
    <n v="339"/>
    <x v="1"/>
  </r>
  <r>
    <x v="675"/>
    <x v="215"/>
    <x v="7"/>
    <x v="7"/>
    <x v="2"/>
    <x v="1"/>
    <s v="M0043"/>
    <x v="23"/>
    <x v="3"/>
    <x v="21"/>
    <s v="Inspección de mangeras"/>
    <x v="0"/>
    <n v="0"/>
    <d v="2023-08-18T00:00:00"/>
    <d v="2023-09-01T00:00:00"/>
    <x v="0"/>
    <x v="0"/>
    <n v="0"/>
    <n v="0"/>
    <x v="0"/>
  </r>
  <r>
    <x v="676"/>
    <x v="215"/>
    <x v="7"/>
    <x v="7"/>
    <x v="2"/>
    <x v="1"/>
    <s v="M0019"/>
    <x v="4"/>
    <x v="1"/>
    <x v="5"/>
    <s v="Observación de posibles daños"/>
    <x v="1"/>
    <s v="180 Semestral"/>
    <d v="2023-08-18T00:00:00"/>
    <d v="2024-02-14T00:00:00"/>
    <x v="1"/>
    <x v="0"/>
    <n v="513"/>
    <n v="778"/>
    <x v="1"/>
  </r>
  <r>
    <x v="677"/>
    <x v="216"/>
    <x v="7"/>
    <x v="7"/>
    <x v="2"/>
    <x v="1"/>
    <s v="M0038"/>
    <x v="30"/>
    <x v="0"/>
    <x v="26"/>
    <s v="Inspección y/o reemplazado de filtros de aceite"/>
    <x v="0"/>
    <n v="0"/>
    <d v="2023-08-19T00:00:00"/>
    <d v="2023-08-26T00:00:00"/>
    <x v="2"/>
    <x v="4"/>
    <n v="1120"/>
    <n v="843"/>
    <x v="4"/>
  </r>
  <r>
    <x v="678"/>
    <x v="216"/>
    <x v="7"/>
    <x v="7"/>
    <x v="2"/>
    <x v="1"/>
    <s v="M0012"/>
    <x v="3"/>
    <x v="0"/>
    <x v="3"/>
    <s v="Observación de posibles daños"/>
    <x v="1"/>
    <s v="7 Semanal"/>
    <d v="2023-08-19T00:00:00"/>
    <d v="2023-08-26T00:00:00"/>
    <x v="1"/>
    <x v="0"/>
    <n v="492"/>
    <n v="821"/>
    <x v="1"/>
  </r>
  <r>
    <x v="679"/>
    <x v="216"/>
    <x v="7"/>
    <x v="7"/>
    <x v="2"/>
    <x v="1"/>
    <s v="M0014"/>
    <x v="19"/>
    <x v="2"/>
    <x v="17"/>
    <s v="Mantenimiento general"/>
    <x v="0"/>
    <n v="0"/>
    <d v="2023-08-19T00:00:00"/>
    <d v="2023-09-14T00:00:00"/>
    <x v="2"/>
    <x v="6"/>
    <n v="281"/>
    <n v="601"/>
    <x v="4"/>
  </r>
  <r>
    <x v="680"/>
    <x v="216"/>
    <x v="7"/>
    <x v="7"/>
    <x v="2"/>
    <x v="1"/>
    <s v="M0038"/>
    <x v="30"/>
    <x v="0"/>
    <x v="26"/>
    <s v="Observación de posibles daños"/>
    <x v="1"/>
    <s v="90 Trimestral"/>
    <d v="2023-08-19T00:00:00"/>
    <d v="2023-11-17T00:00:00"/>
    <x v="1"/>
    <x v="0"/>
    <n v="929"/>
    <n v="320"/>
    <x v="1"/>
  </r>
  <r>
    <x v="681"/>
    <x v="216"/>
    <x v="7"/>
    <x v="7"/>
    <x v="2"/>
    <x v="1"/>
    <s v="M0015"/>
    <x v="33"/>
    <x v="4"/>
    <x v="10"/>
    <s v="Inspección y/o reemplazado de escobillas"/>
    <x v="0"/>
    <n v="0"/>
    <d v="2023-08-19T00:00:00"/>
    <d v="2023-08-28T00:00:00"/>
    <x v="2"/>
    <x v="20"/>
    <n v="912"/>
    <n v="564"/>
    <x v="1"/>
  </r>
  <r>
    <x v="682"/>
    <x v="217"/>
    <x v="7"/>
    <x v="7"/>
    <x v="2"/>
    <x v="1"/>
    <s v="M0006"/>
    <x v="32"/>
    <x v="0"/>
    <x v="4"/>
    <s v="Inspección y/o reemplazado de cuchillas"/>
    <x v="0"/>
    <n v="0"/>
    <d v="2023-08-20T00:00:00"/>
    <d v="2023-09-06T00:00:00"/>
    <x v="2"/>
    <x v="14"/>
    <n v="358"/>
    <n v="157"/>
    <x v="3"/>
  </r>
  <r>
    <x v="683"/>
    <x v="217"/>
    <x v="7"/>
    <x v="7"/>
    <x v="2"/>
    <x v="1"/>
    <s v="M0025"/>
    <x v="25"/>
    <x v="2"/>
    <x v="23"/>
    <s v="Inspección de nivel de com¿bustible"/>
    <x v="0"/>
    <n v="0"/>
    <d v="2023-08-20T00:00:00"/>
    <d v="2023-09-06T00:00:00"/>
    <x v="0"/>
    <x v="0"/>
    <n v="0"/>
    <n v="0"/>
    <x v="0"/>
  </r>
  <r>
    <x v="684"/>
    <x v="217"/>
    <x v="7"/>
    <x v="7"/>
    <x v="2"/>
    <x v="1"/>
    <s v="M0032"/>
    <x v="14"/>
    <x v="0"/>
    <x v="8"/>
    <s v="Revisión de válvulas"/>
    <x v="0"/>
    <n v="0"/>
    <d v="2023-08-20T00:00:00"/>
    <d v="2023-08-27T00:00:00"/>
    <x v="0"/>
    <x v="0"/>
    <n v="0"/>
    <n v="0"/>
    <x v="0"/>
  </r>
  <r>
    <x v="685"/>
    <x v="217"/>
    <x v="7"/>
    <x v="7"/>
    <x v="2"/>
    <x v="1"/>
    <s v="M0037"/>
    <x v="1"/>
    <x v="0"/>
    <x v="1"/>
    <s v="Limpieza y ajuste de inyectores"/>
    <x v="0"/>
    <n v="0"/>
    <d v="2023-08-20T00:00:00"/>
    <d v="2023-09-07T00:00:00"/>
    <x v="2"/>
    <x v="5"/>
    <n v="460"/>
    <n v="223"/>
    <x v="2"/>
  </r>
  <r>
    <x v="686"/>
    <x v="217"/>
    <x v="7"/>
    <x v="7"/>
    <x v="2"/>
    <x v="1"/>
    <s v="M0034"/>
    <x v="2"/>
    <x v="0"/>
    <x v="2"/>
    <s v="Limpieza y ajuste de terminales de baterías"/>
    <x v="0"/>
    <n v="0"/>
    <d v="2023-08-20T00:00:00"/>
    <d v="2023-08-21T00:00:00"/>
    <x v="2"/>
    <x v="15"/>
    <n v="1088"/>
    <n v="228"/>
    <x v="3"/>
  </r>
  <r>
    <x v="687"/>
    <x v="217"/>
    <x v="7"/>
    <x v="7"/>
    <x v="2"/>
    <x v="1"/>
    <s v="M0041"/>
    <x v="28"/>
    <x v="0"/>
    <x v="17"/>
    <s v="Verificación del sistema de enfriado"/>
    <x v="0"/>
    <n v="0"/>
    <d v="2023-08-20T00:00:00"/>
    <d v="2023-08-24T00:00:00"/>
    <x v="2"/>
    <x v="28"/>
    <n v="1162"/>
    <n v="794"/>
    <x v="4"/>
  </r>
  <r>
    <x v="688"/>
    <x v="217"/>
    <x v="7"/>
    <x v="7"/>
    <x v="2"/>
    <x v="1"/>
    <s v="M0029"/>
    <x v="12"/>
    <x v="3"/>
    <x v="12"/>
    <s v="Observación de posibles daños"/>
    <x v="1"/>
    <s v="180 Semestral"/>
    <d v="2023-08-20T00:00:00"/>
    <d v="2024-02-16T00:00:00"/>
    <x v="1"/>
    <x v="0"/>
    <n v="1125"/>
    <n v="630"/>
    <x v="1"/>
  </r>
  <r>
    <x v="689"/>
    <x v="217"/>
    <x v="7"/>
    <x v="7"/>
    <x v="2"/>
    <x v="1"/>
    <s v="M0019"/>
    <x v="4"/>
    <x v="1"/>
    <x v="5"/>
    <s v="Limpieza general"/>
    <x v="0"/>
    <n v="0"/>
    <d v="2023-08-20T00:00:00"/>
    <d v="2023-09-01T00:00:00"/>
    <x v="2"/>
    <x v="13"/>
    <n v="1126"/>
    <n v="490"/>
    <x v="3"/>
  </r>
  <r>
    <x v="690"/>
    <x v="218"/>
    <x v="7"/>
    <x v="7"/>
    <x v="2"/>
    <x v="1"/>
    <s v="M0019"/>
    <x v="4"/>
    <x v="1"/>
    <x v="5"/>
    <s v="Inspección de engranes"/>
    <x v="0"/>
    <n v="0"/>
    <d v="2023-08-21T00:00:00"/>
    <d v="2023-08-27T00:00:00"/>
    <x v="0"/>
    <x v="0"/>
    <n v="0"/>
    <n v="0"/>
    <x v="0"/>
  </r>
  <r>
    <x v="691"/>
    <x v="218"/>
    <x v="7"/>
    <x v="7"/>
    <x v="2"/>
    <x v="1"/>
    <s v="M0013"/>
    <x v="15"/>
    <x v="0"/>
    <x v="14"/>
    <s v="Revisió Ajuste y/o de bandas, correas y poleas"/>
    <x v="0"/>
    <n v="0"/>
    <d v="2023-08-21T00:00:00"/>
    <d v="2023-08-26T00:00:00"/>
    <x v="0"/>
    <x v="0"/>
    <n v="0"/>
    <n v="0"/>
    <x v="0"/>
  </r>
  <r>
    <x v="692"/>
    <x v="218"/>
    <x v="7"/>
    <x v="7"/>
    <x v="2"/>
    <x v="1"/>
    <s v="M0002"/>
    <x v="16"/>
    <x v="0"/>
    <x v="12"/>
    <s v="Observación de posibles daños"/>
    <x v="0"/>
    <n v="0"/>
    <d v="2023-08-21T00:00:00"/>
    <d v="2023-08-30T00:00:00"/>
    <x v="0"/>
    <x v="0"/>
    <n v="0"/>
    <n v="0"/>
    <x v="0"/>
  </r>
  <r>
    <x v="693"/>
    <x v="218"/>
    <x v="7"/>
    <x v="7"/>
    <x v="2"/>
    <x v="1"/>
    <s v="M0004"/>
    <x v="40"/>
    <x v="2"/>
    <x v="7"/>
    <s v="Inspección y/o reemplazo de boquillas"/>
    <x v="0"/>
    <n v="0"/>
    <d v="2023-08-21T00:00:00"/>
    <d v="2023-09-18T00:00:00"/>
    <x v="0"/>
    <x v="0"/>
    <n v="0"/>
    <n v="0"/>
    <x v="0"/>
  </r>
  <r>
    <x v="694"/>
    <x v="218"/>
    <x v="7"/>
    <x v="7"/>
    <x v="2"/>
    <x v="1"/>
    <s v="M0038"/>
    <x v="30"/>
    <x v="0"/>
    <x v="26"/>
    <s v="Inspección y/o reemplazo de tubos de contacto"/>
    <x v="0"/>
    <n v="0"/>
    <d v="2023-08-21T00:00:00"/>
    <d v="2023-08-31T00:00:00"/>
    <x v="0"/>
    <x v="0"/>
    <n v="0"/>
    <n v="0"/>
    <x v="0"/>
  </r>
  <r>
    <x v="695"/>
    <x v="218"/>
    <x v="7"/>
    <x v="7"/>
    <x v="2"/>
    <x v="1"/>
    <s v="M0029"/>
    <x v="12"/>
    <x v="3"/>
    <x v="12"/>
    <s v="Inspección y/o reemplazo de toderas"/>
    <x v="0"/>
    <n v="0"/>
    <d v="2023-08-21T00:00:00"/>
    <d v="2023-09-12T00:00:00"/>
    <x v="0"/>
    <x v="0"/>
    <n v="0"/>
    <n v="0"/>
    <x v="0"/>
  </r>
  <r>
    <x v="696"/>
    <x v="218"/>
    <x v="7"/>
    <x v="7"/>
    <x v="2"/>
    <x v="1"/>
    <s v="M0043"/>
    <x v="23"/>
    <x v="3"/>
    <x v="21"/>
    <s v="Ajuste general de máquinas"/>
    <x v="0"/>
    <n v="0"/>
    <d v="2023-08-21T00:00:00"/>
    <d v="2023-08-28T00:00:00"/>
    <x v="2"/>
    <x v="4"/>
    <n v="1094"/>
    <n v="876"/>
    <x v="4"/>
  </r>
  <r>
    <x v="697"/>
    <x v="219"/>
    <x v="7"/>
    <x v="7"/>
    <x v="2"/>
    <x v="1"/>
    <s v="M0029"/>
    <x v="12"/>
    <x v="3"/>
    <x v="12"/>
    <s v="Inspección de tuberías "/>
    <x v="0"/>
    <n v="0"/>
    <d v="2023-08-22T00:00:00"/>
    <d v="2023-08-23T00:00:00"/>
    <x v="2"/>
    <x v="15"/>
    <n v="1036"/>
    <n v="916"/>
    <x v="2"/>
  </r>
  <r>
    <x v="698"/>
    <x v="220"/>
    <x v="7"/>
    <x v="7"/>
    <x v="2"/>
    <x v="1"/>
    <s v="M0011"/>
    <x v="36"/>
    <x v="0"/>
    <x v="26"/>
    <s v="Observación de posibles daños"/>
    <x v="1"/>
    <s v="30 Mensual"/>
    <d v="2023-08-23T00:00:00"/>
    <d v="2023-09-22T00:00:00"/>
    <x v="1"/>
    <x v="0"/>
    <n v="930"/>
    <n v="207"/>
    <x v="1"/>
  </r>
  <r>
    <x v="699"/>
    <x v="220"/>
    <x v="7"/>
    <x v="7"/>
    <x v="2"/>
    <x v="1"/>
    <s v="M0019"/>
    <x v="4"/>
    <x v="1"/>
    <x v="5"/>
    <s v="Inspección y/o reemplazado de filtros de aire"/>
    <x v="0"/>
    <n v="0"/>
    <d v="2023-08-23T00:00:00"/>
    <d v="2023-09-12T00:00:00"/>
    <x v="2"/>
    <x v="26"/>
    <n v="853"/>
    <n v="596"/>
    <x v="4"/>
  </r>
  <r>
    <x v="700"/>
    <x v="220"/>
    <x v="7"/>
    <x v="7"/>
    <x v="2"/>
    <x v="1"/>
    <s v="M0043"/>
    <x v="23"/>
    <x v="3"/>
    <x v="21"/>
    <s v="Inspección y/o reemplazado de filtros de aceite"/>
    <x v="0"/>
    <n v="0"/>
    <d v="2023-08-23T00:00:00"/>
    <d v="2023-09-05T00:00:00"/>
    <x v="0"/>
    <x v="0"/>
    <n v="0"/>
    <n v="0"/>
    <x v="0"/>
  </r>
  <r>
    <x v="701"/>
    <x v="220"/>
    <x v="7"/>
    <x v="7"/>
    <x v="2"/>
    <x v="1"/>
    <s v="M0003"/>
    <x v="22"/>
    <x v="2"/>
    <x v="20"/>
    <s v="Inspección de Frenos"/>
    <x v="0"/>
    <n v="0"/>
    <d v="2023-08-23T00:00:00"/>
    <d v="2023-08-29T00:00:00"/>
    <x v="0"/>
    <x v="0"/>
    <n v="0"/>
    <n v="0"/>
    <x v="0"/>
  </r>
  <r>
    <x v="702"/>
    <x v="220"/>
    <x v="7"/>
    <x v="7"/>
    <x v="2"/>
    <x v="1"/>
    <s v="M0043"/>
    <x v="23"/>
    <x v="3"/>
    <x v="21"/>
    <s v="Mantenimiento general"/>
    <x v="0"/>
    <n v="0"/>
    <d v="2023-08-23T00:00:00"/>
    <d v="2023-09-11T00:00:00"/>
    <x v="2"/>
    <x v="27"/>
    <n v="823"/>
    <n v="343"/>
    <x v="3"/>
  </r>
  <r>
    <x v="703"/>
    <x v="221"/>
    <x v="7"/>
    <x v="7"/>
    <x v="2"/>
    <x v="1"/>
    <s v="M0042"/>
    <x v="10"/>
    <x v="2"/>
    <x v="10"/>
    <s v="Inspección de gases"/>
    <x v="0"/>
    <n v="0"/>
    <d v="2023-08-24T00:00:00"/>
    <d v="2023-09-18T00:00:00"/>
    <x v="2"/>
    <x v="2"/>
    <n v="1117"/>
    <n v="384"/>
    <x v="2"/>
  </r>
  <r>
    <x v="704"/>
    <x v="222"/>
    <x v="7"/>
    <x v="7"/>
    <x v="2"/>
    <x v="1"/>
    <s v="M0011"/>
    <x v="36"/>
    <x v="0"/>
    <x v="26"/>
    <s v="Observación de posibles daños"/>
    <x v="1"/>
    <s v="90 Trimestral"/>
    <d v="2023-08-26T00:00:00"/>
    <d v="2023-11-24T00:00:00"/>
    <x v="1"/>
    <x v="0"/>
    <n v="966"/>
    <n v="831"/>
    <x v="1"/>
  </r>
  <r>
    <x v="705"/>
    <x v="222"/>
    <x v="7"/>
    <x v="7"/>
    <x v="2"/>
    <x v="1"/>
    <s v="M0011"/>
    <x v="36"/>
    <x v="0"/>
    <x v="26"/>
    <s v="Inspección y/o reemplazado de cuchillas"/>
    <x v="0"/>
    <n v="0"/>
    <d v="2023-08-26T00:00:00"/>
    <d v="2023-09-14T00:00:00"/>
    <x v="0"/>
    <x v="0"/>
    <n v="0"/>
    <n v="0"/>
    <x v="0"/>
  </r>
  <r>
    <x v="706"/>
    <x v="223"/>
    <x v="7"/>
    <x v="7"/>
    <x v="2"/>
    <x v="1"/>
    <s v="M0032"/>
    <x v="14"/>
    <x v="0"/>
    <x v="8"/>
    <s v="Observación de posibles daños"/>
    <x v="1"/>
    <s v="360 Anual"/>
    <d v="2023-08-27T00:00:00"/>
    <d v="2024-08-21T00:00:00"/>
    <x v="1"/>
    <x v="0"/>
    <n v="550"/>
    <n v="195"/>
    <x v="1"/>
  </r>
  <r>
    <x v="707"/>
    <x v="223"/>
    <x v="7"/>
    <x v="7"/>
    <x v="2"/>
    <x v="1"/>
    <s v="M0021"/>
    <x v="9"/>
    <x v="0"/>
    <x v="9"/>
    <s v="Revisión de válvulas"/>
    <x v="0"/>
    <n v="0"/>
    <d v="2023-08-27T00:00:00"/>
    <d v="2023-09-22T00:00:00"/>
    <x v="2"/>
    <x v="6"/>
    <n v="721"/>
    <n v="699"/>
    <x v="4"/>
  </r>
  <r>
    <x v="708"/>
    <x v="223"/>
    <x v="7"/>
    <x v="7"/>
    <x v="2"/>
    <x v="1"/>
    <s v="M0018"/>
    <x v="0"/>
    <x v="0"/>
    <x v="0"/>
    <s v="Limpieza y ajuste de inyectores"/>
    <x v="0"/>
    <n v="0"/>
    <d v="2023-08-27T00:00:00"/>
    <d v="2023-09-01T00:00:00"/>
    <x v="2"/>
    <x v="9"/>
    <n v="416"/>
    <n v="934"/>
    <x v="1"/>
  </r>
  <r>
    <x v="709"/>
    <x v="224"/>
    <x v="7"/>
    <x v="7"/>
    <x v="2"/>
    <x v="1"/>
    <s v="M0024"/>
    <x v="21"/>
    <x v="2"/>
    <x v="19"/>
    <s v="Limpieza y ajuste de terminales de baterías"/>
    <x v="0"/>
    <n v="0"/>
    <d v="2023-08-28T00:00:00"/>
    <d v="2023-09-02T00:00:00"/>
    <x v="2"/>
    <x v="9"/>
    <n v="583"/>
    <n v="588"/>
    <x v="2"/>
  </r>
  <r>
    <x v="710"/>
    <x v="224"/>
    <x v="7"/>
    <x v="7"/>
    <x v="2"/>
    <x v="1"/>
    <s v="M0031"/>
    <x v="7"/>
    <x v="0"/>
    <x v="7"/>
    <s v="Observación de posibles daños"/>
    <x v="1"/>
    <s v="360 Anual"/>
    <d v="2023-08-28T00:00:00"/>
    <d v="2024-08-22T00:00:00"/>
    <x v="1"/>
    <x v="0"/>
    <n v="607"/>
    <n v="288"/>
    <x v="1"/>
  </r>
  <r>
    <x v="711"/>
    <x v="224"/>
    <x v="7"/>
    <x v="7"/>
    <x v="2"/>
    <x v="1"/>
    <s v="M0028"/>
    <x v="29"/>
    <x v="0"/>
    <x v="25"/>
    <s v="Limpieza de ventilador"/>
    <x v="0"/>
    <n v="0"/>
    <d v="2023-08-28T00:00:00"/>
    <d v="2023-09-13T00:00:00"/>
    <x v="0"/>
    <x v="0"/>
    <n v="0"/>
    <n v="0"/>
    <x v="0"/>
  </r>
  <r>
    <x v="712"/>
    <x v="225"/>
    <x v="7"/>
    <x v="7"/>
    <x v="2"/>
    <x v="1"/>
    <s v="M0028"/>
    <x v="29"/>
    <x v="0"/>
    <x v="25"/>
    <s v="Limpieza general"/>
    <x v="0"/>
    <n v="0"/>
    <d v="2023-08-29T00:00:00"/>
    <d v="2023-09-21T00:00:00"/>
    <x v="2"/>
    <x v="10"/>
    <n v="823"/>
    <n v="113"/>
    <x v="2"/>
  </r>
  <r>
    <x v="713"/>
    <x v="225"/>
    <x v="7"/>
    <x v="7"/>
    <x v="2"/>
    <x v="1"/>
    <s v="M0024"/>
    <x v="21"/>
    <x v="2"/>
    <x v="19"/>
    <s v="Inspección de engranes"/>
    <x v="0"/>
    <n v="0"/>
    <d v="2023-08-29T00:00:00"/>
    <d v="2023-09-21T00:00:00"/>
    <x v="0"/>
    <x v="0"/>
    <n v="0"/>
    <n v="0"/>
    <x v="0"/>
  </r>
  <r>
    <x v="714"/>
    <x v="226"/>
    <x v="7"/>
    <x v="7"/>
    <x v="2"/>
    <x v="1"/>
    <s v="M0028"/>
    <x v="29"/>
    <x v="0"/>
    <x v="25"/>
    <s v="Revisió Ajuste y/o de bandas, correas y poleas"/>
    <x v="0"/>
    <n v="0"/>
    <d v="2023-08-30T00:00:00"/>
    <d v="2023-09-15T00:00:00"/>
    <x v="2"/>
    <x v="7"/>
    <n v="314"/>
    <n v="455"/>
    <x v="4"/>
  </r>
  <r>
    <x v="715"/>
    <x v="226"/>
    <x v="7"/>
    <x v="7"/>
    <x v="2"/>
    <x v="1"/>
    <s v="M0021"/>
    <x v="9"/>
    <x v="0"/>
    <x v="9"/>
    <s v="Observación de posibles daños"/>
    <x v="0"/>
    <n v="0"/>
    <d v="2023-08-30T00:00:00"/>
    <d v="2023-09-13T00:00:00"/>
    <x v="2"/>
    <x v="21"/>
    <n v="390"/>
    <n v="699"/>
    <x v="3"/>
  </r>
  <r>
    <x v="716"/>
    <x v="226"/>
    <x v="7"/>
    <x v="7"/>
    <x v="2"/>
    <x v="1"/>
    <s v="M0027"/>
    <x v="6"/>
    <x v="2"/>
    <x v="6"/>
    <s v="Observación de posibles daños"/>
    <x v="1"/>
    <s v="360 Anual"/>
    <d v="2023-08-30T00:00:00"/>
    <d v="2024-08-24T00:00:00"/>
    <x v="1"/>
    <x v="0"/>
    <n v="962"/>
    <n v="894"/>
    <x v="1"/>
  </r>
  <r>
    <x v="717"/>
    <x v="226"/>
    <x v="7"/>
    <x v="7"/>
    <x v="2"/>
    <x v="1"/>
    <s v="M0040"/>
    <x v="41"/>
    <x v="0"/>
    <x v="14"/>
    <s v="Inspección y/o reemplazo de tubos de contacto"/>
    <x v="0"/>
    <n v="0"/>
    <d v="2023-08-30T00:00:00"/>
    <d v="2023-09-19T00:00:00"/>
    <x v="2"/>
    <x v="26"/>
    <n v="674"/>
    <n v="882"/>
    <x v="4"/>
  </r>
  <r>
    <x v="718"/>
    <x v="226"/>
    <x v="7"/>
    <x v="7"/>
    <x v="2"/>
    <x v="1"/>
    <s v="M0028"/>
    <x v="29"/>
    <x v="0"/>
    <x v="25"/>
    <s v="Observación de posibles daños"/>
    <x v="1"/>
    <s v="15 Quincenal"/>
    <d v="2023-08-30T00:00:00"/>
    <d v="2023-09-14T00:00:00"/>
    <x v="1"/>
    <x v="0"/>
    <n v="871"/>
    <n v="328"/>
    <x v="1"/>
  </r>
  <r>
    <x v="719"/>
    <x v="227"/>
    <x v="7"/>
    <x v="7"/>
    <x v="2"/>
    <x v="1"/>
    <s v="M0036"/>
    <x v="27"/>
    <x v="0"/>
    <x v="15"/>
    <s v="Ajuste general de máquinas"/>
    <x v="0"/>
    <n v="0"/>
    <d v="2023-08-31T00:00:00"/>
    <d v="2023-09-12T00:00:00"/>
    <x v="0"/>
    <x v="0"/>
    <n v="0"/>
    <n v="0"/>
    <x v="0"/>
  </r>
  <r>
    <x v="720"/>
    <x v="227"/>
    <x v="7"/>
    <x v="7"/>
    <x v="2"/>
    <x v="1"/>
    <s v="M0032"/>
    <x v="14"/>
    <x v="0"/>
    <x v="8"/>
    <s v="Observación de posibles daños"/>
    <x v="1"/>
    <s v="180 Semestral"/>
    <d v="2023-08-31T00:00:00"/>
    <d v="2024-02-27T00:00:00"/>
    <x v="1"/>
    <x v="0"/>
    <n v="1152"/>
    <n v="924"/>
    <x v="1"/>
  </r>
  <r>
    <x v="721"/>
    <x v="227"/>
    <x v="7"/>
    <x v="7"/>
    <x v="2"/>
    <x v="1"/>
    <s v="M0007"/>
    <x v="39"/>
    <x v="0"/>
    <x v="2"/>
    <s v="Inspección de mangeras"/>
    <x v="0"/>
    <n v="0"/>
    <d v="2023-08-31T00:00:00"/>
    <d v="2023-09-14T00:00:00"/>
    <x v="0"/>
    <x v="0"/>
    <n v="0"/>
    <n v="0"/>
    <x v="0"/>
  </r>
  <r>
    <x v="722"/>
    <x v="227"/>
    <x v="7"/>
    <x v="7"/>
    <x v="2"/>
    <x v="1"/>
    <s v="M0003"/>
    <x v="22"/>
    <x v="2"/>
    <x v="20"/>
    <s v="Inspección y/o reemplazado de filtros de aire"/>
    <x v="0"/>
    <n v="0"/>
    <d v="2023-08-31T00:00:00"/>
    <d v="2023-09-26T00:00:00"/>
    <x v="0"/>
    <x v="0"/>
    <n v="0"/>
    <n v="0"/>
    <x v="0"/>
  </r>
  <r>
    <x v="723"/>
    <x v="227"/>
    <x v="7"/>
    <x v="7"/>
    <x v="2"/>
    <x v="1"/>
    <s v="M0034"/>
    <x v="2"/>
    <x v="0"/>
    <x v="2"/>
    <s v="Inspección y/o reemplazado de filtros de aceite"/>
    <x v="0"/>
    <n v="0"/>
    <d v="2023-08-31T00:00:00"/>
    <d v="2023-09-09T00:00:00"/>
    <x v="2"/>
    <x v="20"/>
    <n v="834"/>
    <n v="251"/>
    <x v="3"/>
  </r>
  <r>
    <x v="724"/>
    <x v="227"/>
    <x v="7"/>
    <x v="7"/>
    <x v="2"/>
    <x v="1"/>
    <s v="M0029"/>
    <x v="12"/>
    <x v="3"/>
    <x v="12"/>
    <s v="Observación de posibles daños"/>
    <x v="1"/>
    <s v="360 Anual"/>
    <d v="2023-08-31T00:00:00"/>
    <d v="2024-08-25T00:00:00"/>
    <x v="1"/>
    <x v="0"/>
    <n v="397"/>
    <n v="106"/>
    <x v="1"/>
  </r>
  <r>
    <x v="725"/>
    <x v="228"/>
    <x v="8"/>
    <x v="8"/>
    <x v="2"/>
    <x v="1"/>
    <s v="M0039"/>
    <x v="5"/>
    <x v="0"/>
    <x v="3"/>
    <s v="Mantenimiento general"/>
    <x v="0"/>
    <n v="0"/>
    <d v="2023-09-01T00:00:00"/>
    <d v="2023-09-11T00:00:00"/>
    <x v="2"/>
    <x v="30"/>
    <n v="985"/>
    <n v="374"/>
    <x v="1"/>
  </r>
  <r>
    <x v="726"/>
    <x v="229"/>
    <x v="8"/>
    <x v="8"/>
    <x v="2"/>
    <x v="1"/>
    <s v="M0011"/>
    <x v="36"/>
    <x v="0"/>
    <x v="26"/>
    <s v="Inspección de gases"/>
    <x v="0"/>
    <n v="0"/>
    <d v="2023-09-02T00:00:00"/>
    <d v="2023-09-24T00:00:00"/>
    <x v="0"/>
    <x v="0"/>
    <n v="0"/>
    <n v="0"/>
    <x v="0"/>
  </r>
  <r>
    <x v="727"/>
    <x v="229"/>
    <x v="8"/>
    <x v="8"/>
    <x v="2"/>
    <x v="1"/>
    <s v="M0013"/>
    <x v="15"/>
    <x v="0"/>
    <x v="14"/>
    <s v="Inspección y/o reemplazado de escobillas"/>
    <x v="0"/>
    <n v="0"/>
    <d v="2023-09-02T00:00:00"/>
    <d v="2023-09-13T00:00:00"/>
    <x v="2"/>
    <x v="18"/>
    <n v="661"/>
    <n v="868"/>
    <x v="4"/>
  </r>
  <r>
    <x v="728"/>
    <x v="230"/>
    <x v="8"/>
    <x v="8"/>
    <x v="2"/>
    <x v="1"/>
    <s v="M0024"/>
    <x v="21"/>
    <x v="2"/>
    <x v="19"/>
    <s v="Inspección y/o reemplazado de cuchillas"/>
    <x v="0"/>
    <n v="0"/>
    <d v="2023-09-03T00:00:00"/>
    <d v="2023-09-16T00:00:00"/>
    <x v="2"/>
    <x v="29"/>
    <n v="454"/>
    <n v="503"/>
    <x v="2"/>
  </r>
  <r>
    <x v="729"/>
    <x v="230"/>
    <x v="8"/>
    <x v="8"/>
    <x v="2"/>
    <x v="1"/>
    <s v="M0011"/>
    <x v="36"/>
    <x v="0"/>
    <x v="26"/>
    <s v="Inspección de nivel de com¿bustible"/>
    <x v="0"/>
    <n v="0"/>
    <d v="2023-09-03T00:00:00"/>
    <d v="2023-09-05T00:00:00"/>
    <x v="0"/>
    <x v="0"/>
    <n v="0"/>
    <n v="0"/>
    <x v="0"/>
  </r>
  <r>
    <x v="730"/>
    <x v="231"/>
    <x v="8"/>
    <x v="8"/>
    <x v="2"/>
    <x v="1"/>
    <s v="M0042"/>
    <x v="10"/>
    <x v="2"/>
    <x v="10"/>
    <s v="Revisión de válvulas"/>
    <x v="0"/>
    <n v="0"/>
    <d v="2023-09-04T00:00:00"/>
    <d v="2023-09-13T00:00:00"/>
    <x v="0"/>
    <x v="0"/>
    <n v="0"/>
    <n v="0"/>
    <x v="0"/>
  </r>
  <r>
    <x v="731"/>
    <x v="231"/>
    <x v="8"/>
    <x v="8"/>
    <x v="2"/>
    <x v="1"/>
    <s v="M0031"/>
    <x v="7"/>
    <x v="0"/>
    <x v="7"/>
    <s v="Limpieza y ajuste de inyectores"/>
    <x v="0"/>
    <n v="0"/>
    <d v="2023-09-04T00:00:00"/>
    <d v="2023-09-22T00:00:00"/>
    <x v="0"/>
    <x v="0"/>
    <n v="0"/>
    <n v="0"/>
    <x v="0"/>
  </r>
  <r>
    <x v="732"/>
    <x v="231"/>
    <x v="8"/>
    <x v="8"/>
    <x v="2"/>
    <x v="1"/>
    <s v="M0020"/>
    <x v="13"/>
    <x v="0"/>
    <x v="13"/>
    <s v="Observación de posibles daños"/>
    <x v="1"/>
    <s v="360 Anual"/>
    <d v="2023-09-04T00:00:00"/>
    <d v="2024-08-29T00:00:00"/>
    <x v="1"/>
    <x v="0"/>
    <n v="1187"/>
    <n v="489"/>
    <x v="1"/>
  </r>
  <r>
    <x v="733"/>
    <x v="232"/>
    <x v="8"/>
    <x v="8"/>
    <x v="2"/>
    <x v="1"/>
    <s v="M0042"/>
    <x v="10"/>
    <x v="2"/>
    <x v="10"/>
    <s v="Verificación del sistema de enfriado"/>
    <x v="0"/>
    <n v="0"/>
    <d v="2023-09-05T00:00:00"/>
    <d v="2023-09-28T00:00:00"/>
    <x v="2"/>
    <x v="10"/>
    <n v="1121"/>
    <n v="278"/>
    <x v="1"/>
  </r>
  <r>
    <x v="734"/>
    <x v="233"/>
    <x v="8"/>
    <x v="8"/>
    <x v="2"/>
    <x v="1"/>
    <s v="M0003"/>
    <x v="22"/>
    <x v="2"/>
    <x v="20"/>
    <s v="Limpieza de ventilador"/>
    <x v="0"/>
    <n v="0"/>
    <d v="2023-09-06T00:00:00"/>
    <d v="2023-10-06T00:00:00"/>
    <x v="2"/>
    <x v="23"/>
    <n v="344"/>
    <n v="791"/>
    <x v="1"/>
  </r>
  <r>
    <x v="735"/>
    <x v="233"/>
    <x v="8"/>
    <x v="8"/>
    <x v="2"/>
    <x v="1"/>
    <s v="M0041"/>
    <x v="28"/>
    <x v="0"/>
    <x v="17"/>
    <s v="Limpieza general"/>
    <x v="0"/>
    <n v="0"/>
    <d v="2023-09-06T00:00:00"/>
    <d v="2023-09-15T00:00:00"/>
    <x v="2"/>
    <x v="20"/>
    <n v="1185"/>
    <n v="674"/>
    <x v="4"/>
  </r>
  <r>
    <x v="736"/>
    <x v="233"/>
    <x v="8"/>
    <x v="8"/>
    <x v="2"/>
    <x v="1"/>
    <s v="M0018"/>
    <x v="0"/>
    <x v="0"/>
    <x v="0"/>
    <s v="Observación de posibles daños"/>
    <x v="1"/>
    <s v="360 Anual"/>
    <d v="2023-09-06T00:00:00"/>
    <d v="2024-08-31T00:00:00"/>
    <x v="1"/>
    <x v="0"/>
    <n v="213"/>
    <n v="955"/>
    <x v="1"/>
  </r>
  <r>
    <x v="737"/>
    <x v="233"/>
    <x v="8"/>
    <x v="8"/>
    <x v="2"/>
    <x v="1"/>
    <s v="M0034"/>
    <x v="2"/>
    <x v="0"/>
    <x v="2"/>
    <s v="Revisió Ajuste y/o de bandas, correas y poleas"/>
    <x v="0"/>
    <n v="0"/>
    <d v="2023-09-06T00:00:00"/>
    <d v="2023-09-08T00:00:00"/>
    <x v="2"/>
    <x v="16"/>
    <n v="653"/>
    <n v="315"/>
    <x v="4"/>
  </r>
  <r>
    <x v="738"/>
    <x v="234"/>
    <x v="8"/>
    <x v="8"/>
    <x v="2"/>
    <x v="1"/>
    <s v="M0012"/>
    <x v="3"/>
    <x v="0"/>
    <x v="3"/>
    <s v="Observación de posibles daños"/>
    <x v="1"/>
    <s v="60 Bimestral"/>
    <d v="2023-09-07T00:00:00"/>
    <d v="2023-11-06T00:00:00"/>
    <x v="1"/>
    <x v="0"/>
    <n v="977"/>
    <n v="298"/>
    <x v="1"/>
  </r>
  <r>
    <x v="739"/>
    <x v="234"/>
    <x v="8"/>
    <x v="8"/>
    <x v="2"/>
    <x v="1"/>
    <s v="M0014"/>
    <x v="19"/>
    <x v="2"/>
    <x v="17"/>
    <s v="Inspección y/o reemplazo de boquillas"/>
    <x v="0"/>
    <n v="0"/>
    <d v="2023-09-07T00:00:00"/>
    <d v="2023-10-02T00:00:00"/>
    <x v="2"/>
    <x v="2"/>
    <n v="537"/>
    <n v="201"/>
    <x v="1"/>
  </r>
  <r>
    <x v="740"/>
    <x v="234"/>
    <x v="8"/>
    <x v="8"/>
    <x v="2"/>
    <x v="1"/>
    <s v="M0027"/>
    <x v="6"/>
    <x v="2"/>
    <x v="6"/>
    <s v="Inspección y/o reemplazo de tubos de contacto"/>
    <x v="0"/>
    <n v="0"/>
    <d v="2023-09-07T00:00:00"/>
    <d v="2023-10-04T00:00:00"/>
    <x v="0"/>
    <x v="0"/>
    <n v="0"/>
    <n v="0"/>
    <x v="0"/>
  </r>
  <r>
    <x v="741"/>
    <x v="235"/>
    <x v="8"/>
    <x v="8"/>
    <x v="2"/>
    <x v="1"/>
    <s v="M0017"/>
    <x v="20"/>
    <x v="0"/>
    <x v="18"/>
    <s v="Inspección y/o reemplazo de toderas"/>
    <x v="0"/>
    <n v="0"/>
    <d v="2023-09-08T00:00:00"/>
    <d v="2023-09-22T00:00:00"/>
    <x v="2"/>
    <x v="21"/>
    <n v="1018"/>
    <n v="902"/>
    <x v="3"/>
  </r>
  <r>
    <x v="742"/>
    <x v="235"/>
    <x v="8"/>
    <x v="8"/>
    <x v="2"/>
    <x v="1"/>
    <s v="M0005"/>
    <x v="8"/>
    <x v="0"/>
    <x v="8"/>
    <s v="Ajuste general de máquinas"/>
    <x v="0"/>
    <n v="0"/>
    <d v="2023-09-08T00:00:00"/>
    <d v="2023-09-30T00:00:00"/>
    <x v="0"/>
    <x v="0"/>
    <n v="0"/>
    <n v="0"/>
    <x v="0"/>
  </r>
  <r>
    <x v="743"/>
    <x v="235"/>
    <x v="8"/>
    <x v="8"/>
    <x v="2"/>
    <x v="1"/>
    <s v="M0022"/>
    <x v="24"/>
    <x v="0"/>
    <x v="22"/>
    <s v="Inspección de tuberías "/>
    <x v="0"/>
    <n v="0"/>
    <d v="2023-09-08T00:00:00"/>
    <d v="2023-09-18T00:00:00"/>
    <x v="0"/>
    <x v="0"/>
    <n v="0"/>
    <n v="0"/>
    <x v="0"/>
  </r>
  <r>
    <x v="744"/>
    <x v="235"/>
    <x v="8"/>
    <x v="8"/>
    <x v="2"/>
    <x v="1"/>
    <s v="M0015"/>
    <x v="33"/>
    <x v="4"/>
    <x v="10"/>
    <s v="Observación de posibles daños"/>
    <x v="1"/>
    <s v="7 Semanal"/>
    <d v="2023-09-08T00:00:00"/>
    <d v="2023-09-15T00:00:00"/>
    <x v="1"/>
    <x v="0"/>
    <n v="495"/>
    <n v="780"/>
    <x v="1"/>
  </r>
  <r>
    <x v="745"/>
    <x v="235"/>
    <x v="8"/>
    <x v="8"/>
    <x v="2"/>
    <x v="1"/>
    <s v="M0017"/>
    <x v="20"/>
    <x v="0"/>
    <x v="18"/>
    <s v="Inspección y/o reemplazado de filtros de aire"/>
    <x v="0"/>
    <n v="0"/>
    <d v="2023-09-08T00:00:00"/>
    <d v="2023-10-07T00:00:00"/>
    <x v="0"/>
    <x v="0"/>
    <n v="0"/>
    <n v="0"/>
    <x v="0"/>
  </r>
  <r>
    <x v="746"/>
    <x v="235"/>
    <x v="8"/>
    <x v="8"/>
    <x v="2"/>
    <x v="1"/>
    <s v="M0019"/>
    <x v="4"/>
    <x v="1"/>
    <x v="5"/>
    <s v="Observación de posibles daños"/>
    <x v="1"/>
    <s v="90 Trimestral"/>
    <d v="2023-09-08T00:00:00"/>
    <d v="2023-12-07T00:00:00"/>
    <x v="1"/>
    <x v="0"/>
    <n v="693"/>
    <n v="717"/>
    <x v="1"/>
  </r>
  <r>
    <x v="747"/>
    <x v="236"/>
    <x v="8"/>
    <x v="8"/>
    <x v="2"/>
    <x v="1"/>
    <s v="M0011"/>
    <x v="36"/>
    <x v="0"/>
    <x v="26"/>
    <s v="Inspección de Frenos"/>
    <x v="0"/>
    <n v="0"/>
    <d v="2023-09-09T00:00:00"/>
    <d v="2023-09-22T00:00:00"/>
    <x v="2"/>
    <x v="29"/>
    <n v="774"/>
    <n v="119"/>
    <x v="1"/>
  </r>
  <r>
    <x v="748"/>
    <x v="236"/>
    <x v="8"/>
    <x v="8"/>
    <x v="2"/>
    <x v="1"/>
    <s v="M0004"/>
    <x v="40"/>
    <x v="2"/>
    <x v="7"/>
    <s v="Mantenimiento general"/>
    <x v="0"/>
    <n v="0"/>
    <d v="2023-09-09T00:00:00"/>
    <d v="2023-09-25T00:00:00"/>
    <x v="0"/>
    <x v="0"/>
    <n v="0"/>
    <n v="0"/>
    <x v="0"/>
  </r>
  <r>
    <x v="749"/>
    <x v="237"/>
    <x v="8"/>
    <x v="8"/>
    <x v="2"/>
    <x v="1"/>
    <s v="M0016"/>
    <x v="31"/>
    <x v="0"/>
    <x v="21"/>
    <s v="Inspección de gases"/>
    <x v="0"/>
    <n v="0"/>
    <d v="2023-09-10T00:00:00"/>
    <d v="2023-09-23T00:00:00"/>
    <x v="2"/>
    <x v="29"/>
    <n v="798"/>
    <n v="212"/>
    <x v="1"/>
  </r>
  <r>
    <x v="750"/>
    <x v="237"/>
    <x v="8"/>
    <x v="8"/>
    <x v="2"/>
    <x v="1"/>
    <s v="M0035"/>
    <x v="34"/>
    <x v="0"/>
    <x v="24"/>
    <s v="Inspección y/o reemplazado de escobillas"/>
    <x v="0"/>
    <n v="0"/>
    <d v="2023-09-10T00:00:00"/>
    <d v="2023-09-26T00:00:00"/>
    <x v="0"/>
    <x v="0"/>
    <n v="0"/>
    <n v="0"/>
    <x v="0"/>
  </r>
  <r>
    <x v="751"/>
    <x v="237"/>
    <x v="8"/>
    <x v="8"/>
    <x v="2"/>
    <x v="1"/>
    <s v="M0030"/>
    <x v="35"/>
    <x v="0"/>
    <x v="20"/>
    <s v="Inspección y/o reemplazado de cuchillas"/>
    <x v="0"/>
    <n v="0"/>
    <d v="2023-09-10T00:00:00"/>
    <d v="2023-09-15T00:00:00"/>
    <x v="0"/>
    <x v="0"/>
    <n v="0"/>
    <n v="0"/>
    <x v="0"/>
  </r>
  <r>
    <x v="752"/>
    <x v="237"/>
    <x v="8"/>
    <x v="8"/>
    <x v="2"/>
    <x v="1"/>
    <s v="M0013"/>
    <x v="15"/>
    <x v="0"/>
    <x v="14"/>
    <s v="Inspección de nivel de com¿bustible"/>
    <x v="0"/>
    <n v="0"/>
    <d v="2023-09-10T00:00:00"/>
    <d v="2023-09-13T00:00:00"/>
    <x v="0"/>
    <x v="0"/>
    <n v="0"/>
    <n v="0"/>
    <x v="0"/>
  </r>
  <r>
    <x v="753"/>
    <x v="237"/>
    <x v="8"/>
    <x v="8"/>
    <x v="2"/>
    <x v="1"/>
    <s v="M0030"/>
    <x v="35"/>
    <x v="0"/>
    <x v="20"/>
    <s v="Revisión de válvulas"/>
    <x v="0"/>
    <n v="0"/>
    <d v="2023-09-10T00:00:00"/>
    <d v="2023-10-06T00:00:00"/>
    <x v="2"/>
    <x v="6"/>
    <n v="296"/>
    <n v="699"/>
    <x v="4"/>
  </r>
  <r>
    <x v="754"/>
    <x v="237"/>
    <x v="8"/>
    <x v="8"/>
    <x v="2"/>
    <x v="1"/>
    <s v="M0007"/>
    <x v="39"/>
    <x v="0"/>
    <x v="2"/>
    <s v="Observación de posibles daños"/>
    <x v="1"/>
    <s v="180 Semestral"/>
    <d v="2023-09-10T00:00:00"/>
    <d v="2024-03-08T00:00:00"/>
    <x v="1"/>
    <x v="0"/>
    <n v="988"/>
    <n v="348"/>
    <x v="1"/>
  </r>
  <r>
    <x v="755"/>
    <x v="237"/>
    <x v="8"/>
    <x v="8"/>
    <x v="2"/>
    <x v="1"/>
    <s v="M0024"/>
    <x v="21"/>
    <x v="2"/>
    <x v="19"/>
    <s v="Limpieza y ajuste de terminales de baterías"/>
    <x v="0"/>
    <n v="0"/>
    <d v="2023-09-10T00:00:00"/>
    <d v="2023-09-15T00:00:00"/>
    <x v="2"/>
    <x v="9"/>
    <n v="1148"/>
    <n v="305"/>
    <x v="3"/>
  </r>
  <r>
    <x v="756"/>
    <x v="237"/>
    <x v="8"/>
    <x v="8"/>
    <x v="2"/>
    <x v="1"/>
    <s v="M0030"/>
    <x v="35"/>
    <x v="0"/>
    <x v="20"/>
    <s v="Verificación del sistema de enfriado"/>
    <x v="0"/>
    <n v="0"/>
    <d v="2023-09-10T00:00:00"/>
    <d v="2023-10-06T00:00:00"/>
    <x v="0"/>
    <x v="0"/>
    <n v="0"/>
    <n v="0"/>
    <x v="0"/>
  </r>
  <r>
    <x v="757"/>
    <x v="237"/>
    <x v="8"/>
    <x v="8"/>
    <x v="2"/>
    <x v="1"/>
    <s v="M0018"/>
    <x v="0"/>
    <x v="0"/>
    <x v="0"/>
    <s v="Limpieza de ventilador"/>
    <x v="0"/>
    <n v="0"/>
    <d v="2023-09-10T00:00:00"/>
    <d v="2023-09-28T00:00:00"/>
    <x v="0"/>
    <x v="0"/>
    <n v="0"/>
    <n v="0"/>
    <x v="0"/>
  </r>
  <r>
    <x v="758"/>
    <x v="238"/>
    <x v="8"/>
    <x v="8"/>
    <x v="2"/>
    <x v="1"/>
    <s v="M0005"/>
    <x v="8"/>
    <x v="0"/>
    <x v="8"/>
    <s v="Limpieza general"/>
    <x v="0"/>
    <n v="0"/>
    <d v="2023-09-11T00:00:00"/>
    <d v="2023-09-29T00:00:00"/>
    <x v="0"/>
    <x v="0"/>
    <n v="0"/>
    <n v="0"/>
    <x v="0"/>
  </r>
  <r>
    <x v="759"/>
    <x v="238"/>
    <x v="8"/>
    <x v="8"/>
    <x v="2"/>
    <x v="1"/>
    <s v="M0032"/>
    <x v="14"/>
    <x v="0"/>
    <x v="8"/>
    <s v="Inspección de engranes"/>
    <x v="0"/>
    <n v="0"/>
    <d v="2023-09-11T00:00:00"/>
    <d v="2023-09-27T00:00:00"/>
    <x v="2"/>
    <x v="7"/>
    <n v="903"/>
    <n v="152"/>
    <x v="4"/>
  </r>
  <r>
    <x v="760"/>
    <x v="238"/>
    <x v="8"/>
    <x v="8"/>
    <x v="2"/>
    <x v="1"/>
    <s v="M0022"/>
    <x v="24"/>
    <x v="0"/>
    <x v="22"/>
    <s v="Observación de posibles daños"/>
    <x v="1"/>
    <s v="30 Mensual"/>
    <d v="2023-09-11T00:00:00"/>
    <d v="2023-10-11T00:00:00"/>
    <x v="1"/>
    <x v="0"/>
    <n v="716"/>
    <n v="476"/>
    <x v="1"/>
  </r>
  <r>
    <x v="761"/>
    <x v="238"/>
    <x v="8"/>
    <x v="8"/>
    <x v="2"/>
    <x v="1"/>
    <s v="M0013"/>
    <x v="15"/>
    <x v="0"/>
    <x v="14"/>
    <s v="Observación de posibles daños"/>
    <x v="0"/>
    <n v="0"/>
    <d v="2023-09-11T00:00:00"/>
    <d v="2023-09-13T00:00:00"/>
    <x v="0"/>
    <x v="0"/>
    <n v="0"/>
    <n v="0"/>
    <x v="0"/>
  </r>
  <r>
    <x v="762"/>
    <x v="239"/>
    <x v="8"/>
    <x v="8"/>
    <x v="2"/>
    <x v="1"/>
    <s v="M0010"/>
    <x v="37"/>
    <x v="0"/>
    <x v="1"/>
    <s v="Observación de posibles daños"/>
    <x v="1"/>
    <s v="180 Semestral"/>
    <d v="2023-09-12T00:00:00"/>
    <d v="2024-03-10T00:00:00"/>
    <x v="1"/>
    <x v="0"/>
    <n v="843"/>
    <n v="224"/>
    <x v="1"/>
  </r>
  <r>
    <x v="763"/>
    <x v="239"/>
    <x v="8"/>
    <x v="8"/>
    <x v="2"/>
    <x v="1"/>
    <s v="M0005"/>
    <x v="8"/>
    <x v="0"/>
    <x v="8"/>
    <s v="Inspección y/o reemplazo de tubos de contacto"/>
    <x v="0"/>
    <n v="0"/>
    <d v="2023-09-12T00:00:00"/>
    <d v="2023-09-28T00:00:00"/>
    <x v="0"/>
    <x v="0"/>
    <n v="0"/>
    <n v="0"/>
    <x v="0"/>
  </r>
  <r>
    <x v="764"/>
    <x v="239"/>
    <x v="8"/>
    <x v="8"/>
    <x v="2"/>
    <x v="1"/>
    <s v="M0019"/>
    <x v="4"/>
    <x v="1"/>
    <x v="5"/>
    <s v="Inspección y/o reemplazo de toderas"/>
    <x v="0"/>
    <n v="0"/>
    <d v="2023-09-12T00:00:00"/>
    <d v="2023-09-13T00:00:00"/>
    <x v="0"/>
    <x v="0"/>
    <n v="0"/>
    <n v="0"/>
    <x v="0"/>
  </r>
  <r>
    <x v="765"/>
    <x v="239"/>
    <x v="8"/>
    <x v="8"/>
    <x v="2"/>
    <x v="1"/>
    <s v="M0018"/>
    <x v="0"/>
    <x v="0"/>
    <x v="0"/>
    <s v="Ajuste general de máquinas"/>
    <x v="0"/>
    <n v="0"/>
    <d v="2023-09-12T00:00:00"/>
    <d v="2023-09-27T00:00:00"/>
    <x v="2"/>
    <x v="24"/>
    <n v="423"/>
    <n v="420"/>
    <x v="1"/>
  </r>
  <r>
    <x v="766"/>
    <x v="239"/>
    <x v="8"/>
    <x v="8"/>
    <x v="2"/>
    <x v="1"/>
    <s v="M0023"/>
    <x v="18"/>
    <x v="0"/>
    <x v="16"/>
    <s v="Observación de posibles daños"/>
    <x v="1"/>
    <s v="90 Trimestral"/>
    <d v="2023-09-12T00:00:00"/>
    <d v="2023-12-11T00:00:00"/>
    <x v="1"/>
    <x v="0"/>
    <n v="582"/>
    <n v="371"/>
    <x v="1"/>
  </r>
  <r>
    <x v="767"/>
    <x v="239"/>
    <x v="8"/>
    <x v="8"/>
    <x v="2"/>
    <x v="1"/>
    <s v="M0035"/>
    <x v="34"/>
    <x v="0"/>
    <x v="24"/>
    <s v="Inspección de mangeras"/>
    <x v="0"/>
    <n v="0"/>
    <d v="2023-09-12T00:00:00"/>
    <d v="2023-09-13T00:00:00"/>
    <x v="2"/>
    <x v="15"/>
    <n v="839"/>
    <n v="400"/>
    <x v="3"/>
  </r>
  <r>
    <x v="768"/>
    <x v="239"/>
    <x v="8"/>
    <x v="8"/>
    <x v="2"/>
    <x v="1"/>
    <s v="M0001"/>
    <x v="38"/>
    <x v="0"/>
    <x v="25"/>
    <s v="Observación de posibles daños"/>
    <x v="1"/>
    <s v="30 Mensual"/>
    <d v="2023-09-12T00:00:00"/>
    <d v="2023-10-12T00:00:00"/>
    <x v="1"/>
    <x v="0"/>
    <n v="1092"/>
    <n v="664"/>
    <x v="1"/>
  </r>
  <r>
    <x v="769"/>
    <x v="240"/>
    <x v="8"/>
    <x v="8"/>
    <x v="2"/>
    <x v="1"/>
    <s v="M0016"/>
    <x v="31"/>
    <x v="0"/>
    <x v="21"/>
    <s v="Inspección y/o reemplazado de filtros de aceite"/>
    <x v="0"/>
    <n v="0"/>
    <d v="2023-09-13T00:00:00"/>
    <d v="2023-10-07T00:00:00"/>
    <x v="2"/>
    <x v="25"/>
    <n v="664"/>
    <n v="866"/>
    <x v="1"/>
  </r>
  <r>
    <x v="770"/>
    <x v="240"/>
    <x v="8"/>
    <x v="8"/>
    <x v="2"/>
    <x v="1"/>
    <s v="M0043"/>
    <x v="23"/>
    <x v="3"/>
    <x v="21"/>
    <s v="Observación de posibles daños"/>
    <x v="1"/>
    <s v="30 Mensual"/>
    <d v="2023-09-13T00:00:00"/>
    <d v="2023-10-13T00:00:00"/>
    <x v="1"/>
    <x v="0"/>
    <n v="1179"/>
    <n v="710"/>
    <x v="1"/>
  </r>
  <r>
    <x v="771"/>
    <x v="240"/>
    <x v="8"/>
    <x v="8"/>
    <x v="2"/>
    <x v="1"/>
    <s v="M0029"/>
    <x v="12"/>
    <x v="3"/>
    <x v="12"/>
    <s v="Mantenimiento general"/>
    <x v="0"/>
    <n v="0"/>
    <d v="2023-09-13T00:00:00"/>
    <d v="2023-09-24T00:00:00"/>
    <x v="0"/>
    <x v="0"/>
    <n v="0"/>
    <n v="0"/>
    <x v="0"/>
  </r>
  <r>
    <x v="772"/>
    <x v="240"/>
    <x v="8"/>
    <x v="8"/>
    <x v="2"/>
    <x v="1"/>
    <s v="M0010"/>
    <x v="37"/>
    <x v="0"/>
    <x v="1"/>
    <s v="Observación de posibles daños"/>
    <x v="1"/>
    <s v="30 Mensual"/>
    <d v="2023-09-13T00:00:00"/>
    <d v="2023-10-13T00:00:00"/>
    <x v="1"/>
    <x v="0"/>
    <n v="427"/>
    <n v="145"/>
    <x v="1"/>
  </r>
  <r>
    <x v="773"/>
    <x v="241"/>
    <x v="8"/>
    <x v="8"/>
    <x v="2"/>
    <x v="1"/>
    <s v="M0006"/>
    <x v="32"/>
    <x v="0"/>
    <x v="4"/>
    <s v="Inspección y/o reemplazado de escobillas"/>
    <x v="0"/>
    <n v="0"/>
    <d v="2023-09-14T00:00:00"/>
    <d v="2023-10-12T00:00:00"/>
    <x v="0"/>
    <x v="0"/>
    <n v="0"/>
    <n v="0"/>
    <x v="0"/>
  </r>
  <r>
    <x v="774"/>
    <x v="241"/>
    <x v="8"/>
    <x v="8"/>
    <x v="2"/>
    <x v="1"/>
    <s v="M0030"/>
    <x v="35"/>
    <x v="0"/>
    <x v="20"/>
    <s v="Observación de posibles daños"/>
    <x v="1"/>
    <s v="30 Mensual"/>
    <d v="2023-09-14T00:00:00"/>
    <d v="2023-10-14T00:00:00"/>
    <x v="1"/>
    <x v="0"/>
    <n v="1186"/>
    <n v="553"/>
    <x v="1"/>
  </r>
  <r>
    <x v="775"/>
    <x v="241"/>
    <x v="8"/>
    <x v="8"/>
    <x v="2"/>
    <x v="1"/>
    <s v="M0021"/>
    <x v="9"/>
    <x v="0"/>
    <x v="9"/>
    <s v="Inspección de nivel de com¿bustible"/>
    <x v="0"/>
    <n v="0"/>
    <d v="2023-09-14T00:00:00"/>
    <d v="2023-10-12T00:00:00"/>
    <x v="0"/>
    <x v="0"/>
    <n v="0"/>
    <n v="0"/>
    <x v="0"/>
  </r>
  <r>
    <x v="776"/>
    <x v="241"/>
    <x v="8"/>
    <x v="8"/>
    <x v="2"/>
    <x v="1"/>
    <s v="M0017"/>
    <x v="20"/>
    <x v="0"/>
    <x v="18"/>
    <s v="Revisión de válvulas"/>
    <x v="0"/>
    <n v="0"/>
    <d v="2023-09-14T00:00:00"/>
    <d v="2023-10-03T00:00:00"/>
    <x v="2"/>
    <x v="27"/>
    <n v="860"/>
    <n v="212"/>
    <x v="3"/>
  </r>
  <r>
    <x v="777"/>
    <x v="242"/>
    <x v="8"/>
    <x v="8"/>
    <x v="2"/>
    <x v="1"/>
    <s v="M0027"/>
    <x v="6"/>
    <x v="2"/>
    <x v="6"/>
    <s v="Limpieza y ajuste de inyectores"/>
    <x v="0"/>
    <n v="0"/>
    <d v="2023-09-15T00:00:00"/>
    <d v="2023-10-11T00:00:00"/>
    <x v="0"/>
    <x v="0"/>
    <n v="0"/>
    <n v="0"/>
    <x v="0"/>
  </r>
  <r>
    <x v="778"/>
    <x v="242"/>
    <x v="8"/>
    <x v="8"/>
    <x v="2"/>
    <x v="1"/>
    <s v="M0028"/>
    <x v="29"/>
    <x v="0"/>
    <x v="25"/>
    <s v="Limpieza y ajuste de terminales de baterías"/>
    <x v="0"/>
    <n v="0"/>
    <d v="2023-09-15T00:00:00"/>
    <d v="2023-09-19T00:00:00"/>
    <x v="2"/>
    <x v="28"/>
    <n v="289"/>
    <n v="188"/>
    <x v="2"/>
  </r>
  <r>
    <x v="779"/>
    <x v="242"/>
    <x v="8"/>
    <x v="8"/>
    <x v="2"/>
    <x v="1"/>
    <s v="M0002"/>
    <x v="16"/>
    <x v="0"/>
    <x v="12"/>
    <s v="Verificación del sistema de enfriado"/>
    <x v="0"/>
    <n v="0"/>
    <d v="2023-09-15T00:00:00"/>
    <d v="2023-09-22T00:00:00"/>
    <x v="2"/>
    <x v="4"/>
    <n v="1028"/>
    <n v="577"/>
    <x v="1"/>
  </r>
  <r>
    <x v="780"/>
    <x v="242"/>
    <x v="8"/>
    <x v="8"/>
    <x v="2"/>
    <x v="1"/>
    <s v="M0018"/>
    <x v="0"/>
    <x v="0"/>
    <x v="0"/>
    <s v="Limpieza de ventilador"/>
    <x v="0"/>
    <n v="0"/>
    <d v="2023-09-15T00:00:00"/>
    <d v="2023-10-10T00:00:00"/>
    <x v="2"/>
    <x v="2"/>
    <n v="1097"/>
    <n v="198"/>
    <x v="4"/>
  </r>
  <r>
    <x v="781"/>
    <x v="243"/>
    <x v="8"/>
    <x v="8"/>
    <x v="2"/>
    <x v="1"/>
    <s v="M0028"/>
    <x v="29"/>
    <x v="0"/>
    <x v="25"/>
    <s v="Limpieza general"/>
    <x v="0"/>
    <n v="0"/>
    <d v="2023-09-16T00:00:00"/>
    <d v="2023-09-18T00:00:00"/>
    <x v="2"/>
    <x v="16"/>
    <n v="793"/>
    <n v="509"/>
    <x v="3"/>
  </r>
  <r>
    <x v="782"/>
    <x v="243"/>
    <x v="8"/>
    <x v="8"/>
    <x v="2"/>
    <x v="1"/>
    <s v="M0042"/>
    <x v="10"/>
    <x v="2"/>
    <x v="10"/>
    <s v="Inspección de engranes"/>
    <x v="0"/>
    <n v="0"/>
    <d v="2023-09-16T00:00:00"/>
    <d v="2023-10-03T00:00:00"/>
    <x v="0"/>
    <x v="0"/>
    <n v="0"/>
    <n v="0"/>
    <x v="0"/>
  </r>
  <r>
    <x v="783"/>
    <x v="244"/>
    <x v="8"/>
    <x v="8"/>
    <x v="2"/>
    <x v="1"/>
    <s v="M0004"/>
    <x v="40"/>
    <x v="2"/>
    <x v="7"/>
    <s v="Revisió Ajuste y/o de bandas, correas y poleas"/>
    <x v="0"/>
    <n v="0"/>
    <d v="2023-09-18T00:00:00"/>
    <d v="2023-10-14T00:00:00"/>
    <x v="2"/>
    <x v="6"/>
    <n v="360"/>
    <n v="400"/>
    <x v="2"/>
  </r>
  <r>
    <x v="784"/>
    <x v="245"/>
    <x v="8"/>
    <x v="8"/>
    <x v="2"/>
    <x v="1"/>
    <s v="M0007"/>
    <x v="39"/>
    <x v="0"/>
    <x v="2"/>
    <s v="Observación de posibles daños"/>
    <x v="1"/>
    <s v="7 Semanal"/>
    <d v="2023-09-19T00:00:00"/>
    <d v="2023-09-26T00:00:00"/>
    <x v="1"/>
    <x v="0"/>
    <n v="914"/>
    <n v="768"/>
    <x v="1"/>
  </r>
  <r>
    <x v="785"/>
    <x v="245"/>
    <x v="8"/>
    <x v="8"/>
    <x v="2"/>
    <x v="1"/>
    <s v="M0040"/>
    <x v="41"/>
    <x v="0"/>
    <x v="14"/>
    <s v="Inspección y/o reemplazo de boquillas"/>
    <x v="0"/>
    <n v="0"/>
    <d v="2023-09-19T00:00:00"/>
    <d v="2023-10-03T00:00:00"/>
    <x v="0"/>
    <x v="0"/>
    <n v="0"/>
    <n v="0"/>
    <x v="0"/>
  </r>
  <r>
    <x v="786"/>
    <x v="245"/>
    <x v="8"/>
    <x v="8"/>
    <x v="2"/>
    <x v="1"/>
    <s v="M0019"/>
    <x v="4"/>
    <x v="1"/>
    <x v="5"/>
    <s v="Observación de posibles daños"/>
    <x v="1"/>
    <s v="7 Semanal"/>
    <d v="2023-09-19T00:00:00"/>
    <d v="2023-09-26T00:00:00"/>
    <x v="1"/>
    <x v="0"/>
    <n v="816"/>
    <n v="611"/>
    <x v="1"/>
  </r>
  <r>
    <x v="787"/>
    <x v="245"/>
    <x v="8"/>
    <x v="8"/>
    <x v="2"/>
    <x v="1"/>
    <s v="M0041"/>
    <x v="28"/>
    <x v="0"/>
    <x v="17"/>
    <s v="Inspección y/o reemplazo de toderas"/>
    <x v="0"/>
    <n v="0"/>
    <d v="2023-09-19T00:00:00"/>
    <d v="2023-09-24T00:00:00"/>
    <x v="0"/>
    <x v="0"/>
    <n v="0"/>
    <n v="0"/>
    <x v="0"/>
  </r>
  <r>
    <x v="788"/>
    <x v="245"/>
    <x v="8"/>
    <x v="8"/>
    <x v="2"/>
    <x v="1"/>
    <s v="M0029"/>
    <x v="12"/>
    <x v="3"/>
    <x v="12"/>
    <s v="Observación de posibles daños"/>
    <x v="1"/>
    <s v="90 Trimestral"/>
    <d v="2023-09-19T00:00:00"/>
    <d v="2023-12-18T00:00:00"/>
    <x v="1"/>
    <x v="0"/>
    <n v="457"/>
    <n v="713"/>
    <x v="1"/>
  </r>
  <r>
    <x v="789"/>
    <x v="246"/>
    <x v="8"/>
    <x v="8"/>
    <x v="2"/>
    <x v="1"/>
    <s v="M0030"/>
    <x v="35"/>
    <x v="0"/>
    <x v="20"/>
    <s v="Inspección de tuberías "/>
    <x v="0"/>
    <n v="0"/>
    <d v="2023-09-20T00:00:00"/>
    <d v="2023-09-28T00:00:00"/>
    <x v="0"/>
    <x v="0"/>
    <n v="0"/>
    <n v="0"/>
    <x v="0"/>
  </r>
  <r>
    <x v="790"/>
    <x v="246"/>
    <x v="8"/>
    <x v="8"/>
    <x v="2"/>
    <x v="1"/>
    <s v="M0016"/>
    <x v="31"/>
    <x v="0"/>
    <x v="21"/>
    <s v="Observación de posibles daños"/>
    <x v="1"/>
    <s v="30 Mensual"/>
    <d v="2023-09-20T00:00:00"/>
    <d v="2023-10-20T00:00:00"/>
    <x v="1"/>
    <x v="0"/>
    <n v="678"/>
    <n v="720"/>
    <x v="1"/>
  </r>
  <r>
    <x v="791"/>
    <x v="246"/>
    <x v="8"/>
    <x v="8"/>
    <x v="2"/>
    <x v="1"/>
    <s v="M0002"/>
    <x v="16"/>
    <x v="0"/>
    <x v="12"/>
    <s v="Inspección y/o reemplazado de filtros de aire"/>
    <x v="0"/>
    <n v="0"/>
    <d v="2023-09-20T00:00:00"/>
    <d v="2023-10-16T00:00:00"/>
    <x v="0"/>
    <x v="0"/>
    <n v="0"/>
    <n v="0"/>
    <x v="0"/>
  </r>
  <r>
    <x v="792"/>
    <x v="246"/>
    <x v="8"/>
    <x v="8"/>
    <x v="2"/>
    <x v="1"/>
    <s v="M0006"/>
    <x v="32"/>
    <x v="0"/>
    <x v="4"/>
    <s v="Inspección y/o reemplazado de filtros de aceite"/>
    <x v="0"/>
    <n v="0"/>
    <d v="2023-09-20T00:00:00"/>
    <d v="2023-10-19T00:00:00"/>
    <x v="2"/>
    <x v="17"/>
    <n v="904"/>
    <n v="435"/>
    <x v="4"/>
  </r>
  <r>
    <x v="793"/>
    <x v="246"/>
    <x v="8"/>
    <x v="8"/>
    <x v="2"/>
    <x v="1"/>
    <s v="M0017"/>
    <x v="20"/>
    <x v="0"/>
    <x v="18"/>
    <s v="Inspección de Frenos"/>
    <x v="0"/>
    <n v="0"/>
    <d v="2023-09-20T00:00:00"/>
    <d v="2023-09-21T00:00:00"/>
    <x v="2"/>
    <x v="15"/>
    <n v="1156"/>
    <n v="879"/>
    <x v="4"/>
  </r>
  <r>
    <x v="794"/>
    <x v="247"/>
    <x v="8"/>
    <x v="8"/>
    <x v="2"/>
    <x v="1"/>
    <s v="M0040"/>
    <x v="41"/>
    <x v="0"/>
    <x v="14"/>
    <s v="Observación de posibles daños"/>
    <x v="1"/>
    <s v="360 Anual"/>
    <d v="2023-09-21T00:00:00"/>
    <d v="2024-09-15T00:00:00"/>
    <x v="1"/>
    <x v="0"/>
    <n v="627"/>
    <n v="648"/>
    <x v="1"/>
  </r>
  <r>
    <x v="795"/>
    <x v="248"/>
    <x v="8"/>
    <x v="8"/>
    <x v="2"/>
    <x v="1"/>
    <s v="M0001"/>
    <x v="38"/>
    <x v="0"/>
    <x v="25"/>
    <s v="Inspección de gases"/>
    <x v="0"/>
    <n v="0"/>
    <d v="2023-09-22T00:00:00"/>
    <d v="2023-10-21T00:00:00"/>
    <x v="2"/>
    <x v="17"/>
    <n v="303"/>
    <n v="825"/>
    <x v="2"/>
  </r>
  <r>
    <x v="796"/>
    <x v="248"/>
    <x v="8"/>
    <x v="8"/>
    <x v="2"/>
    <x v="1"/>
    <s v="M0036"/>
    <x v="27"/>
    <x v="0"/>
    <x v="15"/>
    <s v="Inspección y/o reemplazado de escobillas"/>
    <x v="0"/>
    <n v="0"/>
    <d v="2023-09-22T00:00:00"/>
    <d v="2023-10-21T00:00:00"/>
    <x v="2"/>
    <x v="17"/>
    <n v="1110"/>
    <n v="644"/>
    <x v="3"/>
  </r>
  <r>
    <x v="797"/>
    <x v="248"/>
    <x v="8"/>
    <x v="8"/>
    <x v="2"/>
    <x v="1"/>
    <s v="M0037"/>
    <x v="1"/>
    <x v="0"/>
    <x v="1"/>
    <s v="Inspección y/o reemplazado de cuchillas"/>
    <x v="0"/>
    <n v="0"/>
    <d v="2023-09-22T00:00:00"/>
    <d v="2023-09-27T00:00:00"/>
    <x v="2"/>
    <x v="9"/>
    <n v="1069"/>
    <n v="549"/>
    <x v="3"/>
  </r>
  <r>
    <x v="798"/>
    <x v="248"/>
    <x v="8"/>
    <x v="8"/>
    <x v="2"/>
    <x v="1"/>
    <s v="M0038"/>
    <x v="30"/>
    <x v="0"/>
    <x v="26"/>
    <s v="Inspección de nivel de com¿bustible"/>
    <x v="0"/>
    <n v="0"/>
    <d v="2023-09-22T00:00:00"/>
    <d v="2023-10-04T00:00:00"/>
    <x v="0"/>
    <x v="0"/>
    <n v="0"/>
    <n v="0"/>
    <x v="0"/>
  </r>
  <r>
    <x v="799"/>
    <x v="248"/>
    <x v="8"/>
    <x v="8"/>
    <x v="2"/>
    <x v="1"/>
    <s v="M0009"/>
    <x v="17"/>
    <x v="0"/>
    <x v="15"/>
    <s v="Revisión de válvulas"/>
    <x v="0"/>
    <n v="0"/>
    <d v="2023-09-22T00:00:00"/>
    <d v="2023-10-18T00:00:00"/>
    <x v="0"/>
    <x v="0"/>
    <n v="0"/>
    <n v="0"/>
    <x v="0"/>
  </r>
  <r>
    <x v="800"/>
    <x v="249"/>
    <x v="8"/>
    <x v="8"/>
    <x v="2"/>
    <x v="1"/>
    <s v="M0022"/>
    <x v="24"/>
    <x v="0"/>
    <x v="22"/>
    <s v="Limpieza y ajuste de inyectores"/>
    <x v="0"/>
    <n v="0"/>
    <d v="2023-09-24T00:00:00"/>
    <d v="2023-10-11T00:00:00"/>
    <x v="2"/>
    <x v="14"/>
    <n v="756"/>
    <n v="917"/>
    <x v="2"/>
  </r>
  <r>
    <x v="801"/>
    <x v="249"/>
    <x v="8"/>
    <x v="8"/>
    <x v="2"/>
    <x v="1"/>
    <s v="M0015"/>
    <x v="33"/>
    <x v="4"/>
    <x v="10"/>
    <s v="Limpieza y ajuste de terminales de baterías"/>
    <x v="0"/>
    <n v="0"/>
    <d v="2023-09-24T00:00:00"/>
    <d v="2023-10-19T00:00:00"/>
    <x v="0"/>
    <x v="0"/>
    <n v="0"/>
    <n v="0"/>
    <x v="0"/>
  </r>
  <r>
    <x v="802"/>
    <x v="249"/>
    <x v="8"/>
    <x v="8"/>
    <x v="2"/>
    <x v="1"/>
    <s v="M0036"/>
    <x v="27"/>
    <x v="0"/>
    <x v="15"/>
    <s v="Verificación del sistema de enfriado"/>
    <x v="0"/>
    <n v="0"/>
    <d v="2023-09-24T00:00:00"/>
    <d v="2023-09-30T00:00:00"/>
    <x v="2"/>
    <x v="12"/>
    <n v="288"/>
    <n v="947"/>
    <x v="4"/>
  </r>
  <r>
    <x v="803"/>
    <x v="250"/>
    <x v="8"/>
    <x v="8"/>
    <x v="2"/>
    <x v="1"/>
    <s v="M0034"/>
    <x v="2"/>
    <x v="0"/>
    <x v="2"/>
    <s v="Limpieza de ventilador"/>
    <x v="0"/>
    <n v="0"/>
    <d v="2023-09-25T00:00:00"/>
    <d v="2023-10-07T00:00:00"/>
    <x v="0"/>
    <x v="0"/>
    <n v="0"/>
    <n v="0"/>
    <x v="0"/>
  </r>
  <r>
    <x v="804"/>
    <x v="250"/>
    <x v="8"/>
    <x v="8"/>
    <x v="2"/>
    <x v="1"/>
    <s v="M0019"/>
    <x v="4"/>
    <x v="1"/>
    <x v="5"/>
    <s v="Limpieza general"/>
    <x v="0"/>
    <n v="0"/>
    <d v="2023-09-25T00:00:00"/>
    <d v="2023-09-28T00:00:00"/>
    <x v="2"/>
    <x v="11"/>
    <n v="827"/>
    <n v="722"/>
    <x v="4"/>
  </r>
  <r>
    <x v="805"/>
    <x v="250"/>
    <x v="8"/>
    <x v="8"/>
    <x v="2"/>
    <x v="1"/>
    <s v="M0025"/>
    <x v="25"/>
    <x v="2"/>
    <x v="23"/>
    <s v="Inspección de engranes"/>
    <x v="0"/>
    <n v="0"/>
    <d v="2023-09-25T00:00:00"/>
    <d v="2023-10-06T00:00:00"/>
    <x v="0"/>
    <x v="0"/>
    <n v="0"/>
    <n v="0"/>
    <x v="0"/>
  </r>
  <r>
    <x v="806"/>
    <x v="251"/>
    <x v="8"/>
    <x v="8"/>
    <x v="2"/>
    <x v="1"/>
    <s v="M0014"/>
    <x v="19"/>
    <x v="2"/>
    <x v="17"/>
    <s v="Revisió Ajuste y/o de bandas, correas y poleas"/>
    <x v="0"/>
    <n v="0"/>
    <d v="2023-09-26T00:00:00"/>
    <d v="2023-10-06T00:00:00"/>
    <x v="0"/>
    <x v="0"/>
    <n v="0"/>
    <n v="0"/>
    <x v="0"/>
  </r>
  <r>
    <x v="807"/>
    <x v="251"/>
    <x v="8"/>
    <x v="8"/>
    <x v="2"/>
    <x v="1"/>
    <s v="M0021"/>
    <x v="9"/>
    <x v="0"/>
    <x v="9"/>
    <s v="Observación de posibles daños"/>
    <x v="0"/>
    <n v="0"/>
    <d v="2023-09-26T00:00:00"/>
    <d v="2023-10-08T00:00:00"/>
    <x v="0"/>
    <x v="0"/>
    <n v="0"/>
    <n v="0"/>
    <x v="0"/>
  </r>
  <r>
    <x v="808"/>
    <x v="252"/>
    <x v="8"/>
    <x v="8"/>
    <x v="2"/>
    <x v="1"/>
    <s v="M0022"/>
    <x v="24"/>
    <x v="0"/>
    <x v="22"/>
    <s v="Inspección y/o reemplazo de boquillas"/>
    <x v="0"/>
    <n v="0"/>
    <d v="2023-09-28T00:00:00"/>
    <d v="2023-10-14T00:00:00"/>
    <x v="0"/>
    <x v="0"/>
    <n v="0"/>
    <n v="0"/>
    <x v="0"/>
  </r>
  <r>
    <x v="809"/>
    <x v="252"/>
    <x v="8"/>
    <x v="8"/>
    <x v="2"/>
    <x v="1"/>
    <s v="M0021"/>
    <x v="9"/>
    <x v="0"/>
    <x v="9"/>
    <s v="Inspección y/o reemplazo de tubos de contacto"/>
    <x v="0"/>
    <n v="0"/>
    <d v="2023-09-28T00:00:00"/>
    <d v="2023-10-21T00:00:00"/>
    <x v="0"/>
    <x v="0"/>
    <n v="0"/>
    <n v="0"/>
    <x v="0"/>
  </r>
  <r>
    <x v="810"/>
    <x v="252"/>
    <x v="8"/>
    <x v="8"/>
    <x v="2"/>
    <x v="1"/>
    <s v="M0025"/>
    <x v="25"/>
    <x v="2"/>
    <x v="23"/>
    <s v="Observación de posibles daños"/>
    <x v="1"/>
    <s v="15 Quincenal"/>
    <d v="2023-09-28T00:00:00"/>
    <d v="2023-10-13T00:00:00"/>
    <x v="1"/>
    <x v="0"/>
    <n v="806"/>
    <n v="256"/>
    <x v="1"/>
  </r>
  <r>
    <x v="811"/>
    <x v="253"/>
    <x v="8"/>
    <x v="8"/>
    <x v="2"/>
    <x v="1"/>
    <s v="M0010"/>
    <x v="37"/>
    <x v="0"/>
    <x v="1"/>
    <s v="Ajuste general de máquinas"/>
    <x v="0"/>
    <n v="0"/>
    <d v="2023-09-29T00:00:00"/>
    <d v="2023-10-16T00:00:00"/>
    <x v="0"/>
    <x v="0"/>
    <n v="0"/>
    <n v="0"/>
    <x v="0"/>
  </r>
  <r>
    <x v="812"/>
    <x v="253"/>
    <x v="8"/>
    <x v="8"/>
    <x v="2"/>
    <x v="1"/>
    <s v="M0026"/>
    <x v="11"/>
    <x v="2"/>
    <x v="11"/>
    <s v="Observación de posibles daños"/>
    <x v="1"/>
    <s v="60 Bimestral"/>
    <d v="2023-09-29T00:00:00"/>
    <d v="2023-11-28T00:00:00"/>
    <x v="1"/>
    <x v="0"/>
    <n v="1006"/>
    <n v="464"/>
    <x v="1"/>
  </r>
  <r>
    <x v="813"/>
    <x v="253"/>
    <x v="8"/>
    <x v="8"/>
    <x v="2"/>
    <x v="1"/>
    <s v="M0035"/>
    <x v="34"/>
    <x v="0"/>
    <x v="24"/>
    <s v="Inspección de mangeras"/>
    <x v="0"/>
    <n v="0"/>
    <d v="2023-09-29T00:00:00"/>
    <d v="2023-10-09T00:00:00"/>
    <x v="0"/>
    <x v="0"/>
    <n v="0"/>
    <n v="0"/>
    <x v="0"/>
  </r>
  <r>
    <x v="814"/>
    <x v="253"/>
    <x v="8"/>
    <x v="8"/>
    <x v="2"/>
    <x v="1"/>
    <s v="M0028"/>
    <x v="29"/>
    <x v="0"/>
    <x v="25"/>
    <s v="Inspección y/o reemplazado de filtros de aire"/>
    <x v="0"/>
    <n v="0"/>
    <d v="2023-09-29T00:00:00"/>
    <d v="2023-09-30T00:00:00"/>
    <x v="2"/>
    <x v="15"/>
    <n v="470"/>
    <n v="666"/>
    <x v="4"/>
  </r>
  <r>
    <x v="815"/>
    <x v="254"/>
    <x v="8"/>
    <x v="8"/>
    <x v="2"/>
    <x v="1"/>
    <s v="M0019"/>
    <x v="4"/>
    <x v="1"/>
    <x v="5"/>
    <s v="Inspección y/o reemplazado de filtros de aceite"/>
    <x v="0"/>
    <n v="0"/>
    <d v="2023-09-30T00:00:00"/>
    <d v="2023-10-06T00:00:00"/>
    <x v="0"/>
    <x v="0"/>
    <n v="0"/>
    <n v="0"/>
    <x v="0"/>
  </r>
  <r>
    <x v="816"/>
    <x v="254"/>
    <x v="8"/>
    <x v="8"/>
    <x v="2"/>
    <x v="1"/>
    <s v="M0001"/>
    <x v="38"/>
    <x v="0"/>
    <x v="25"/>
    <s v="Inspección de Frenos"/>
    <x v="0"/>
    <n v="0"/>
    <d v="2023-09-30T00:00:00"/>
    <d v="2023-10-07T00:00:00"/>
    <x v="0"/>
    <x v="0"/>
    <n v="0"/>
    <n v="0"/>
    <x v="0"/>
  </r>
  <r>
    <x v="817"/>
    <x v="254"/>
    <x v="8"/>
    <x v="8"/>
    <x v="2"/>
    <x v="1"/>
    <s v="M0024"/>
    <x v="21"/>
    <x v="2"/>
    <x v="19"/>
    <s v="Mantenimiento general"/>
    <x v="0"/>
    <n v="0"/>
    <d v="2023-09-30T00:00:00"/>
    <d v="2023-10-28T00:00:00"/>
    <x v="0"/>
    <x v="0"/>
    <n v="0"/>
    <n v="0"/>
    <x v="0"/>
  </r>
  <r>
    <x v="818"/>
    <x v="254"/>
    <x v="8"/>
    <x v="8"/>
    <x v="2"/>
    <x v="1"/>
    <s v="M0004"/>
    <x v="40"/>
    <x v="2"/>
    <x v="7"/>
    <s v="Observación de posibles daños"/>
    <x v="1"/>
    <s v="360 Anual"/>
    <d v="2023-09-30T00:00:00"/>
    <d v="2024-09-24T00:00:00"/>
    <x v="1"/>
    <x v="0"/>
    <n v="333"/>
    <n v="858"/>
    <x v="1"/>
  </r>
  <r>
    <x v="819"/>
    <x v="255"/>
    <x v="9"/>
    <x v="9"/>
    <x v="3"/>
    <x v="1"/>
    <s v="M0016"/>
    <x v="31"/>
    <x v="0"/>
    <x v="21"/>
    <s v="Inspección y/o reemplazado de escobillas"/>
    <x v="0"/>
    <n v="0"/>
    <d v="2023-10-01T00:00:00"/>
    <d v="2023-10-17T00:00:00"/>
    <x v="2"/>
    <x v="7"/>
    <n v="702"/>
    <n v="925"/>
    <x v="2"/>
  </r>
  <r>
    <x v="820"/>
    <x v="255"/>
    <x v="9"/>
    <x v="9"/>
    <x v="3"/>
    <x v="1"/>
    <s v="M0035"/>
    <x v="34"/>
    <x v="0"/>
    <x v="24"/>
    <s v="Observación de posibles daños"/>
    <x v="1"/>
    <s v="15 Quincenal"/>
    <d v="2023-10-01T00:00:00"/>
    <d v="2023-10-16T00:00:00"/>
    <x v="1"/>
    <x v="0"/>
    <n v="340"/>
    <n v="735"/>
    <x v="1"/>
  </r>
  <r>
    <x v="821"/>
    <x v="256"/>
    <x v="9"/>
    <x v="9"/>
    <x v="3"/>
    <x v="1"/>
    <s v="M0003"/>
    <x v="22"/>
    <x v="2"/>
    <x v="20"/>
    <s v="Inspección de nivel de com¿bustible"/>
    <x v="0"/>
    <n v="0"/>
    <d v="2023-10-02T00:00:00"/>
    <d v="2023-10-17T00:00:00"/>
    <x v="0"/>
    <x v="0"/>
    <n v="0"/>
    <n v="0"/>
    <x v="0"/>
  </r>
  <r>
    <x v="822"/>
    <x v="256"/>
    <x v="9"/>
    <x v="9"/>
    <x v="3"/>
    <x v="1"/>
    <s v="M0010"/>
    <x v="37"/>
    <x v="0"/>
    <x v="1"/>
    <s v="Revisión de válvulas"/>
    <x v="0"/>
    <n v="0"/>
    <d v="2023-10-02T00:00:00"/>
    <d v="2023-10-26T00:00:00"/>
    <x v="0"/>
    <x v="0"/>
    <n v="0"/>
    <n v="0"/>
    <x v="0"/>
  </r>
  <r>
    <x v="823"/>
    <x v="256"/>
    <x v="9"/>
    <x v="9"/>
    <x v="3"/>
    <x v="1"/>
    <s v="M0036"/>
    <x v="27"/>
    <x v="0"/>
    <x v="15"/>
    <s v="Limpieza y ajuste de inyectores"/>
    <x v="0"/>
    <n v="0"/>
    <d v="2023-10-02T00:00:00"/>
    <d v="2023-10-10T00:00:00"/>
    <x v="2"/>
    <x v="8"/>
    <n v="751"/>
    <n v="613"/>
    <x v="1"/>
  </r>
  <r>
    <x v="824"/>
    <x v="257"/>
    <x v="9"/>
    <x v="9"/>
    <x v="3"/>
    <x v="1"/>
    <s v="M0028"/>
    <x v="29"/>
    <x v="0"/>
    <x v="25"/>
    <s v="Observación de posibles daños"/>
    <x v="1"/>
    <s v="180 Semestral"/>
    <d v="2023-10-04T00:00:00"/>
    <d v="2024-04-01T00:00:00"/>
    <x v="1"/>
    <x v="0"/>
    <n v="812"/>
    <n v="812"/>
    <x v="1"/>
  </r>
  <r>
    <x v="825"/>
    <x v="257"/>
    <x v="9"/>
    <x v="9"/>
    <x v="3"/>
    <x v="1"/>
    <s v="M0025"/>
    <x v="25"/>
    <x v="2"/>
    <x v="23"/>
    <s v="Verificación del sistema de enfriado"/>
    <x v="0"/>
    <n v="0"/>
    <d v="2023-10-04T00:00:00"/>
    <d v="2023-10-19T00:00:00"/>
    <x v="2"/>
    <x v="24"/>
    <n v="826"/>
    <n v="294"/>
    <x v="2"/>
  </r>
  <r>
    <x v="826"/>
    <x v="257"/>
    <x v="9"/>
    <x v="9"/>
    <x v="3"/>
    <x v="1"/>
    <s v="M0001"/>
    <x v="38"/>
    <x v="0"/>
    <x v="25"/>
    <s v="Limpieza de ventilador"/>
    <x v="0"/>
    <n v="0"/>
    <d v="2023-10-04T00:00:00"/>
    <d v="2023-10-12T00:00:00"/>
    <x v="2"/>
    <x v="8"/>
    <n v="503"/>
    <n v="563"/>
    <x v="4"/>
  </r>
  <r>
    <x v="827"/>
    <x v="258"/>
    <x v="9"/>
    <x v="9"/>
    <x v="3"/>
    <x v="1"/>
    <s v="M0042"/>
    <x v="10"/>
    <x v="2"/>
    <x v="10"/>
    <s v="Limpieza general"/>
    <x v="0"/>
    <n v="0"/>
    <d v="2023-10-05T00:00:00"/>
    <d v="2023-10-30T00:00:00"/>
    <x v="0"/>
    <x v="0"/>
    <n v="0"/>
    <n v="0"/>
    <x v="0"/>
  </r>
  <r>
    <x v="828"/>
    <x v="258"/>
    <x v="9"/>
    <x v="9"/>
    <x v="3"/>
    <x v="1"/>
    <s v="M0011"/>
    <x v="36"/>
    <x v="0"/>
    <x v="26"/>
    <s v="Observación de posibles daños"/>
    <x v="1"/>
    <s v="180 Semestral"/>
    <d v="2023-10-05T00:00:00"/>
    <d v="2024-04-02T00:00:00"/>
    <x v="1"/>
    <x v="0"/>
    <n v="524"/>
    <n v="832"/>
    <x v="1"/>
  </r>
  <r>
    <x v="829"/>
    <x v="258"/>
    <x v="9"/>
    <x v="9"/>
    <x v="3"/>
    <x v="1"/>
    <s v="M0021"/>
    <x v="9"/>
    <x v="0"/>
    <x v="9"/>
    <s v="Revisió Ajuste y/o de bandas, correas y poleas"/>
    <x v="0"/>
    <n v="0"/>
    <d v="2023-10-05T00:00:00"/>
    <d v="2023-10-29T00:00:00"/>
    <x v="0"/>
    <x v="0"/>
    <n v="0"/>
    <n v="0"/>
    <x v="0"/>
  </r>
  <r>
    <x v="830"/>
    <x v="258"/>
    <x v="9"/>
    <x v="9"/>
    <x v="3"/>
    <x v="1"/>
    <s v="M0043"/>
    <x v="23"/>
    <x v="3"/>
    <x v="21"/>
    <s v="Observación de posibles daños"/>
    <x v="0"/>
    <n v="0"/>
    <d v="2023-10-05T00:00:00"/>
    <d v="2023-10-08T00:00:00"/>
    <x v="0"/>
    <x v="0"/>
    <n v="0"/>
    <n v="0"/>
    <x v="0"/>
  </r>
  <r>
    <x v="831"/>
    <x v="259"/>
    <x v="9"/>
    <x v="9"/>
    <x v="3"/>
    <x v="1"/>
    <s v="M0030"/>
    <x v="35"/>
    <x v="0"/>
    <x v="20"/>
    <s v="Inspección y/o reemplazo de boquillas"/>
    <x v="0"/>
    <n v="0"/>
    <d v="2023-10-06T00:00:00"/>
    <d v="2023-10-21T00:00:00"/>
    <x v="0"/>
    <x v="0"/>
    <n v="0"/>
    <n v="0"/>
    <x v="0"/>
  </r>
  <r>
    <x v="832"/>
    <x v="260"/>
    <x v="9"/>
    <x v="9"/>
    <x v="3"/>
    <x v="1"/>
    <s v="M0008"/>
    <x v="26"/>
    <x v="0"/>
    <x v="24"/>
    <s v="Inspección y/o reemplazo de tubos de contacto"/>
    <x v="0"/>
    <n v="0"/>
    <d v="2023-10-07T00:00:00"/>
    <d v="2023-10-22T00:00:00"/>
    <x v="2"/>
    <x v="24"/>
    <n v="1180"/>
    <n v="372"/>
    <x v="3"/>
  </r>
  <r>
    <x v="833"/>
    <x v="260"/>
    <x v="9"/>
    <x v="9"/>
    <x v="3"/>
    <x v="1"/>
    <s v="M0003"/>
    <x v="22"/>
    <x v="2"/>
    <x v="20"/>
    <s v="Inspección y/o reemplazo de toderas"/>
    <x v="0"/>
    <n v="0"/>
    <d v="2023-10-07T00:00:00"/>
    <d v="2023-10-23T00:00:00"/>
    <x v="2"/>
    <x v="7"/>
    <n v="409"/>
    <n v="843"/>
    <x v="4"/>
  </r>
  <r>
    <x v="834"/>
    <x v="260"/>
    <x v="9"/>
    <x v="9"/>
    <x v="3"/>
    <x v="1"/>
    <s v="M0001"/>
    <x v="38"/>
    <x v="0"/>
    <x v="25"/>
    <s v="Observación de posibles daños"/>
    <x v="1"/>
    <s v="360 Anual"/>
    <d v="2023-10-07T00:00:00"/>
    <d v="2024-10-01T00:00:00"/>
    <x v="1"/>
    <x v="0"/>
    <n v="930"/>
    <n v="765"/>
    <x v="1"/>
  </r>
  <r>
    <x v="835"/>
    <x v="260"/>
    <x v="9"/>
    <x v="9"/>
    <x v="3"/>
    <x v="1"/>
    <s v="M0006"/>
    <x v="32"/>
    <x v="0"/>
    <x v="4"/>
    <s v="Inspección de tuberías "/>
    <x v="0"/>
    <n v="0"/>
    <d v="2023-10-07T00:00:00"/>
    <d v="2023-10-20T00:00:00"/>
    <x v="0"/>
    <x v="0"/>
    <n v="0"/>
    <n v="0"/>
    <x v="0"/>
  </r>
  <r>
    <x v="836"/>
    <x v="260"/>
    <x v="9"/>
    <x v="9"/>
    <x v="3"/>
    <x v="1"/>
    <s v="M0034"/>
    <x v="2"/>
    <x v="0"/>
    <x v="2"/>
    <s v="Inspección de mangeras"/>
    <x v="0"/>
    <n v="0"/>
    <d v="2023-10-07T00:00:00"/>
    <d v="2023-10-18T00:00:00"/>
    <x v="0"/>
    <x v="0"/>
    <n v="0"/>
    <n v="0"/>
    <x v="0"/>
  </r>
  <r>
    <x v="837"/>
    <x v="260"/>
    <x v="9"/>
    <x v="9"/>
    <x v="3"/>
    <x v="1"/>
    <s v="M0001"/>
    <x v="38"/>
    <x v="0"/>
    <x v="25"/>
    <s v="Inspección y/o reemplazado de filtros de aire"/>
    <x v="0"/>
    <n v="0"/>
    <d v="2023-10-07T00:00:00"/>
    <d v="2023-10-29T00:00:00"/>
    <x v="0"/>
    <x v="0"/>
    <n v="0"/>
    <n v="0"/>
    <x v="0"/>
  </r>
  <r>
    <x v="838"/>
    <x v="260"/>
    <x v="9"/>
    <x v="9"/>
    <x v="3"/>
    <x v="1"/>
    <s v="M0025"/>
    <x v="25"/>
    <x v="2"/>
    <x v="23"/>
    <s v="Observación de posibles daños"/>
    <x v="1"/>
    <s v="30 Mensual"/>
    <d v="2023-10-07T00:00:00"/>
    <d v="2023-11-06T00:00:00"/>
    <x v="1"/>
    <x v="0"/>
    <n v="996"/>
    <n v="205"/>
    <x v="1"/>
  </r>
  <r>
    <x v="839"/>
    <x v="261"/>
    <x v="9"/>
    <x v="9"/>
    <x v="3"/>
    <x v="1"/>
    <s v="M0032"/>
    <x v="14"/>
    <x v="0"/>
    <x v="8"/>
    <s v="Inspección de Frenos"/>
    <x v="0"/>
    <n v="0"/>
    <d v="2023-10-08T00:00:00"/>
    <d v="2023-10-20T00:00:00"/>
    <x v="0"/>
    <x v="0"/>
    <n v="0"/>
    <n v="0"/>
    <x v="0"/>
  </r>
  <r>
    <x v="840"/>
    <x v="262"/>
    <x v="9"/>
    <x v="9"/>
    <x v="3"/>
    <x v="1"/>
    <s v="M0009"/>
    <x v="17"/>
    <x v="0"/>
    <x v="15"/>
    <s v="Mantenimiento general"/>
    <x v="0"/>
    <n v="0"/>
    <d v="2023-10-09T00:00:00"/>
    <d v="2023-10-14T00:00:00"/>
    <x v="0"/>
    <x v="0"/>
    <n v="0"/>
    <n v="0"/>
    <x v="0"/>
  </r>
  <r>
    <x v="841"/>
    <x v="262"/>
    <x v="9"/>
    <x v="9"/>
    <x v="3"/>
    <x v="1"/>
    <s v="M0007"/>
    <x v="39"/>
    <x v="0"/>
    <x v="2"/>
    <s v="Inspección de gases"/>
    <x v="0"/>
    <n v="0"/>
    <d v="2023-10-09T00:00:00"/>
    <d v="2023-10-21T00:00:00"/>
    <x v="0"/>
    <x v="0"/>
    <n v="0"/>
    <n v="0"/>
    <x v="0"/>
  </r>
  <r>
    <x v="842"/>
    <x v="262"/>
    <x v="9"/>
    <x v="9"/>
    <x v="3"/>
    <x v="1"/>
    <s v="M0033"/>
    <x v="0"/>
    <x v="0"/>
    <x v="4"/>
    <s v="Inspección y/o reemplazado de escobillas"/>
    <x v="0"/>
    <n v="0"/>
    <d v="2023-10-09T00:00:00"/>
    <d v="2023-10-19T00:00:00"/>
    <x v="0"/>
    <x v="0"/>
    <n v="0"/>
    <n v="0"/>
    <x v="0"/>
  </r>
  <r>
    <x v="843"/>
    <x v="262"/>
    <x v="9"/>
    <x v="9"/>
    <x v="3"/>
    <x v="1"/>
    <s v="M0033"/>
    <x v="0"/>
    <x v="0"/>
    <x v="4"/>
    <s v="Inspección y/o reemplazado de cuchillas"/>
    <x v="0"/>
    <n v="0"/>
    <d v="2023-10-09T00:00:00"/>
    <d v="2023-11-01T00:00:00"/>
    <x v="0"/>
    <x v="0"/>
    <n v="0"/>
    <n v="0"/>
    <x v="0"/>
  </r>
  <r>
    <x v="844"/>
    <x v="262"/>
    <x v="9"/>
    <x v="9"/>
    <x v="3"/>
    <x v="1"/>
    <s v="M0040"/>
    <x v="41"/>
    <x v="0"/>
    <x v="14"/>
    <s v="Observación de posibles daños"/>
    <x v="1"/>
    <s v="60 Bimestral"/>
    <d v="2023-10-09T00:00:00"/>
    <d v="2023-12-08T00:00:00"/>
    <x v="1"/>
    <x v="0"/>
    <n v="560"/>
    <n v="544"/>
    <x v="1"/>
  </r>
  <r>
    <x v="845"/>
    <x v="263"/>
    <x v="9"/>
    <x v="9"/>
    <x v="3"/>
    <x v="1"/>
    <s v="M0035"/>
    <x v="34"/>
    <x v="0"/>
    <x v="24"/>
    <s v="Revisión de válvulas"/>
    <x v="0"/>
    <n v="0"/>
    <d v="2023-10-10T00:00:00"/>
    <d v="2023-11-05T00:00:00"/>
    <x v="0"/>
    <x v="0"/>
    <n v="0"/>
    <n v="0"/>
    <x v="0"/>
  </r>
  <r>
    <x v="846"/>
    <x v="263"/>
    <x v="9"/>
    <x v="9"/>
    <x v="3"/>
    <x v="1"/>
    <s v="M0016"/>
    <x v="31"/>
    <x v="0"/>
    <x v="21"/>
    <s v="Observación de posibles daños"/>
    <x v="1"/>
    <s v="180 Semestral"/>
    <d v="2023-10-10T00:00:00"/>
    <d v="2024-04-07T00:00:00"/>
    <x v="1"/>
    <x v="0"/>
    <n v="423"/>
    <n v="987"/>
    <x v="1"/>
  </r>
  <r>
    <x v="847"/>
    <x v="263"/>
    <x v="9"/>
    <x v="9"/>
    <x v="3"/>
    <x v="1"/>
    <s v="M0002"/>
    <x v="16"/>
    <x v="0"/>
    <x v="12"/>
    <s v="Limpieza y ajuste de terminales de baterías"/>
    <x v="0"/>
    <n v="0"/>
    <d v="2023-10-10T00:00:00"/>
    <d v="2023-10-20T00:00:00"/>
    <x v="2"/>
    <x v="30"/>
    <n v="449"/>
    <n v="947"/>
    <x v="3"/>
  </r>
  <r>
    <x v="848"/>
    <x v="263"/>
    <x v="9"/>
    <x v="9"/>
    <x v="3"/>
    <x v="1"/>
    <s v="M0034"/>
    <x v="2"/>
    <x v="0"/>
    <x v="2"/>
    <s v="Observación de posibles daños"/>
    <x v="1"/>
    <s v="90 Trimestral"/>
    <d v="2023-10-10T00:00:00"/>
    <d v="2024-01-08T00:00:00"/>
    <x v="1"/>
    <x v="0"/>
    <n v="606"/>
    <n v="230"/>
    <x v="1"/>
  </r>
  <r>
    <x v="849"/>
    <x v="263"/>
    <x v="9"/>
    <x v="9"/>
    <x v="3"/>
    <x v="1"/>
    <s v="M0027"/>
    <x v="6"/>
    <x v="2"/>
    <x v="6"/>
    <s v="Limpieza de ventilador"/>
    <x v="0"/>
    <n v="0"/>
    <d v="2023-10-10T00:00:00"/>
    <d v="2023-10-31T00:00:00"/>
    <x v="0"/>
    <x v="0"/>
    <n v="0"/>
    <n v="0"/>
    <x v="0"/>
  </r>
  <r>
    <x v="850"/>
    <x v="264"/>
    <x v="9"/>
    <x v="9"/>
    <x v="3"/>
    <x v="1"/>
    <s v="M0006"/>
    <x v="32"/>
    <x v="0"/>
    <x v="4"/>
    <s v="Limpieza general"/>
    <x v="0"/>
    <n v="0"/>
    <d v="2023-10-11T00:00:00"/>
    <d v="2023-11-09T00:00:00"/>
    <x v="0"/>
    <x v="0"/>
    <n v="0"/>
    <n v="0"/>
    <x v="0"/>
  </r>
  <r>
    <x v="851"/>
    <x v="264"/>
    <x v="9"/>
    <x v="9"/>
    <x v="3"/>
    <x v="1"/>
    <s v="M0032"/>
    <x v="14"/>
    <x v="0"/>
    <x v="8"/>
    <s v="Inspección de engranes"/>
    <x v="0"/>
    <n v="0"/>
    <d v="2023-10-11T00:00:00"/>
    <d v="2023-11-01T00:00:00"/>
    <x v="2"/>
    <x v="22"/>
    <n v="717"/>
    <n v="432"/>
    <x v="3"/>
  </r>
  <r>
    <x v="852"/>
    <x v="264"/>
    <x v="9"/>
    <x v="9"/>
    <x v="3"/>
    <x v="1"/>
    <s v="M0029"/>
    <x v="12"/>
    <x v="3"/>
    <x v="12"/>
    <s v="Revisió Ajuste y/o de bandas, correas y poleas"/>
    <x v="0"/>
    <n v="0"/>
    <d v="2023-10-11T00:00:00"/>
    <d v="2023-10-22T00:00:00"/>
    <x v="2"/>
    <x v="18"/>
    <n v="952"/>
    <n v="185"/>
    <x v="4"/>
  </r>
  <r>
    <x v="853"/>
    <x v="265"/>
    <x v="9"/>
    <x v="9"/>
    <x v="3"/>
    <x v="1"/>
    <s v="M0003"/>
    <x v="22"/>
    <x v="2"/>
    <x v="20"/>
    <s v="Observación de posibles daños"/>
    <x v="0"/>
    <n v="0"/>
    <d v="2023-10-12T00:00:00"/>
    <d v="2023-11-09T00:00:00"/>
    <x v="0"/>
    <x v="0"/>
    <n v="0"/>
    <n v="0"/>
    <x v="0"/>
  </r>
  <r>
    <x v="854"/>
    <x v="265"/>
    <x v="9"/>
    <x v="9"/>
    <x v="3"/>
    <x v="1"/>
    <s v="M0001"/>
    <x v="38"/>
    <x v="0"/>
    <x v="25"/>
    <s v="Inspección y/o reemplazo de boquillas"/>
    <x v="0"/>
    <n v="0"/>
    <d v="2023-10-12T00:00:00"/>
    <d v="2023-10-26T00:00:00"/>
    <x v="0"/>
    <x v="0"/>
    <n v="0"/>
    <n v="0"/>
    <x v="0"/>
  </r>
  <r>
    <x v="855"/>
    <x v="265"/>
    <x v="9"/>
    <x v="9"/>
    <x v="3"/>
    <x v="1"/>
    <s v="M0004"/>
    <x v="40"/>
    <x v="2"/>
    <x v="7"/>
    <s v="Inspección y/o reemplazo de tubos de contacto"/>
    <x v="0"/>
    <n v="0"/>
    <d v="2023-10-12T00:00:00"/>
    <d v="2023-10-20T00:00:00"/>
    <x v="0"/>
    <x v="0"/>
    <n v="0"/>
    <n v="0"/>
    <x v="0"/>
  </r>
  <r>
    <x v="856"/>
    <x v="265"/>
    <x v="9"/>
    <x v="9"/>
    <x v="3"/>
    <x v="1"/>
    <s v="M0017"/>
    <x v="20"/>
    <x v="0"/>
    <x v="18"/>
    <s v="Inspección y/o reemplazo de toderas"/>
    <x v="0"/>
    <n v="0"/>
    <d v="2023-10-12T00:00:00"/>
    <d v="2023-11-09T00:00:00"/>
    <x v="2"/>
    <x v="3"/>
    <n v="851"/>
    <n v="266"/>
    <x v="2"/>
  </r>
  <r>
    <x v="857"/>
    <x v="265"/>
    <x v="9"/>
    <x v="9"/>
    <x v="3"/>
    <x v="1"/>
    <s v="M0023"/>
    <x v="18"/>
    <x v="0"/>
    <x v="16"/>
    <s v="Ajuste general de máquinas"/>
    <x v="0"/>
    <n v="0"/>
    <d v="2023-10-12T00:00:00"/>
    <d v="2023-10-21T00:00:00"/>
    <x v="0"/>
    <x v="0"/>
    <n v="0"/>
    <n v="0"/>
    <x v="0"/>
  </r>
  <r>
    <x v="858"/>
    <x v="265"/>
    <x v="9"/>
    <x v="9"/>
    <x v="3"/>
    <x v="1"/>
    <s v="M0027"/>
    <x v="6"/>
    <x v="2"/>
    <x v="6"/>
    <s v="Observación de posibles daños"/>
    <x v="1"/>
    <s v="15 Quincenal"/>
    <d v="2023-10-12T00:00:00"/>
    <d v="2023-10-27T00:00:00"/>
    <x v="1"/>
    <x v="0"/>
    <n v="713"/>
    <n v="352"/>
    <x v="1"/>
  </r>
  <r>
    <x v="859"/>
    <x v="266"/>
    <x v="9"/>
    <x v="9"/>
    <x v="3"/>
    <x v="1"/>
    <s v="M0016"/>
    <x v="31"/>
    <x v="0"/>
    <x v="21"/>
    <s v="Inspección de mangeras"/>
    <x v="0"/>
    <n v="0"/>
    <d v="2023-10-13T00:00:00"/>
    <d v="2023-11-01T00:00:00"/>
    <x v="0"/>
    <x v="0"/>
    <n v="0"/>
    <n v="0"/>
    <x v="0"/>
  </r>
  <r>
    <x v="860"/>
    <x v="266"/>
    <x v="9"/>
    <x v="9"/>
    <x v="3"/>
    <x v="1"/>
    <s v="M0007"/>
    <x v="39"/>
    <x v="0"/>
    <x v="2"/>
    <s v="Observación de posibles daños"/>
    <x v="1"/>
    <s v="30 Mensual"/>
    <d v="2023-10-13T00:00:00"/>
    <d v="2023-11-12T00:00:00"/>
    <x v="1"/>
    <x v="0"/>
    <n v="467"/>
    <n v="101"/>
    <x v="1"/>
  </r>
  <r>
    <x v="861"/>
    <x v="267"/>
    <x v="9"/>
    <x v="9"/>
    <x v="3"/>
    <x v="1"/>
    <s v="M0016"/>
    <x v="31"/>
    <x v="0"/>
    <x v="21"/>
    <s v="Inspección y/o reemplazado de filtros de aceite"/>
    <x v="0"/>
    <n v="0"/>
    <d v="2023-10-15T00:00:00"/>
    <d v="2023-10-23T00:00:00"/>
    <x v="0"/>
    <x v="0"/>
    <n v="0"/>
    <n v="0"/>
    <x v="0"/>
  </r>
  <r>
    <x v="862"/>
    <x v="267"/>
    <x v="9"/>
    <x v="9"/>
    <x v="3"/>
    <x v="1"/>
    <s v="M0011"/>
    <x v="36"/>
    <x v="0"/>
    <x v="26"/>
    <s v="Observación de posibles daños"/>
    <x v="1"/>
    <s v="60 Bimestral"/>
    <d v="2023-10-15T00:00:00"/>
    <d v="2023-12-14T00:00:00"/>
    <x v="1"/>
    <x v="0"/>
    <n v="1060"/>
    <n v="719"/>
    <x v="1"/>
  </r>
  <r>
    <x v="863"/>
    <x v="268"/>
    <x v="9"/>
    <x v="9"/>
    <x v="3"/>
    <x v="1"/>
    <s v="M0042"/>
    <x v="10"/>
    <x v="2"/>
    <x v="10"/>
    <s v="Mantenimiento general"/>
    <x v="0"/>
    <n v="0"/>
    <d v="2023-10-16T00:00:00"/>
    <d v="2023-10-30T00:00:00"/>
    <x v="0"/>
    <x v="0"/>
    <n v="0"/>
    <n v="0"/>
    <x v="0"/>
  </r>
  <r>
    <x v="864"/>
    <x v="268"/>
    <x v="9"/>
    <x v="9"/>
    <x v="3"/>
    <x v="1"/>
    <s v="M0022"/>
    <x v="24"/>
    <x v="0"/>
    <x v="22"/>
    <s v="Inspección de gases"/>
    <x v="0"/>
    <n v="0"/>
    <d v="2023-10-16T00:00:00"/>
    <d v="2023-11-12T00:00:00"/>
    <x v="0"/>
    <x v="0"/>
    <n v="0"/>
    <n v="0"/>
    <x v="0"/>
  </r>
  <r>
    <x v="865"/>
    <x v="268"/>
    <x v="9"/>
    <x v="9"/>
    <x v="3"/>
    <x v="1"/>
    <s v="M0039"/>
    <x v="5"/>
    <x v="0"/>
    <x v="3"/>
    <s v="Inspección y/o reemplazado de escobillas"/>
    <x v="0"/>
    <n v="0"/>
    <d v="2023-10-16T00:00:00"/>
    <d v="2023-10-24T00:00:00"/>
    <x v="2"/>
    <x v="8"/>
    <n v="920"/>
    <n v="673"/>
    <x v="1"/>
  </r>
  <r>
    <x v="866"/>
    <x v="268"/>
    <x v="9"/>
    <x v="9"/>
    <x v="3"/>
    <x v="1"/>
    <s v="M0008"/>
    <x v="26"/>
    <x v="0"/>
    <x v="24"/>
    <s v="Observación de posibles daños"/>
    <x v="1"/>
    <s v="7 Semanal"/>
    <d v="2023-10-16T00:00:00"/>
    <d v="2023-10-23T00:00:00"/>
    <x v="1"/>
    <x v="0"/>
    <n v="1128"/>
    <n v="592"/>
    <x v="1"/>
  </r>
  <r>
    <x v="867"/>
    <x v="269"/>
    <x v="9"/>
    <x v="9"/>
    <x v="3"/>
    <x v="1"/>
    <s v="M0016"/>
    <x v="31"/>
    <x v="0"/>
    <x v="21"/>
    <s v="Inspección de nivel de com¿bustible"/>
    <x v="0"/>
    <n v="0"/>
    <d v="2023-10-17T00:00:00"/>
    <d v="2023-10-20T00:00:00"/>
    <x v="2"/>
    <x v="11"/>
    <n v="999"/>
    <n v="929"/>
    <x v="3"/>
  </r>
  <r>
    <x v="868"/>
    <x v="269"/>
    <x v="9"/>
    <x v="9"/>
    <x v="3"/>
    <x v="1"/>
    <s v="M0038"/>
    <x v="30"/>
    <x v="0"/>
    <x v="26"/>
    <s v="Observación de posibles daños"/>
    <x v="1"/>
    <s v="90 Trimestral"/>
    <d v="2023-10-17T00:00:00"/>
    <d v="2024-01-15T00:00:00"/>
    <x v="1"/>
    <x v="0"/>
    <n v="425"/>
    <n v="793"/>
    <x v="1"/>
  </r>
  <r>
    <x v="869"/>
    <x v="270"/>
    <x v="9"/>
    <x v="9"/>
    <x v="3"/>
    <x v="1"/>
    <s v="M0003"/>
    <x v="22"/>
    <x v="2"/>
    <x v="20"/>
    <s v="Limpieza y ajuste de inyectores"/>
    <x v="0"/>
    <n v="0"/>
    <d v="2023-10-18T00:00:00"/>
    <d v="2023-11-08T00:00:00"/>
    <x v="0"/>
    <x v="0"/>
    <n v="0"/>
    <n v="0"/>
    <x v="0"/>
  </r>
  <r>
    <x v="870"/>
    <x v="270"/>
    <x v="9"/>
    <x v="9"/>
    <x v="3"/>
    <x v="1"/>
    <s v="M0020"/>
    <x v="13"/>
    <x v="0"/>
    <x v="13"/>
    <s v="Limpieza y ajuste de terminales de baterías"/>
    <x v="0"/>
    <n v="0"/>
    <d v="2023-10-18T00:00:00"/>
    <d v="2023-10-20T00:00:00"/>
    <x v="2"/>
    <x v="16"/>
    <n v="438"/>
    <n v="376"/>
    <x v="2"/>
  </r>
  <r>
    <x v="871"/>
    <x v="270"/>
    <x v="9"/>
    <x v="9"/>
    <x v="3"/>
    <x v="1"/>
    <s v="M0027"/>
    <x v="6"/>
    <x v="2"/>
    <x v="6"/>
    <s v="Verificación del sistema de enfriado"/>
    <x v="0"/>
    <n v="0"/>
    <d v="2023-10-18T00:00:00"/>
    <d v="2023-11-09T00:00:00"/>
    <x v="0"/>
    <x v="0"/>
    <n v="0"/>
    <n v="0"/>
    <x v="0"/>
  </r>
  <r>
    <x v="872"/>
    <x v="271"/>
    <x v="9"/>
    <x v="9"/>
    <x v="3"/>
    <x v="1"/>
    <s v="M0036"/>
    <x v="27"/>
    <x v="0"/>
    <x v="15"/>
    <s v="Observación de posibles daños"/>
    <x v="1"/>
    <s v="60 Bimestral"/>
    <d v="2023-10-20T00:00:00"/>
    <d v="2023-12-19T00:00:00"/>
    <x v="1"/>
    <x v="0"/>
    <n v="529"/>
    <n v="646"/>
    <x v="1"/>
  </r>
  <r>
    <x v="873"/>
    <x v="271"/>
    <x v="9"/>
    <x v="9"/>
    <x v="3"/>
    <x v="1"/>
    <s v="M0023"/>
    <x v="18"/>
    <x v="0"/>
    <x v="16"/>
    <s v="Limpieza general"/>
    <x v="0"/>
    <n v="0"/>
    <d v="2023-10-20T00:00:00"/>
    <d v="2023-10-22T00:00:00"/>
    <x v="2"/>
    <x v="16"/>
    <n v="511"/>
    <n v="527"/>
    <x v="1"/>
  </r>
  <r>
    <x v="874"/>
    <x v="271"/>
    <x v="9"/>
    <x v="9"/>
    <x v="3"/>
    <x v="1"/>
    <s v="M0027"/>
    <x v="6"/>
    <x v="2"/>
    <x v="6"/>
    <s v="Inspección de engranes"/>
    <x v="0"/>
    <n v="0"/>
    <d v="2023-10-20T00:00:00"/>
    <d v="2023-11-12T00:00:00"/>
    <x v="2"/>
    <x v="10"/>
    <n v="521"/>
    <n v="213"/>
    <x v="1"/>
  </r>
  <r>
    <x v="875"/>
    <x v="271"/>
    <x v="9"/>
    <x v="9"/>
    <x v="3"/>
    <x v="1"/>
    <s v="M0031"/>
    <x v="7"/>
    <x v="0"/>
    <x v="7"/>
    <s v="Revisió Ajuste y/o de bandas, correas y poleas"/>
    <x v="0"/>
    <n v="0"/>
    <d v="2023-10-20T00:00:00"/>
    <d v="2023-11-15T00:00:00"/>
    <x v="2"/>
    <x v="6"/>
    <n v="880"/>
    <n v="271"/>
    <x v="2"/>
  </r>
  <r>
    <x v="876"/>
    <x v="271"/>
    <x v="9"/>
    <x v="9"/>
    <x v="3"/>
    <x v="1"/>
    <s v="M0042"/>
    <x v="10"/>
    <x v="2"/>
    <x v="10"/>
    <s v="Observación de posibles daños"/>
    <x v="0"/>
    <n v="0"/>
    <d v="2023-10-20T00:00:00"/>
    <d v="2023-10-27T00:00:00"/>
    <x v="2"/>
    <x v="4"/>
    <n v="457"/>
    <n v="327"/>
    <x v="3"/>
  </r>
  <r>
    <x v="877"/>
    <x v="271"/>
    <x v="9"/>
    <x v="9"/>
    <x v="3"/>
    <x v="1"/>
    <s v="M0033"/>
    <x v="0"/>
    <x v="0"/>
    <x v="4"/>
    <s v="Inspección y/o reemplazo de boquillas"/>
    <x v="0"/>
    <n v="0"/>
    <d v="2023-10-20T00:00:00"/>
    <d v="2023-11-17T00:00:00"/>
    <x v="0"/>
    <x v="0"/>
    <n v="0"/>
    <n v="0"/>
    <x v="0"/>
  </r>
  <r>
    <x v="878"/>
    <x v="272"/>
    <x v="9"/>
    <x v="9"/>
    <x v="3"/>
    <x v="1"/>
    <s v="M0011"/>
    <x v="36"/>
    <x v="0"/>
    <x v="26"/>
    <s v="Inspección y/o reemplazo de tubos de contacto"/>
    <x v="0"/>
    <n v="0"/>
    <d v="2023-10-21T00:00:00"/>
    <d v="2023-11-12T00:00:00"/>
    <x v="0"/>
    <x v="0"/>
    <n v="0"/>
    <n v="0"/>
    <x v="0"/>
  </r>
  <r>
    <x v="879"/>
    <x v="272"/>
    <x v="9"/>
    <x v="9"/>
    <x v="3"/>
    <x v="1"/>
    <s v="M0009"/>
    <x v="17"/>
    <x v="0"/>
    <x v="15"/>
    <s v="Inspección y/o reemplazo de toderas"/>
    <x v="0"/>
    <n v="0"/>
    <d v="2023-10-21T00:00:00"/>
    <d v="2023-10-23T00:00:00"/>
    <x v="2"/>
    <x v="16"/>
    <n v="1050"/>
    <n v="328"/>
    <x v="4"/>
  </r>
  <r>
    <x v="880"/>
    <x v="272"/>
    <x v="9"/>
    <x v="9"/>
    <x v="3"/>
    <x v="1"/>
    <s v="M0038"/>
    <x v="30"/>
    <x v="0"/>
    <x v="26"/>
    <s v="Ajuste general de máquinas"/>
    <x v="0"/>
    <n v="0"/>
    <d v="2023-10-21T00:00:00"/>
    <d v="2023-10-22T00:00:00"/>
    <x v="2"/>
    <x v="15"/>
    <n v="350"/>
    <n v="373"/>
    <x v="2"/>
  </r>
  <r>
    <x v="881"/>
    <x v="273"/>
    <x v="9"/>
    <x v="9"/>
    <x v="3"/>
    <x v="1"/>
    <s v="M0026"/>
    <x v="11"/>
    <x v="2"/>
    <x v="11"/>
    <s v="Inspección de tuberías "/>
    <x v="0"/>
    <n v="0"/>
    <d v="2023-10-22T00:00:00"/>
    <d v="2023-11-04T00:00:00"/>
    <x v="0"/>
    <x v="0"/>
    <n v="0"/>
    <n v="0"/>
    <x v="0"/>
  </r>
  <r>
    <x v="882"/>
    <x v="273"/>
    <x v="9"/>
    <x v="9"/>
    <x v="3"/>
    <x v="1"/>
    <s v="M0002"/>
    <x v="16"/>
    <x v="0"/>
    <x v="12"/>
    <s v="Inspección de mangeras"/>
    <x v="0"/>
    <n v="0"/>
    <d v="2023-10-22T00:00:00"/>
    <d v="2023-10-26T00:00:00"/>
    <x v="2"/>
    <x v="28"/>
    <n v="449"/>
    <n v="740"/>
    <x v="3"/>
  </r>
  <r>
    <x v="883"/>
    <x v="274"/>
    <x v="9"/>
    <x v="9"/>
    <x v="3"/>
    <x v="1"/>
    <s v="M0006"/>
    <x v="32"/>
    <x v="0"/>
    <x v="4"/>
    <s v="Inspección y/o reemplazado de filtros de aire"/>
    <x v="0"/>
    <n v="0"/>
    <d v="2023-10-23T00:00:00"/>
    <d v="2023-11-12T00:00:00"/>
    <x v="0"/>
    <x v="0"/>
    <n v="0"/>
    <n v="0"/>
    <x v="0"/>
  </r>
  <r>
    <x v="884"/>
    <x v="274"/>
    <x v="9"/>
    <x v="9"/>
    <x v="3"/>
    <x v="1"/>
    <s v="M0030"/>
    <x v="35"/>
    <x v="0"/>
    <x v="20"/>
    <s v="Observación de posibles daños"/>
    <x v="1"/>
    <s v="360 Anual"/>
    <d v="2023-10-23T00:00:00"/>
    <d v="2024-10-17T00:00:00"/>
    <x v="1"/>
    <x v="0"/>
    <n v="991"/>
    <n v="325"/>
    <x v="1"/>
  </r>
  <r>
    <x v="885"/>
    <x v="274"/>
    <x v="9"/>
    <x v="9"/>
    <x v="3"/>
    <x v="1"/>
    <s v="M0002"/>
    <x v="16"/>
    <x v="0"/>
    <x v="12"/>
    <s v="Inspección de Frenos"/>
    <x v="0"/>
    <n v="0"/>
    <d v="2023-10-23T00:00:00"/>
    <d v="2023-11-03T00:00:00"/>
    <x v="2"/>
    <x v="18"/>
    <n v="578"/>
    <n v="141"/>
    <x v="4"/>
  </r>
  <r>
    <x v="886"/>
    <x v="274"/>
    <x v="9"/>
    <x v="9"/>
    <x v="3"/>
    <x v="1"/>
    <s v="M0007"/>
    <x v="39"/>
    <x v="0"/>
    <x v="2"/>
    <s v="Mantenimiento general"/>
    <x v="0"/>
    <n v="0"/>
    <d v="2023-10-23T00:00:00"/>
    <d v="2023-10-30T00:00:00"/>
    <x v="0"/>
    <x v="0"/>
    <n v="0"/>
    <n v="0"/>
    <x v="0"/>
  </r>
  <r>
    <x v="887"/>
    <x v="274"/>
    <x v="9"/>
    <x v="9"/>
    <x v="3"/>
    <x v="1"/>
    <s v="M0019"/>
    <x v="4"/>
    <x v="1"/>
    <x v="5"/>
    <s v="Inspección de gases"/>
    <x v="0"/>
    <n v="0"/>
    <d v="2023-10-23T00:00:00"/>
    <d v="2023-11-20T00:00:00"/>
    <x v="2"/>
    <x v="3"/>
    <n v="563"/>
    <n v="450"/>
    <x v="4"/>
  </r>
  <r>
    <x v="888"/>
    <x v="274"/>
    <x v="9"/>
    <x v="9"/>
    <x v="3"/>
    <x v="1"/>
    <s v="M0024"/>
    <x v="21"/>
    <x v="2"/>
    <x v="19"/>
    <s v="Observación de posibles daños"/>
    <x v="1"/>
    <s v="30 Mensual"/>
    <d v="2023-10-23T00:00:00"/>
    <d v="2023-11-22T00:00:00"/>
    <x v="1"/>
    <x v="0"/>
    <n v="871"/>
    <n v="586"/>
    <x v="1"/>
  </r>
  <r>
    <x v="889"/>
    <x v="274"/>
    <x v="9"/>
    <x v="9"/>
    <x v="3"/>
    <x v="1"/>
    <s v="M0009"/>
    <x v="17"/>
    <x v="0"/>
    <x v="15"/>
    <s v="Inspección y/o reemplazado de cuchillas"/>
    <x v="0"/>
    <n v="0"/>
    <d v="2023-10-23T00:00:00"/>
    <d v="2023-10-28T00:00:00"/>
    <x v="2"/>
    <x v="9"/>
    <n v="550"/>
    <n v="918"/>
    <x v="4"/>
  </r>
  <r>
    <x v="890"/>
    <x v="274"/>
    <x v="9"/>
    <x v="9"/>
    <x v="3"/>
    <x v="1"/>
    <s v="M0042"/>
    <x v="10"/>
    <x v="2"/>
    <x v="10"/>
    <s v="Observación de posibles daños"/>
    <x v="1"/>
    <s v="60 Bimestral"/>
    <d v="2023-10-23T00:00:00"/>
    <d v="2023-12-22T00:00:00"/>
    <x v="1"/>
    <x v="0"/>
    <n v="695"/>
    <n v="732"/>
    <x v="1"/>
  </r>
  <r>
    <x v="891"/>
    <x v="274"/>
    <x v="9"/>
    <x v="9"/>
    <x v="3"/>
    <x v="1"/>
    <s v="M0002"/>
    <x v="16"/>
    <x v="0"/>
    <x v="12"/>
    <s v="Revisión de válvulas"/>
    <x v="0"/>
    <n v="0"/>
    <d v="2023-10-23T00:00:00"/>
    <d v="2023-11-09T00:00:00"/>
    <x v="0"/>
    <x v="0"/>
    <n v="0"/>
    <n v="0"/>
    <x v="0"/>
  </r>
  <r>
    <x v="892"/>
    <x v="275"/>
    <x v="9"/>
    <x v="9"/>
    <x v="3"/>
    <x v="1"/>
    <s v="M0012"/>
    <x v="3"/>
    <x v="0"/>
    <x v="3"/>
    <s v="Observación de posibles daños"/>
    <x v="1"/>
    <s v="7 Semanal"/>
    <d v="2023-10-24T00:00:00"/>
    <d v="2023-10-31T00:00:00"/>
    <x v="1"/>
    <x v="0"/>
    <n v="277"/>
    <n v="595"/>
    <x v="1"/>
  </r>
  <r>
    <x v="893"/>
    <x v="275"/>
    <x v="9"/>
    <x v="9"/>
    <x v="3"/>
    <x v="1"/>
    <s v="M0021"/>
    <x v="9"/>
    <x v="0"/>
    <x v="9"/>
    <s v="Limpieza y ajuste de terminales de baterías"/>
    <x v="0"/>
    <n v="0"/>
    <d v="2023-10-24T00:00:00"/>
    <d v="2023-11-03T00:00:00"/>
    <x v="0"/>
    <x v="0"/>
    <n v="0"/>
    <n v="0"/>
    <x v="0"/>
  </r>
  <r>
    <x v="894"/>
    <x v="275"/>
    <x v="9"/>
    <x v="9"/>
    <x v="3"/>
    <x v="1"/>
    <s v="M0022"/>
    <x v="24"/>
    <x v="0"/>
    <x v="22"/>
    <s v="Verificación del sistema de enfriado"/>
    <x v="0"/>
    <n v="0"/>
    <d v="2023-10-24T00:00:00"/>
    <d v="2023-11-15T00:00:00"/>
    <x v="0"/>
    <x v="0"/>
    <n v="0"/>
    <n v="0"/>
    <x v="0"/>
  </r>
  <r>
    <x v="895"/>
    <x v="275"/>
    <x v="9"/>
    <x v="9"/>
    <x v="3"/>
    <x v="1"/>
    <s v="M0033"/>
    <x v="0"/>
    <x v="0"/>
    <x v="4"/>
    <s v="Limpieza de ventilador"/>
    <x v="0"/>
    <n v="0"/>
    <d v="2023-10-24T00:00:00"/>
    <d v="2023-10-26T00:00:00"/>
    <x v="2"/>
    <x v="16"/>
    <n v="519"/>
    <n v="180"/>
    <x v="3"/>
  </r>
  <r>
    <x v="896"/>
    <x v="276"/>
    <x v="9"/>
    <x v="9"/>
    <x v="3"/>
    <x v="1"/>
    <s v="M0002"/>
    <x v="16"/>
    <x v="0"/>
    <x v="12"/>
    <s v="Limpieza general"/>
    <x v="0"/>
    <n v="0"/>
    <d v="2023-10-26T00:00:00"/>
    <d v="2023-10-31T00:00:00"/>
    <x v="2"/>
    <x v="9"/>
    <n v="1120"/>
    <n v="240"/>
    <x v="4"/>
  </r>
  <r>
    <x v="897"/>
    <x v="277"/>
    <x v="9"/>
    <x v="9"/>
    <x v="3"/>
    <x v="1"/>
    <s v="M0002"/>
    <x v="16"/>
    <x v="0"/>
    <x v="12"/>
    <s v="Inspección de engranes"/>
    <x v="0"/>
    <n v="0"/>
    <d v="2023-10-28T00:00:00"/>
    <d v="2023-11-06T00:00:00"/>
    <x v="0"/>
    <x v="0"/>
    <n v="0"/>
    <n v="0"/>
    <x v="0"/>
  </r>
  <r>
    <x v="898"/>
    <x v="277"/>
    <x v="9"/>
    <x v="9"/>
    <x v="3"/>
    <x v="1"/>
    <s v="M0040"/>
    <x v="41"/>
    <x v="0"/>
    <x v="14"/>
    <s v="Revisió Ajuste y/o de bandas, correas y poleas"/>
    <x v="0"/>
    <n v="0"/>
    <d v="2023-10-28T00:00:00"/>
    <d v="2023-11-10T00:00:00"/>
    <x v="2"/>
    <x v="29"/>
    <n v="538"/>
    <n v="873"/>
    <x v="1"/>
  </r>
  <r>
    <x v="899"/>
    <x v="278"/>
    <x v="9"/>
    <x v="9"/>
    <x v="3"/>
    <x v="1"/>
    <s v="M0024"/>
    <x v="21"/>
    <x v="2"/>
    <x v="19"/>
    <s v="Observación de posibles daños"/>
    <x v="0"/>
    <n v="0"/>
    <d v="2023-10-29T00:00:00"/>
    <d v="2023-11-16T00:00:00"/>
    <x v="0"/>
    <x v="0"/>
    <n v="0"/>
    <n v="0"/>
    <x v="0"/>
  </r>
  <r>
    <x v="900"/>
    <x v="278"/>
    <x v="9"/>
    <x v="9"/>
    <x v="3"/>
    <x v="1"/>
    <s v="M0031"/>
    <x v="7"/>
    <x v="0"/>
    <x v="7"/>
    <s v="Observación de posibles daños"/>
    <x v="1"/>
    <s v="60 Bimestral"/>
    <d v="2023-10-29T00:00:00"/>
    <d v="2023-12-28T00:00:00"/>
    <x v="1"/>
    <x v="0"/>
    <n v="1091"/>
    <n v="388"/>
    <x v="1"/>
  </r>
  <r>
    <x v="901"/>
    <x v="278"/>
    <x v="9"/>
    <x v="9"/>
    <x v="3"/>
    <x v="1"/>
    <s v="M0033"/>
    <x v="0"/>
    <x v="0"/>
    <x v="4"/>
    <s v="Inspección y/o reemplazo de tubos de contacto"/>
    <x v="0"/>
    <n v="0"/>
    <d v="2023-10-29T00:00:00"/>
    <d v="2023-11-05T00:00:00"/>
    <x v="0"/>
    <x v="0"/>
    <n v="0"/>
    <n v="0"/>
    <x v="0"/>
  </r>
  <r>
    <x v="902"/>
    <x v="278"/>
    <x v="9"/>
    <x v="9"/>
    <x v="3"/>
    <x v="1"/>
    <s v="M0029"/>
    <x v="12"/>
    <x v="3"/>
    <x v="12"/>
    <s v="Observación de posibles daños"/>
    <x v="1"/>
    <s v="180 Semestral"/>
    <d v="2023-10-29T00:00:00"/>
    <d v="2024-04-26T00:00:00"/>
    <x v="1"/>
    <x v="0"/>
    <n v="637"/>
    <n v="486"/>
    <x v="1"/>
  </r>
  <r>
    <x v="903"/>
    <x v="279"/>
    <x v="9"/>
    <x v="9"/>
    <x v="3"/>
    <x v="1"/>
    <s v="M0005"/>
    <x v="8"/>
    <x v="0"/>
    <x v="8"/>
    <s v="Ajuste general de máquinas"/>
    <x v="0"/>
    <n v="0"/>
    <d v="2023-10-30T00:00:00"/>
    <d v="2023-11-10T00:00:00"/>
    <x v="2"/>
    <x v="18"/>
    <n v="730"/>
    <n v="794"/>
    <x v="2"/>
  </r>
  <r>
    <x v="904"/>
    <x v="279"/>
    <x v="9"/>
    <x v="9"/>
    <x v="3"/>
    <x v="1"/>
    <s v="M0026"/>
    <x v="11"/>
    <x v="2"/>
    <x v="11"/>
    <s v="Inspección de tuberías "/>
    <x v="0"/>
    <n v="0"/>
    <d v="2023-10-30T00:00:00"/>
    <d v="2023-11-26T00:00:00"/>
    <x v="2"/>
    <x v="19"/>
    <n v="468"/>
    <n v="828"/>
    <x v="3"/>
  </r>
  <r>
    <x v="905"/>
    <x v="279"/>
    <x v="9"/>
    <x v="9"/>
    <x v="3"/>
    <x v="1"/>
    <s v="M0039"/>
    <x v="5"/>
    <x v="0"/>
    <x v="3"/>
    <s v="Inspección de mangeras"/>
    <x v="0"/>
    <n v="0"/>
    <d v="2023-10-30T00:00:00"/>
    <d v="2023-11-12T00:00:00"/>
    <x v="2"/>
    <x v="29"/>
    <n v="1165"/>
    <n v="531"/>
    <x v="4"/>
  </r>
  <r>
    <x v="906"/>
    <x v="279"/>
    <x v="9"/>
    <x v="9"/>
    <x v="3"/>
    <x v="1"/>
    <s v="M0024"/>
    <x v="21"/>
    <x v="2"/>
    <x v="19"/>
    <s v="Observación de posibles daños"/>
    <x v="1"/>
    <s v="180 Semestral"/>
    <d v="2023-10-30T00:00:00"/>
    <d v="2024-04-27T00:00:00"/>
    <x v="1"/>
    <x v="0"/>
    <n v="343"/>
    <n v="944"/>
    <x v="1"/>
  </r>
  <r>
    <x v="907"/>
    <x v="279"/>
    <x v="9"/>
    <x v="9"/>
    <x v="3"/>
    <x v="1"/>
    <s v="M0026"/>
    <x v="11"/>
    <x v="2"/>
    <x v="11"/>
    <s v="Inspección y/o reemplazado de filtros de aceite"/>
    <x v="0"/>
    <n v="0"/>
    <d v="2023-10-30T00:00:00"/>
    <d v="2023-11-05T00:00:00"/>
    <x v="2"/>
    <x v="12"/>
    <n v="1132"/>
    <n v="826"/>
    <x v="2"/>
  </r>
  <r>
    <x v="908"/>
    <x v="279"/>
    <x v="9"/>
    <x v="9"/>
    <x v="3"/>
    <x v="1"/>
    <s v="M0001"/>
    <x v="38"/>
    <x v="0"/>
    <x v="25"/>
    <s v="Inspección de Frenos"/>
    <x v="0"/>
    <n v="0"/>
    <d v="2023-10-30T00:00:00"/>
    <d v="2023-11-04T00:00:00"/>
    <x v="0"/>
    <x v="0"/>
    <n v="0"/>
    <n v="0"/>
    <x v="0"/>
  </r>
  <r>
    <x v="909"/>
    <x v="280"/>
    <x v="9"/>
    <x v="9"/>
    <x v="3"/>
    <x v="1"/>
    <s v="M0003"/>
    <x v="22"/>
    <x v="2"/>
    <x v="20"/>
    <s v="Mantenimiento general"/>
    <x v="0"/>
    <n v="0"/>
    <d v="2023-10-31T00:00:00"/>
    <d v="2023-11-21T00:00:00"/>
    <x v="2"/>
    <x v="22"/>
    <n v="1011"/>
    <n v="395"/>
    <x v="3"/>
  </r>
  <r>
    <x v="910"/>
    <x v="281"/>
    <x v="10"/>
    <x v="10"/>
    <x v="3"/>
    <x v="1"/>
    <s v="M0002"/>
    <x v="16"/>
    <x v="0"/>
    <x v="12"/>
    <s v="Inspección de gases"/>
    <x v="0"/>
    <n v="0"/>
    <d v="2023-11-02T00:00:00"/>
    <d v="2023-11-25T00:00:00"/>
    <x v="0"/>
    <x v="0"/>
    <n v="0"/>
    <n v="0"/>
    <x v="0"/>
  </r>
  <r>
    <x v="911"/>
    <x v="281"/>
    <x v="10"/>
    <x v="10"/>
    <x v="3"/>
    <x v="1"/>
    <s v="M0043"/>
    <x v="23"/>
    <x v="3"/>
    <x v="21"/>
    <s v="Inspección y/o reemplazado de escobillas"/>
    <x v="0"/>
    <n v="0"/>
    <d v="2023-11-02T00:00:00"/>
    <d v="2023-11-07T00:00:00"/>
    <x v="0"/>
    <x v="0"/>
    <n v="0"/>
    <n v="0"/>
    <x v="0"/>
  </r>
  <r>
    <x v="912"/>
    <x v="281"/>
    <x v="10"/>
    <x v="10"/>
    <x v="3"/>
    <x v="1"/>
    <s v="M0026"/>
    <x v="11"/>
    <x v="2"/>
    <x v="11"/>
    <s v="Observación de posibles daños"/>
    <x v="1"/>
    <s v="180 Semestral"/>
    <d v="2023-11-02T00:00:00"/>
    <d v="2024-04-30T00:00:00"/>
    <x v="1"/>
    <x v="0"/>
    <n v="616"/>
    <n v="166"/>
    <x v="1"/>
  </r>
  <r>
    <x v="913"/>
    <x v="282"/>
    <x v="10"/>
    <x v="10"/>
    <x v="3"/>
    <x v="1"/>
    <s v="M0015"/>
    <x v="33"/>
    <x v="4"/>
    <x v="10"/>
    <s v="Inspección de nivel de com¿bustible"/>
    <x v="0"/>
    <n v="0"/>
    <d v="2023-11-05T00:00:00"/>
    <d v="2023-12-03T00:00:00"/>
    <x v="2"/>
    <x v="3"/>
    <n v="446"/>
    <n v="693"/>
    <x v="2"/>
  </r>
  <r>
    <x v="914"/>
    <x v="283"/>
    <x v="10"/>
    <x v="10"/>
    <x v="3"/>
    <x v="1"/>
    <s v="M0038"/>
    <x v="30"/>
    <x v="0"/>
    <x v="26"/>
    <s v="Observación de posibles daños"/>
    <x v="1"/>
    <s v="90 Trimestral"/>
    <d v="2023-11-06T00:00:00"/>
    <d v="2024-02-04T00:00:00"/>
    <x v="1"/>
    <x v="0"/>
    <n v="1081"/>
    <n v="439"/>
    <x v="1"/>
  </r>
  <r>
    <x v="915"/>
    <x v="284"/>
    <x v="10"/>
    <x v="10"/>
    <x v="3"/>
    <x v="1"/>
    <s v="M0031"/>
    <x v="7"/>
    <x v="0"/>
    <x v="7"/>
    <s v="Limpieza y ajuste de inyectores"/>
    <x v="0"/>
    <n v="0"/>
    <d v="2023-11-07T00:00:00"/>
    <d v="2023-12-04T00:00:00"/>
    <x v="2"/>
    <x v="19"/>
    <n v="208"/>
    <n v="165"/>
    <x v="2"/>
  </r>
  <r>
    <x v="916"/>
    <x v="284"/>
    <x v="10"/>
    <x v="10"/>
    <x v="3"/>
    <x v="1"/>
    <s v="M0034"/>
    <x v="2"/>
    <x v="0"/>
    <x v="2"/>
    <s v="Limpieza y ajuste de terminales de baterías"/>
    <x v="0"/>
    <n v="0"/>
    <d v="2023-11-07T00:00:00"/>
    <d v="2023-11-25T00:00:00"/>
    <x v="0"/>
    <x v="0"/>
    <n v="0"/>
    <n v="0"/>
    <x v="0"/>
  </r>
  <r>
    <x v="917"/>
    <x v="285"/>
    <x v="10"/>
    <x v="10"/>
    <x v="3"/>
    <x v="1"/>
    <s v="M0005"/>
    <x v="8"/>
    <x v="0"/>
    <x v="8"/>
    <s v="Verificación del sistema de enfriado"/>
    <x v="0"/>
    <n v="0"/>
    <d v="2023-11-08T00:00:00"/>
    <d v="2023-11-27T00:00:00"/>
    <x v="0"/>
    <x v="0"/>
    <n v="0"/>
    <n v="0"/>
    <x v="0"/>
  </r>
  <r>
    <x v="918"/>
    <x v="285"/>
    <x v="10"/>
    <x v="10"/>
    <x v="3"/>
    <x v="1"/>
    <s v="M0033"/>
    <x v="0"/>
    <x v="0"/>
    <x v="4"/>
    <s v="Limpieza de ventilador"/>
    <x v="0"/>
    <n v="0"/>
    <d v="2023-11-08T00:00:00"/>
    <d v="2023-11-11T00:00:00"/>
    <x v="0"/>
    <x v="0"/>
    <n v="0"/>
    <n v="0"/>
    <x v="0"/>
  </r>
  <r>
    <x v="919"/>
    <x v="285"/>
    <x v="10"/>
    <x v="10"/>
    <x v="3"/>
    <x v="1"/>
    <s v="M0022"/>
    <x v="24"/>
    <x v="0"/>
    <x v="22"/>
    <s v="Limpieza general"/>
    <x v="0"/>
    <n v="0"/>
    <d v="2023-11-08T00:00:00"/>
    <d v="2023-12-04T00:00:00"/>
    <x v="0"/>
    <x v="0"/>
    <n v="0"/>
    <n v="0"/>
    <x v="0"/>
  </r>
  <r>
    <x v="920"/>
    <x v="286"/>
    <x v="10"/>
    <x v="10"/>
    <x v="3"/>
    <x v="1"/>
    <s v="M0022"/>
    <x v="24"/>
    <x v="0"/>
    <x v="22"/>
    <s v="Inspección de engranes"/>
    <x v="0"/>
    <n v="0"/>
    <d v="2023-11-09T00:00:00"/>
    <d v="2023-12-06T00:00:00"/>
    <x v="0"/>
    <x v="0"/>
    <n v="0"/>
    <n v="0"/>
    <x v="0"/>
  </r>
  <r>
    <x v="921"/>
    <x v="287"/>
    <x v="10"/>
    <x v="10"/>
    <x v="3"/>
    <x v="1"/>
    <s v="M0024"/>
    <x v="21"/>
    <x v="2"/>
    <x v="19"/>
    <s v="Revisió Ajuste y/o de bandas, correas y poleas"/>
    <x v="0"/>
    <n v="0"/>
    <d v="2023-11-10T00:00:00"/>
    <d v="2023-12-07T00:00:00"/>
    <x v="0"/>
    <x v="0"/>
    <n v="0"/>
    <n v="0"/>
    <x v="0"/>
  </r>
  <r>
    <x v="922"/>
    <x v="287"/>
    <x v="10"/>
    <x v="10"/>
    <x v="3"/>
    <x v="1"/>
    <s v="M0009"/>
    <x v="17"/>
    <x v="0"/>
    <x v="15"/>
    <s v="Observación de posibles daños"/>
    <x v="0"/>
    <n v="0"/>
    <d v="2023-11-10T00:00:00"/>
    <d v="2023-12-07T00:00:00"/>
    <x v="0"/>
    <x v="0"/>
    <n v="0"/>
    <n v="0"/>
    <x v="0"/>
  </r>
  <r>
    <x v="923"/>
    <x v="287"/>
    <x v="10"/>
    <x v="10"/>
    <x v="3"/>
    <x v="1"/>
    <s v="M0004"/>
    <x v="40"/>
    <x v="2"/>
    <x v="7"/>
    <s v="Inspección y/o reemplazo de boquillas"/>
    <x v="0"/>
    <n v="0"/>
    <d v="2023-11-10T00:00:00"/>
    <d v="2023-11-27T00:00:00"/>
    <x v="2"/>
    <x v="14"/>
    <n v="883"/>
    <n v="883"/>
    <x v="4"/>
  </r>
  <r>
    <x v="924"/>
    <x v="288"/>
    <x v="10"/>
    <x v="10"/>
    <x v="3"/>
    <x v="1"/>
    <s v="M0028"/>
    <x v="29"/>
    <x v="0"/>
    <x v="25"/>
    <s v="Inspección y/o reemplazo de tubos de contacto"/>
    <x v="0"/>
    <n v="0"/>
    <d v="2023-11-11T00:00:00"/>
    <d v="2023-12-02T00:00:00"/>
    <x v="2"/>
    <x v="22"/>
    <n v="1049"/>
    <n v="746"/>
    <x v="1"/>
  </r>
  <r>
    <x v="925"/>
    <x v="288"/>
    <x v="10"/>
    <x v="10"/>
    <x v="3"/>
    <x v="1"/>
    <s v="M0043"/>
    <x v="23"/>
    <x v="3"/>
    <x v="21"/>
    <s v="Inspección y/o reemplazo de toderas"/>
    <x v="0"/>
    <n v="0"/>
    <d v="2023-11-11T00:00:00"/>
    <d v="2023-11-20T00:00:00"/>
    <x v="0"/>
    <x v="0"/>
    <n v="0"/>
    <n v="0"/>
    <x v="0"/>
  </r>
  <r>
    <x v="926"/>
    <x v="289"/>
    <x v="10"/>
    <x v="10"/>
    <x v="3"/>
    <x v="1"/>
    <s v="M0008"/>
    <x v="26"/>
    <x v="0"/>
    <x v="24"/>
    <s v="Observación de posibles daños"/>
    <x v="1"/>
    <s v="60 Bimestral"/>
    <d v="2023-11-12T00:00:00"/>
    <d v="2024-01-11T00:00:00"/>
    <x v="1"/>
    <x v="0"/>
    <n v="1092"/>
    <n v="244"/>
    <x v="1"/>
  </r>
  <r>
    <x v="927"/>
    <x v="290"/>
    <x v="10"/>
    <x v="10"/>
    <x v="3"/>
    <x v="1"/>
    <s v="M0002"/>
    <x v="16"/>
    <x v="0"/>
    <x v="12"/>
    <s v="Inspección de tuberías "/>
    <x v="0"/>
    <n v="0"/>
    <d v="2023-11-14T00:00:00"/>
    <d v="2023-11-18T00:00:00"/>
    <x v="2"/>
    <x v="28"/>
    <n v="371"/>
    <n v="866"/>
    <x v="4"/>
  </r>
  <r>
    <x v="928"/>
    <x v="290"/>
    <x v="10"/>
    <x v="10"/>
    <x v="3"/>
    <x v="1"/>
    <s v="M0030"/>
    <x v="35"/>
    <x v="0"/>
    <x v="20"/>
    <s v="Observación de posibles daños"/>
    <x v="1"/>
    <s v="15 Quincenal"/>
    <d v="2023-11-14T00:00:00"/>
    <d v="2023-11-29T00:00:00"/>
    <x v="1"/>
    <x v="0"/>
    <n v="528"/>
    <n v="684"/>
    <x v="1"/>
  </r>
  <r>
    <x v="929"/>
    <x v="290"/>
    <x v="10"/>
    <x v="10"/>
    <x v="3"/>
    <x v="1"/>
    <s v="M0036"/>
    <x v="27"/>
    <x v="0"/>
    <x v="15"/>
    <s v="Inspección y/o reemplazado de filtros de aire"/>
    <x v="0"/>
    <n v="0"/>
    <d v="2023-11-14T00:00:00"/>
    <d v="2023-12-10T00:00:00"/>
    <x v="2"/>
    <x v="6"/>
    <n v="892"/>
    <n v="144"/>
    <x v="4"/>
  </r>
  <r>
    <x v="930"/>
    <x v="290"/>
    <x v="10"/>
    <x v="10"/>
    <x v="3"/>
    <x v="1"/>
    <s v="M0031"/>
    <x v="7"/>
    <x v="0"/>
    <x v="7"/>
    <s v="Inspección y/o reemplazado de filtros de aceite"/>
    <x v="0"/>
    <n v="0"/>
    <d v="2023-11-14T00:00:00"/>
    <d v="2023-11-29T00:00:00"/>
    <x v="0"/>
    <x v="0"/>
    <n v="0"/>
    <n v="0"/>
    <x v="0"/>
  </r>
  <r>
    <x v="931"/>
    <x v="291"/>
    <x v="10"/>
    <x v="10"/>
    <x v="3"/>
    <x v="1"/>
    <s v="M0030"/>
    <x v="35"/>
    <x v="0"/>
    <x v="20"/>
    <s v="Inspección de Frenos"/>
    <x v="0"/>
    <n v="0"/>
    <d v="2023-11-15T00:00:00"/>
    <d v="2023-12-09T00:00:00"/>
    <x v="0"/>
    <x v="0"/>
    <n v="0"/>
    <n v="0"/>
    <x v="0"/>
  </r>
  <r>
    <x v="932"/>
    <x v="291"/>
    <x v="10"/>
    <x v="10"/>
    <x v="3"/>
    <x v="1"/>
    <s v="M0029"/>
    <x v="12"/>
    <x v="3"/>
    <x v="12"/>
    <s v="Observación de posibles daños"/>
    <x v="1"/>
    <s v="15 Quincenal"/>
    <d v="2023-11-15T00:00:00"/>
    <d v="2023-11-30T00:00:00"/>
    <x v="1"/>
    <x v="0"/>
    <n v="526"/>
    <n v="469"/>
    <x v="1"/>
  </r>
  <r>
    <x v="933"/>
    <x v="292"/>
    <x v="10"/>
    <x v="10"/>
    <x v="3"/>
    <x v="1"/>
    <s v="M0006"/>
    <x v="32"/>
    <x v="0"/>
    <x v="4"/>
    <s v="Inspección de gases"/>
    <x v="0"/>
    <n v="0"/>
    <d v="2023-11-16T00:00:00"/>
    <d v="2023-11-29T00:00:00"/>
    <x v="0"/>
    <x v="0"/>
    <n v="0"/>
    <n v="0"/>
    <x v="0"/>
  </r>
  <r>
    <x v="934"/>
    <x v="292"/>
    <x v="10"/>
    <x v="10"/>
    <x v="3"/>
    <x v="1"/>
    <s v="M0036"/>
    <x v="27"/>
    <x v="0"/>
    <x v="15"/>
    <s v="Observación de posibles daños"/>
    <x v="1"/>
    <s v="60 Bimestral"/>
    <d v="2023-11-16T00:00:00"/>
    <d v="2024-01-15T00:00:00"/>
    <x v="1"/>
    <x v="0"/>
    <n v="406"/>
    <n v="879"/>
    <x v="1"/>
  </r>
  <r>
    <x v="935"/>
    <x v="292"/>
    <x v="10"/>
    <x v="10"/>
    <x v="3"/>
    <x v="1"/>
    <s v="M0040"/>
    <x v="41"/>
    <x v="0"/>
    <x v="14"/>
    <s v="Inspección y/o reemplazado de cuchillas"/>
    <x v="0"/>
    <n v="0"/>
    <d v="2023-11-16T00:00:00"/>
    <d v="2023-11-19T00:00:00"/>
    <x v="0"/>
    <x v="0"/>
    <n v="0"/>
    <n v="0"/>
    <x v="0"/>
  </r>
  <r>
    <x v="936"/>
    <x v="292"/>
    <x v="10"/>
    <x v="10"/>
    <x v="3"/>
    <x v="1"/>
    <s v="M0037"/>
    <x v="1"/>
    <x v="0"/>
    <x v="1"/>
    <s v="Observación de posibles daños"/>
    <x v="1"/>
    <s v="60 Bimestral"/>
    <d v="2023-11-16T00:00:00"/>
    <d v="2024-01-15T00:00:00"/>
    <x v="1"/>
    <x v="0"/>
    <n v="446"/>
    <n v="941"/>
    <x v="1"/>
  </r>
  <r>
    <x v="937"/>
    <x v="293"/>
    <x v="10"/>
    <x v="10"/>
    <x v="3"/>
    <x v="1"/>
    <s v="M0001"/>
    <x v="38"/>
    <x v="0"/>
    <x v="25"/>
    <s v="Revisión de válvulas"/>
    <x v="0"/>
    <n v="0"/>
    <d v="2023-11-17T00:00:00"/>
    <d v="2023-12-13T00:00:00"/>
    <x v="0"/>
    <x v="0"/>
    <n v="0"/>
    <n v="0"/>
    <x v="0"/>
  </r>
  <r>
    <x v="938"/>
    <x v="294"/>
    <x v="10"/>
    <x v="10"/>
    <x v="3"/>
    <x v="1"/>
    <s v="M0037"/>
    <x v="1"/>
    <x v="0"/>
    <x v="1"/>
    <s v="Observación de posibles daños"/>
    <x v="1"/>
    <s v="180 Semestral"/>
    <d v="2023-11-18T00:00:00"/>
    <d v="2024-05-16T00:00:00"/>
    <x v="1"/>
    <x v="0"/>
    <n v="265"/>
    <n v="533"/>
    <x v="1"/>
  </r>
  <r>
    <x v="939"/>
    <x v="294"/>
    <x v="10"/>
    <x v="10"/>
    <x v="3"/>
    <x v="1"/>
    <s v="M0010"/>
    <x v="37"/>
    <x v="0"/>
    <x v="1"/>
    <s v="Limpieza y ajuste de terminales de baterías"/>
    <x v="0"/>
    <n v="0"/>
    <d v="2023-11-18T00:00:00"/>
    <d v="2023-12-09T00:00:00"/>
    <x v="2"/>
    <x v="22"/>
    <n v="396"/>
    <n v="352"/>
    <x v="3"/>
  </r>
  <r>
    <x v="940"/>
    <x v="294"/>
    <x v="10"/>
    <x v="10"/>
    <x v="3"/>
    <x v="1"/>
    <s v="M0035"/>
    <x v="34"/>
    <x v="0"/>
    <x v="24"/>
    <s v="Verificación del sistema de enfriado"/>
    <x v="0"/>
    <n v="0"/>
    <d v="2023-11-18T00:00:00"/>
    <d v="2023-11-24T00:00:00"/>
    <x v="0"/>
    <x v="0"/>
    <n v="0"/>
    <n v="0"/>
    <x v="0"/>
  </r>
  <r>
    <x v="941"/>
    <x v="294"/>
    <x v="10"/>
    <x v="10"/>
    <x v="3"/>
    <x v="1"/>
    <s v="M0008"/>
    <x v="26"/>
    <x v="0"/>
    <x v="24"/>
    <s v="Limpieza de ventilador"/>
    <x v="0"/>
    <n v="0"/>
    <d v="2023-11-18T00:00:00"/>
    <d v="2023-12-10T00:00:00"/>
    <x v="2"/>
    <x v="1"/>
    <n v="445"/>
    <n v="118"/>
    <x v="4"/>
  </r>
  <r>
    <x v="942"/>
    <x v="295"/>
    <x v="10"/>
    <x v="10"/>
    <x v="3"/>
    <x v="1"/>
    <s v="M0023"/>
    <x v="18"/>
    <x v="0"/>
    <x v="16"/>
    <s v="Observación de posibles daños"/>
    <x v="1"/>
    <s v="7 Semanal"/>
    <d v="2023-11-19T00:00:00"/>
    <d v="2023-11-26T00:00:00"/>
    <x v="1"/>
    <x v="0"/>
    <n v="437"/>
    <n v="475"/>
    <x v="1"/>
  </r>
  <r>
    <x v="943"/>
    <x v="295"/>
    <x v="10"/>
    <x v="10"/>
    <x v="3"/>
    <x v="1"/>
    <s v="M0043"/>
    <x v="23"/>
    <x v="3"/>
    <x v="21"/>
    <s v="Inspección de engranes"/>
    <x v="0"/>
    <n v="0"/>
    <d v="2023-11-19T00:00:00"/>
    <d v="2023-11-26T00:00:00"/>
    <x v="2"/>
    <x v="4"/>
    <n v="220"/>
    <n v="522"/>
    <x v="1"/>
  </r>
  <r>
    <x v="944"/>
    <x v="295"/>
    <x v="10"/>
    <x v="10"/>
    <x v="3"/>
    <x v="1"/>
    <s v="M0033"/>
    <x v="0"/>
    <x v="0"/>
    <x v="4"/>
    <s v="Observación de posibles daños"/>
    <x v="1"/>
    <s v="60 Bimestral"/>
    <d v="2023-11-19T00:00:00"/>
    <d v="2024-01-18T00:00:00"/>
    <x v="1"/>
    <x v="0"/>
    <n v="938"/>
    <n v="218"/>
    <x v="1"/>
  </r>
  <r>
    <x v="945"/>
    <x v="296"/>
    <x v="10"/>
    <x v="10"/>
    <x v="3"/>
    <x v="1"/>
    <s v="M0018"/>
    <x v="0"/>
    <x v="0"/>
    <x v="0"/>
    <s v="Observación de posibles daños"/>
    <x v="0"/>
    <n v="0"/>
    <d v="2023-11-20T00:00:00"/>
    <d v="2023-11-25T00:00:00"/>
    <x v="0"/>
    <x v="0"/>
    <n v="0"/>
    <n v="0"/>
    <x v="0"/>
  </r>
  <r>
    <x v="946"/>
    <x v="296"/>
    <x v="10"/>
    <x v="10"/>
    <x v="3"/>
    <x v="1"/>
    <s v="M0001"/>
    <x v="38"/>
    <x v="0"/>
    <x v="25"/>
    <s v="Observación de posibles daños"/>
    <x v="1"/>
    <s v="15 Quincenal"/>
    <d v="2023-11-20T00:00:00"/>
    <d v="2023-12-05T00:00:00"/>
    <x v="1"/>
    <x v="0"/>
    <n v="580"/>
    <n v="552"/>
    <x v="1"/>
  </r>
  <r>
    <x v="947"/>
    <x v="296"/>
    <x v="10"/>
    <x v="10"/>
    <x v="3"/>
    <x v="1"/>
    <s v="M0032"/>
    <x v="14"/>
    <x v="0"/>
    <x v="8"/>
    <s v="Inspección y/o reemplazo de tubos de contacto"/>
    <x v="0"/>
    <n v="0"/>
    <d v="2023-11-20T00:00:00"/>
    <d v="2023-12-03T00:00:00"/>
    <x v="0"/>
    <x v="0"/>
    <n v="0"/>
    <n v="0"/>
    <x v="0"/>
  </r>
  <r>
    <x v="948"/>
    <x v="296"/>
    <x v="10"/>
    <x v="10"/>
    <x v="3"/>
    <x v="1"/>
    <s v="M0034"/>
    <x v="2"/>
    <x v="0"/>
    <x v="2"/>
    <s v="Inspección y/o reemplazo de toderas"/>
    <x v="0"/>
    <n v="0"/>
    <d v="2023-11-20T00:00:00"/>
    <d v="2023-11-27T00:00:00"/>
    <x v="2"/>
    <x v="4"/>
    <n v="423"/>
    <n v="826"/>
    <x v="3"/>
  </r>
  <r>
    <x v="949"/>
    <x v="297"/>
    <x v="10"/>
    <x v="10"/>
    <x v="3"/>
    <x v="1"/>
    <s v="M0032"/>
    <x v="14"/>
    <x v="0"/>
    <x v="8"/>
    <s v="Ajuste general de máquinas"/>
    <x v="0"/>
    <n v="0"/>
    <d v="2023-11-21T00:00:00"/>
    <d v="2023-12-06T00:00:00"/>
    <x v="0"/>
    <x v="0"/>
    <n v="0"/>
    <n v="0"/>
    <x v="0"/>
  </r>
  <r>
    <x v="950"/>
    <x v="297"/>
    <x v="10"/>
    <x v="10"/>
    <x v="3"/>
    <x v="1"/>
    <s v="M0007"/>
    <x v="39"/>
    <x v="0"/>
    <x v="2"/>
    <s v="Inspección de tuberías "/>
    <x v="0"/>
    <n v="0"/>
    <d v="2023-11-21T00:00:00"/>
    <d v="2023-12-03T00:00:00"/>
    <x v="2"/>
    <x v="13"/>
    <n v="811"/>
    <n v="580"/>
    <x v="4"/>
  </r>
  <r>
    <x v="951"/>
    <x v="298"/>
    <x v="10"/>
    <x v="10"/>
    <x v="3"/>
    <x v="1"/>
    <s v="M0011"/>
    <x v="36"/>
    <x v="0"/>
    <x v="26"/>
    <s v="Inspección de mangeras"/>
    <x v="0"/>
    <n v="0"/>
    <d v="2023-11-22T00:00:00"/>
    <d v="2023-11-23T00:00:00"/>
    <x v="2"/>
    <x v="15"/>
    <n v="535"/>
    <n v="546"/>
    <x v="3"/>
  </r>
  <r>
    <x v="952"/>
    <x v="298"/>
    <x v="10"/>
    <x v="10"/>
    <x v="3"/>
    <x v="1"/>
    <s v="M0002"/>
    <x v="16"/>
    <x v="0"/>
    <x v="12"/>
    <s v="Observación de posibles daños"/>
    <x v="1"/>
    <s v="180 Semestral"/>
    <d v="2023-11-22T00:00:00"/>
    <d v="2024-05-20T00:00:00"/>
    <x v="1"/>
    <x v="0"/>
    <n v="293"/>
    <n v="549"/>
    <x v="1"/>
  </r>
  <r>
    <x v="953"/>
    <x v="298"/>
    <x v="10"/>
    <x v="10"/>
    <x v="3"/>
    <x v="1"/>
    <s v="M0022"/>
    <x v="24"/>
    <x v="0"/>
    <x v="22"/>
    <s v="Inspección y/o reemplazado de filtros de aceite"/>
    <x v="0"/>
    <n v="0"/>
    <d v="2023-11-22T00:00:00"/>
    <d v="2023-11-26T00:00:00"/>
    <x v="0"/>
    <x v="0"/>
    <n v="0"/>
    <n v="0"/>
    <x v="0"/>
  </r>
  <r>
    <x v="954"/>
    <x v="299"/>
    <x v="10"/>
    <x v="10"/>
    <x v="3"/>
    <x v="1"/>
    <s v="M0031"/>
    <x v="7"/>
    <x v="0"/>
    <x v="7"/>
    <s v="Inspección de Frenos"/>
    <x v="0"/>
    <n v="0"/>
    <d v="2023-11-23T00:00:00"/>
    <d v="2023-12-03T00:00:00"/>
    <x v="2"/>
    <x v="30"/>
    <n v="305"/>
    <n v="854"/>
    <x v="2"/>
  </r>
  <r>
    <x v="955"/>
    <x v="299"/>
    <x v="10"/>
    <x v="10"/>
    <x v="3"/>
    <x v="1"/>
    <s v="M0007"/>
    <x v="39"/>
    <x v="0"/>
    <x v="2"/>
    <s v="Mantenimiento general"/>
    <x v="0"/>
    <n v="0"/>
    <d v="2023-11-23T00:00:00"/>
    <d v="2023-12-05T00:00:00"/>
    <x v="2"/>
    <x v="13"/>
    <n v="845"/>
    <n v="770"/>
    <x v="1"/>
  </r>
  <r>
    <x v="956"/>
    <x v="300"/>
    <x v="10"/>
    <x v="10"/>
    <x v="3"/>
    <x v="1"/>
    <s v="M0017"/>
    <x v="20"/>
    <x v="0"/>
    <x v="18"/>
    <s v="Inspección de gases"/>
    <x v="0"/>
    <n v="0"/>
    <d v="2023-11-24T00:00:00"/>
    <d v="2023-12-11T00:00:00"/>
    <x v="0"/>
    <x v="0"/>
    <n v="0"/>
    <n v="0"/>
    <x v="0"/>
  </r>
  <r>
    <x v="957"/>
    <x v="300"/>
    <x v="10"/>
    <x v="10"/>
    <x v="3"/>
    <x v="1"/>
    <s v="M0027"/>
    <x v="6"/>
    <x v="2"/>
    <x v="6"/>
    <s v="Inspección y/o reemplazado de escobillas"/>
    <x v="0"/>
    <n v="0"/>
    <d v="2023-11-24T00:00:00"/>
    <d v="2023-12-13T00:00:00"/>
    <x v="0"/>
    <x v="0"/>
    <n v="0"/>
    <n v="0"/>
    <x v="0"/>
  </r>
  <r>
    <x v="958"/>
    <x v="301"/>
    <x v="10"/>
    <x v="10"/>
    <x v="3"/>
    <x v="1"/>
    <s v="M0016"/>
    <x v="31"/>
    <x v="0"/>
    <x v="21"/>
    <s v="Inspección y/o reemplazado de cuchillas"/>
    <x v="0"/>
    <n v="0"/>
    <d v="2023-11-25T00:00:00"/>
    <d v="2023-12-01T00:00:00"/>
    <x v="0"/>
    <x v="0"/>
    <n v="0"/>
    <n v="0"/>
    <x v="0"/>
  </r>
  <r>
    <x v="959"/>
    <x v="301"/>
    <x v="10"/>
    <x v="10"/>
    <x v="3"/>
    <x v="1"/>
    <s v="M0031"/>
    <x v="7"/>
    <x v="0"/>
    <x v="7"/>
    <s v="Inspección de nivel de com¿bustible"/>
    <x v="0"/>
    <n v="0"/>
    <d v="2023-11-25T00:00:00"/>
    <d v="2023-12-23T00:00:00"/>
    <x v="0"/>
    <x v="0"/>
    <n v="0"/>
    <n v="0"/>
    <x v="0"/>
  </r>
  <r>
    <x v="960"/>
    <x v="302"/>
    <x v="10"/>
    <x v="10"/>
    <x v="3"/>
    <x v="1"/>
    <s v="M0015"/>
    <x v="33"/>
    <x v="4"/>
    <x v="10"/>
    <s v="Revisión de válvulas"/>
    <x v="0"/>
    <n v="0"/>
    <d v="2023-11-26T00:00:00"/>
    <d v="2023-12-19T00:00:00"/>
    <x v="0"/>
    <x v="0"/>
    <n v="0"/>
    <n v="0"/>
    <x v="0"/>
  </r>
  <r>
    <x v="961"/>
    <x v="302"/>
    <x v="10"/>
    <x v="10"/>
    <x v="3"/>
    <x v="1"/>
    <s v="M0036"/>
    <x v="27"/>
    <x v="0"/>
    <x v="15"/>
    <s v="Limpieza y ajuste de inyectores"/>
    <x v="0"/>
    <n v="0"/>
    <d v="2023-11-26T00:00:00"/>
    <d v="2023-12-02T00:00:00"/>
    <x v="2"/>
    <x v="12"/>
    <n v="373"/>
    <n v="764"/>
    <x v="4"/>
  </r>
  <r>
    <x v="962"/>
    <x v="303"/>
    <x v="10"/>
    <x v="10"/>
    <x v="3"/>
    <x v="1"/>
    <s v="M0017"/>
    <x v="20"/>
    <x v="0"/>
    <x v="18"/>
    <s v="Limpieza y ajuste de terminales de baterías"/>
    <x v="0"/>
    <n v="0"/>
    <d v="2023-11-29T00:00:00"/>
    <d v="2023-12-28T00:00:00"/>
    <x v="2"/>
    <x v="17"/>
    <n v="1198"/>
    <n v="327"/>
    <x v="3"/>
  </r>
  <r>
    <x v="963"/>
    <x v="303"/>
    <x v="10"/>
    <x v="10"/>
    <x v="3"/>
    <x v="1"/>
    <s v="M0035"/>
    <x v="34"/>
    <x v="0"/>
    <x v="24"/>
    <s v="Verificación del sistema de enfriado"/>
    <x v="0"/>
    <n v="0"/>
    <d v="2023-11-29T00:00:00"/>
    <d v="2023-12-17T00:00:00"/>
    <x v="0"/>
    <x v="0"/>
    <n v="0"/>
    <n v="0"/>
    <x v="0"/>
  </r>
  <r>
    <x v="964"/>
    <x v="303"/>
    <x v="10"/>
    <x v="10"/>
    <x v="3"/>
    <x v="1"/>
    <s v="M0037"/>
    <x v="1"/>
    <x v="0"/>
    <x v="1"/>
    <s v="Limpieza de ventilador"/>
    <x v="0"/>
    <n v="0"/>
    <d v="2023-11-29T00:00:00"/>
    <d v="2023-12-13T00:00:00"/>
    <x v="0"/>
    <x v="0"/>
    <n v="0"/>
    <n v="0"/>
    <x v="0"/>
  </r>
  <r>
    <x v="965"/>
    <x v="304"/>
    <x v="10"/>
    <x v="10"/>
    <x v="3"/>
    <x v="1"/>
    <s v="M0041"/>
    <x v="28"/>
    <x v="0"/>
    <x v="17"/>
    <s v="Limpieza general"/>
    <x v="0"/>
    <n v="0"/>
    <d v="2023-11-30T00:00:00"/>
    <d v="2023-12-10T00:00:00"/>
    <x v="2"/>
    <x v="30"/>
    <n v="764"/>
    <n v="941"/>
    <x v="4"/>
  </r>
  <r>
    <x v="966"/>
    <x v="304"/>
    <x v="10"/>
    <x v="10"/>
    <x v="3"/>
    <x v="1"/>
    <s v="M0028"/>
    <x v="29"/>
    <x v="0"/>
    <x v="25"/>
    <s v="Inspección de engranes"/>
    <x v="0"/>
    <n v="0"/>
    <d v="2023-11-30T00:00:00"/>
    <d v="2023-12-16T00:00:00"/>
    <x v="0"/>
    <x v="0"/>
    <n v="0"/>
    <n v="0"/>
    <x v="0"/>
  </r>
  <r>
    <x v="967"/>
    <x v="305"/>
    <x v="11"/>
    <x v="11"/>
    <x v="3"/>
    <x v="1"/>
    <s v="M0043"/>
    <x v="23"/>
    <x v="3"/>
    <x v="21"/>
    <s v="Revisió Ajuste y/o de bandas, correas y poleas"/>
    <x v="0"/>
    <n v="0"/>
    <d v="2023-12-01T00:00:00"/>
    <d v="2023-12-02T00:00:00"/>
    <x v="0"/>
    <x v="0"/>
    <n v="0"/>
    <n v="0"/>
    <x v="0"/>
  </r>
  <r>
    <x v="968"/>
    <x v="305"/>
    <x v="11"/>
    <x v="11"/>
    <x v="3"/>
    <x v="1"/>
    <s v="M0033"/>
    <x v="0"/>
    <x v="0"/>
    <x v="4"/>
    <s v="Observación de posibles daños"/>
    <x v="1"/>
    <s v="15 Quincenal"/>
    <d v="2023-12-01T00:00:00"/>
    <d v="2023-12-16T00:00:00"/>
    <x v="1"/>
    <x v="0"/>
    <n v="233"/>
    <n v="949"/>
    <x v="1"/>
  </r>
  <r>
    <x v="969"/>
    <x v="305"/>
    <x v="11"/>
    <x v="11"/>
    <x v="3"/>
    <x v="1"/>
    <s v="M0014"/>
    <x v="19"/>
    <x v="2"/>
    <x v="17"/>
    <s v="Inspección y/o reemplazo de boquillas"/>
    <x v="0"/>
    <n v="0"/>
    <d v="2023-12-01T00:00:00"/>
    <d v="2023-12-03T00:00:00"/>
    <x v="0"/>
    <x v="0"/>
    <n v="0"/>
    <n v="0"/>
    <x v="0"/>
  </r>
  <r>
    <x v="970"/>
    <x v="306"/>
    <x v="11"/>
    <x v="11"/>
    <x v="3"/>
    <x v="1"/>
    <s v="M0003"/>
    <x v="22"/>
    <x v="2"/>
    <x v="20"/>
    <s v="Inspección y/o reemplazo de tubos de contacto"/>
    <x v="0"/>
    <n v="0"/>
    <d v="2023-12-02T00:00:00"/>
    <d v="2023-12-15T00:00:00"/>
    <x v="2"/>
    <x v="29"/>
    <n v="878"/>
    <n v="618"/>
    <x v="3"/>
  </r>
  <r>
    <x v="971"/>
    <x v="306"/>
    <x v="11"/>
    <x v="11"/>
    <x v="3"/>
    <x v="1"/>
    <s v="M0006"/>
    <x v="32"/>
    <x v="0"/>
    <x v="4"/>
    <s v="Inspección y/o reemplazo de toderas"/>
    <x v="0"/>
    <n v="0"/>
    <d v="2023-12-02T00:00:00"/>
    <d v="2023-12-21T00:00:00"/>
    <x v="2"/>
    <x v="27"/>
    <n v="896"/>
    <n v="165"/>
    <x v="1"/>
  </r>
  <r>
    <x v="972"/>
    <x v="306"/>
    <x v="11"/>
    <x v="11"/>
    <x v="3"/>
    <x v="1"/>
    <s v="M0036"/>
    <x v="27"/>
    <x v="0"/>
    <x v="15"/>
    <s v="Observación de posibles daños"/>
    <x v="1"/>
    <s v="15 Quincenal"/>
    <d v="2023-12-02T00:00:00"/>
    <d v="2023-12-17T00:00:00"/>
    <x v="1"/>
    <x v="0"/>
    <n v="1087"/>
    <n v="714"/>
    <x v="1"/>
  </r>
  <r>
    <x v="973"/>
    <x v="306"/>
    <x v="11"/>
    <x v="11"/>
    <x v="3"/>
    <x v="1"/>
    <s v="M0032"/>
    <x v="14"/>
    <x v="0"/>
    <x v="8"/>
    <s v="Inspección de tuberías "/>
    <x v="0"/>
    <n v="0"/>
    <d v="2023-12-02T00:00:00"/>
    <d v="2023-12-26T00:00:00"/>
    <x v="0"/>
    <x v="0"/>
    <n v="0"/>
    <n v="0"/>
    <x v="0"/>
  </r>
  <r>
    <x v="974"/>
    <x v="306"/>
    <x v="11"/>
    <x v="11"/>
    <x v="3"/>
    <x v="1"/>
    <s v="M0021"/>
    <x v="9"/>
    <x v="0"/>
    <x v="9"/>
    <s v="Inspección de mangeras"/>
    <x v="0"/>
    <n v="0"/>
    <d v="2023-12-02T00:00:00"/>
    <d v="2023-12-04T00:00:00"/>
    <x v="0"/>
    <x v="0"/>
    <n v="0"/>
    <n v="0"/>
    <x v="0"/>
  </r>
  <r>
    <x v="975"/>
    <x v="307"/>
    <x v="11"/>
    <x v="11"/>
    <x v="3"/>
    <x v="1"/>
    <s v="M0039"/>
    <x v="5"/>
    <x v="0"/>
    <x v="3"/>
    <s v="Inspección y/o reemplazado de filtros de aire"/>
    <x v="0"/>
    <n v="0"/>
    <d v="2023-12-03T00:00:00"/>
    <d v="2023-12-31T00:00:00"/>
    <x v="0"/>
    <x v="0"/>
    <n v="0"/>
    <n v="0"/>
    <x v="0"/>
  </r>
  <r>
    <x v="976"/>
    <x v="308"/>
    <x v="11"/>
    <x v="11"/>
    <x v="3"/>
    <x v="1"/>
    <s v="M0010"/>
    <x v="37"/>
    <x v="0"/>
    <x v="1"/>
    <s v="Observación de posibles daños"/>
    <x v="1"/>
    <s v="15 Quincenal"/>
    <d v="2023-12-04T00:00:00"/>
    <d v="2023-12-19T00:00:00"/>
    <x v="1"/>
    <x v="0"/>
    <n v="1119"/>
    <n v="137"/>
    <x v="1"/>
  </r>
  <r>
    <x v="977"/>
    <x v="309"/>
    <x v="11"/>
    <x v="11"/>
    <x v="3"/>
    <x v="1"/>
    <s v="M0037"/>
    <x v="1"/>
    <x v="0"/>
    <x v="1"/>
    <s v="Inspección de Frenos"/>
    <x v="0"/>
    <n v="0"/>
    <d v="2023-12-05T00:00:00"/>
    <d v="2023-12-08T00:00:00"/>
    <x v="0"/>
    <x v="0"/>
    <n v="0"/>
    <n v="0"/>
    <x v="0"/>
  </r>
  <r>
    <x v="978"/>
    <x v="309"/>
    <x v="11"/>
    <x v="11"/>
    <x v="3"/>
    <x v="1"/>
    <s v="M0017"/>
    <x v="20"/>
    <x v="0"/>
    <x v="18"/>
    <s v="Mantenimiento general"/>
    <x v="0"/>
    <n v="0"/>
    <d v="2023-12-05T00:00:00"/>
    <d v="2023-12-16T00:00:00"/>
    <x v="0"/>
    <x v="0"/>
    <n v="0"/>
    <n v="0"/>
    <x v="0"/>
  </r>
  <r>
    <x v="979"/>
    <x v="309"/>
    <x v="11"/>
    <x v="11"/>
    <x v="3"/>
    <x v="1"/>
    <s v="M0039"/>
    <x v="5"/>
    <x v="0"/>
    <x v="3"/>
    <s v="Inspección de gases"/>
    <x v="0"/>
    <n v="0"/>
    <d v="2023-12-05T00:00:00"/>
    <d v="2024-01-02T00:00:00"/>
    <x v="0"/>
    <x v="0"/>
    <n v="0"/>
    <n v="0"/>
    <x v="0"/>
  </r>
  <r>
    <x v="980"/>
    <x v="309"/>
    <x v="11"/>
    <x v="11"/>
    <x v="3"/>
    <x v="1"/>
    <s v="M0041"/>
    <x v="28"/>
    <x v="0"/>
    <x v="17"/>
    <s v="Inspección y/o reemplazado de escobillas"/>
    <x v="0"/>
    <n v="0"/>
    <d v="2023-12-05T00:00:00"/>
    <d v="2023-12-08T00:00:00"/>
    <x v="2"/>
    <x v="11"/>
    <n v="277"/>
    <n v="943"/>
    <x v="2"/>
  </r>
  <r>
    <x v="981"/>
    <x v="309"/>
    <x v="11"/>
    <x v="11"/>
    <x v="3"/>
    <x v="1"/>
    <s v="M0006"/>
    <x v="32"/>
    <x v="0"/>
    <x v="4"/>
    <s v="Inspección y/o reemplazado de cuchillas"/>
    <x v="0"/>
    <n v="0"/>
    <d v="2023-12-05T00:00:00"/>
    <d v="2023-12-11T00:00:00"/>
    <x v="2"/>
    <x v="12"/>
    <n v="705"/>
    <n v="978"/>
    <x v="4"/>
  </r>
  <r>
    <x v="982"/>
    <x v="310"/>
    <x v="11"/>
    <x v="11"/>
    <x v="3"/>
    <x v="1"/>
    <s v="M0039"/>
    <x v="5"/>
    <x v="0"/>
    <x v="3"/>
    <s v="Observación de posibles daños"/>
    <x v="1"/>
    <s v="60 Bimestral"/>
    <d v="2023-12-06T00:00:00"/>
    <d v="2024-02-04T00:00:00"/>
    <x v="1"/>
    <x v="0"/>
    <n v="514"/>
    <n v="355"/>
    <x v="1"/>
  </r>
  <r>
    <x v="983"/>
    <x v="310"/>
    <x v="11"/>
    <x v="11"/>
    <x v="3"/>
    <x v="1"/>
    <s v="M0013"/>
    <x v="15"/>
    <x v="0"/>
    <x v="14"/>
    <s v="Revisión de válvulas"/>
    <x v="0"/>
    <n v="0"/>
    <d v="2023-12-06T00:00:00"/>
    <d v="2024-01-01T00:00:00"/>
    <x v="0"/>
    <x v="0"/>
    <n v="0"/>
    <n v="0"/>
    <x v="0"/>
  </r>
  <r>
    <x v="984"/>
    <x v="311"/>
    <x v="11"/>
    <x v="11"/>
    <x v="3"/>
    <x v="1"/>
    <s v="M0022"/>
    <x v="24"/>
    <x v="0"/>
    <x v="22"/>
    <s v="Observación de posibles daños"/>
    <x v="1"/>
    <s v="360 Anual"/>
    <d v="2023-12-07T00:00:00"/>
    <d v="2024-12-01T00:00:00"/>
    <x v="1"/>
    <x v="0"/>
    <n v="1101"/>
    <n v="372"/>
    <x v="1"/>
  </r>
  <r>
    <x v="985"/>
    <x v="311"/>
    <x v="11"/>
    <x v="11"/>
    <x v="3"/>
    <x v="1"/>
    <s v="M0028"/>
    <x v="29"/>
    <x v="0"/>
    <x v="25"/>
    <s v="Limpieza y ajuste de terminales de baterías"/>
    <x v="0"/>
    <n v="0"/>
    <d v="2023-12-07T00:00:00"/>
    <d v="2023-12-29T00:00:00"/>
    <x v="0"/>
    <x v="0"/>
    <n v="0"/>
    <n v="0"/>
    <x v="0"/>
  </r>
  <r>
    <x v="986"/>
    <x v="311"/>
    <x v="11"/>
    <x v="11"/>
    <x v="3"/>
    <x v="1"/>
    <s v="M0025"/>
    <x v="25"/>
    <x v="2"/>
    <x v="23"/>
    <s v="Verificación del sistema de enfriado"/>
    <x v="0"/>
    <n v="0"/>
    <d v="2023-12-07T00:00:00"/>
    <d v="2023-12-13T00:00:00"/>
    <x v="2"/>
    <x v="12"/>
    <n v="792"/>
    <n v="117"/>
    <x v="4"/>
  </r>
  <r>
    <x v="987"/>
    <x v="312"/>
    <x v="11"/>
    <x v="11"/>
    <x v="3"/>
    <x v="1"/>
    <s v="M0022"/>
    <x v="24"/>
    <x v="0"/>
    <x v="22"/>
    <s v="Limpieza de ventilador"/>
    <x v="0"/>
    <n v="0"/>
    <d v="2023-12-08T00:00:00"/>
    <d v="2024-01-05T00:00:00"/>
    <x v="2"/>
    <x v="3"/>
    <n v="1008"/>
    <n v="422"/>
    <x v="4"/>
  </r>
  <r>
    <x v="988"/>
    <x v="312"/>
    <x v="11"/>
    <x v="11"/>
    <x v="3"/>
    <x v="1"/>
    <s v="M0002"/>
    <x v="16"/>
    <x v="0"/>
    <x v="12"/>
    <s v="Observación de posibles daños"/>
    <x v="1"/>
    <s v="7 Semanal"/>
    <d v="2023-12-08T00:00:00"/>
    <d v="2023-12-15T00:00:00"/>
    <x v="1"/>
    <x v="0"/>
    <n v="1026"/>
    <n v="705"/>
    <x v="1"/>
  </r>
  <r>
    <x v="989"/>
    <x v="313"/>
    <x v="11"/>
    <x v="11"/>
    <x v="3"/>
    <x v="1"/>
    <s v="M0017"/>
    <x v="20"/>
    <x v="0"/>
    <x v="18"/>
    <s v="Inspección de engranes"/>
    <x v="0"/>
    <n v="0"/>
    <d v="2023-12-09T00:00:00"/>
    <d v="2023-12-29T00:00:00"/>
    <x v="2"/>
    <x v="26"/>
    <n v="280"/>
    <n v="398"/>
    <x v="3"/>
  </r>
  <r>
    <x v="990"/>
    <x v="313"/>
    <x v="11"/>
    <x v="11"/>
    <x v="3"/>
    <x v="1"/>
    <s v="M0006"/>
    <x v="32"/>
    <x v="0"/>
    <x v="4"/>
    <s v="Observación de posibles daños"/>
    <x v="1"/>
    <s v="30 Mensual"/>
    <d v="2023-12-09T00:00:00"/>
    <d v="2024-01-08T00:00:00"/>
    <x v="1"/>
    <x v="0"/>
    <n v="836"/>
    <n v="518"/>
    <x v="1"/>
  </r>
  <r>
    <x v="991"/>
    <x v="313"/>
    <x v="11"/>
    <x v="11"/>
    <x v="3"/>
    <x v="1"/>
    <s v="M0024"/>
    <x v="21"/>
    <x v="2"/>
    <x v="19"/>
    <s v="Observación de posibles daños"/>
    <x v="0"/>
    <n v="0"/>
    <d v="2023-12-09T00:00:00"/>
    <d v="2024-01-01T00:00:00"/>
    <x v="2"/>
    <x v="10"/>
    <n v="1097"/>
    <n v="848"/>
    <x v="4"/>
  </r>
  <r>
    <x v="992"/>
    <x v="313"/>
    <x v="11"/>
    <x v="11"/>
    <x v="3"/>
    <x v="1"/>
    <s v="M0030"/>
    <x v="35"/>
    <x v="0"/>
    <x v="20"/>
    <s v="Inspección y/o reemplazo de boquillas"/>
    <x v="0"/>
    <n v="0"/>
    <d v="2023-12-09T00:00:00"/>
    <d v="2024-01-08T00:00:00"/>
    <x v="0"/>
    <x v="0"/>
    <n v="0"/>
    <n v="0"/>
    <x v="0"/>
  </r>
  <r>
    <x v="993"/>
    <x v="313"/>
    <x v="11"/>
    <x v="11"/>
    <x v="3"/>
    <x v="1"/>
    <s v="M0010"/>
    <x v="37"/>
    <x v="0"/>
    <x v="1"/>
    <s v="Inspección y/o reemplazo de tubos de contacto"/>
    <x v="0"/>
    <n v="0"/>
    <d v="2023-12-09T00:00:00"/>
    <d v="2024-01-01T00:00:00"/>
    <x v="0"/>
    <x v="0"/>
    <n v="0"/>
    <n v="0"/>
    <x v="0"/>
  </r>
  <r>
    <x v="994"/>
    <x v="313"/>
    <x v="11"/>
    <x v="11"/>
    <x v="3"/>
    <x v="1"/>
    <s v="M0024"/>
    <x v="21"/>
    <x v="2"/>
    <x v="19"/>
    <s v="Inspección y/o reemplazo de toderas"/>
    <x v="0"/>
    <n v="0"/>
    <d v="2023-12-09T00:00:00"/>
    <d v="2023-12-28T00:00:00"/>
    <x v="0"/>
    <x v="0"/>
    <n v="0"/>
    <n v="0"/>
    <x v="0"/>
  </r>
  <r>
    <x v="995"/>
    <x v="314"/>
    <x v="11"/>
    <x v="11"/>
    <x v="3"/>
    <x v="1"/>
    <s v="M0032"/>
    <x v="14"/>
    <x v="0"/>
    <x v="8"/>
    <s v="Ajuste general de máquinas"/>
    <x v="0"/>
    <n v="0"/>
    <d v="2023-12-10T00:00:00"/>
    <d v="2024-01-07T00:00:00"/>
    <x v="2"/>
    <x v="3"/>
    <n v="582"/>
    <n v="304"/>
    <x v="4"/>
  </r>
  <r>
    <x v="996"/>
    <x v="314"/>
    <x v="11"/>
    <x v="11"/>
    <x v="3"/>
    <x v="1"/>
    <s v="M0014"/>
    <x v="19"/>
    <x v="2"/>
    <x v="17"/>
    <s v="Observación de posibles daños"/>
    <x v="1"/>
    <s v="360 Anual"/>
    <d v="2023-12-10T00:00:00"/>
    <d v="2024-12-04T00:00:00"/>
    <x v="1"/>
    <x v="0"/>
    <n v="1089"/>
    <n v="111"/>
    <x v="1"/>
  </r>
  <r>
    <x v="997"/>
    <x v="314"/>
    <x v="11"/>
    <x v="11"/>
    <x v="3"/>
    <x v="1"/>
    <s v="M0030"/>
    <x v="35"/>
    <x v="0"/>
    <x v="20"/>
    <s v="Inspección de mangeras"/>
    <x v="0"/>
    <n v="0"/>
    <d v="2023-12-10T00:00:00"/>
    <d v="2023-12-17T00:00:00"/>
    <x v="2"/>
    <x v="4"/>
    <n v="1039"/>
    <n v="206"/>
    <x v="1"/>
  </r>
  <r>
    <x v="998"/>
    <x v="315"/>
    <x v="11"/>
    <x v="11"/>
    <x v="3"/>
    <x v="1"/>
    <s v="M0016"/>
    <x v="31"/>
    <x v="0"/>
    <x v="21"/>
    <s v="Observación de posibles daños"/>
    <x v="1"/>
    <s v="30 Mensual"/>
    <d v="2023-12-11T00:00:00"/>
    <d v="2024-01-10T00:00:00"/>
    <x v="1"/>
    <x v="0"/>
    <n v="290"/>
    <n v="565"/>
    <x v="1"/>
  </r>
  <r>
    <x v="999"/>
    <x v="315"/>
    <x v="11"/>
    <x v="11"/>
    <x v="3"/>
    <x v="1"/>
    <s v="M0043"/>
    <x v="23"/>
    <x v="3"/>
    <x v="21"/>
    <s v="Inspección y/o reemplazado de filtros de aceite"/>
    <x v="0"/>
    <n v="0"/>
    <d v="2023-12-11T00:00:00"/>
    <d v="2023-12-22T00:00:00"/>
    <x v="0"/>
    <x v="0"/>
    <n v="0"/>
    <n v="0"/>
    <x v="0"/>
  </r>
  <r>
    <x v="1000"/>
    <x v="315"/>
    <x v="11"/>
    <x v="11"/>
    <x v="3"/>
    <x v="1"/>
    <s v="M0012"/>
    <x v="3"/>
    <x v="0"/>
    <x v="3"/>
    <s v="Observación de posibles daños"/>
    <x v="1"/>
    <s v="7 Semanal"/>
    <d v="2023-12-11T00:00:00"/>
    <d v="2023-12-18T00:00:00"/>
    <x v="1"/>
    <x v="0"/>
    <n v="1123"/>
    <n v="888"/>
    <x v="1"/>
  </r>
  <r>
    <x v="1001"/>
    <x v="315"/>
    <x v="11"/>
    <x v="11"/>
    <x v="3"/>
    <x v="1"/>
    <s v="M0035"/>
    <x v="34"/>
    <x v="0"/>
    <x v="24"/>
    <s v="Mantenimiento general"/>
    <x v="0"/>
    <n v="0"/>
    <d v="2023-12-11T00:00:00"/>
    <d v="2023-12-30T00:00:00"/>
    <x v="0"/>
    <x v="0"/>
    <n v="0"/>
    <n v="0"/>
    <x v="0"/>
  </r>
  <r>
    <x v="1002"/>
    <x v="316"/>
    <x v="11"/>
    <x v="11"/>
    <x v="3"/>
    <x v="1"/>
    <s v="M0016"/>
    <x v="31"/>
    <x v="0"/>
    <x v="21"/>
    <s v="Observación de posibles daños"/>
    <x v="1"/>
    <s v="180 Semestral"/>
    <d v="2023-12-12T00:00:00"/>
    <d v="2024-06-09T00:00:00"/>
    <x v="1"/>
    <x v="0"/>
    <n v="495"/>
    <n v="940"/>
    <x v="1"/>
  </r>
  <r>
    <x v="1003"/>
    <x v="317"/>
    <x v="11"/>
    <x v="11"/>
    <x v="3"/>
    <x v="1"/>
    <s v="M0009"/>
    <x v="17"/>
    <x v="0"/>
    <x v="15"/>
    <s v="Inspección y/o reemplazado de escobillas"/>
    <x v="0"/>
    <n v="0"/>
    <d v="2023-12-13T00:00:00"/>
    <d v="2024-01-10T00:00:00"/>
    <x v="2"/>
    <x v="3"/>
    <n v="738"/>
    <n v="210"/>
    <x v="3"/>
  </r>
  <r>
    <x v="1004"/>
    <x v="317"/>
    <x v="11"/>
    <x v="11"/>
    <x v="3"/>
    <x v="1"/>
    <s v="M0018"/>
    <x v="0"/>
    <x v="0"/>
    <x v="0"/>
    <s v="Inspección y/o reemplazado de cuchillas"/>
    <x v="0"/>
    <n v="0"/>
    <d v="2023-12-13T00:00:00"/>
    <d v="2024-01-02T00:00:00"/>
    <x v="2"/>
    <x v="26"/>
    <n v="376"/>
    <n v="933"/>
    <x v="3"/>
  </r>
  <r>
    <x v="1005"/>
    <x v="317"/>
    <x v="11"/>
    <x v="11"/>
    <x v="3"/>
    <x v="1"/>
    <s v="M0010"/>
    <x v="37"/>
    <x v="0"/>
    <x v="1"/>
    <s v="Inspección de nivel de com¿bustible"/>
    <x v="0"/>
    <n v="0"/>
    <d v="2023-12-13T00:00:00"/>
    <d v="2023-12-28T00:00:00"/>
    <x v="0"/>
    <x v="0"/>
    <n v="0"/>
    <n v="0"/>
    <x v="0"/>
  </r>
  <r>
    <x v="1006"/>
    <x v="318"/>
    <x v="11"/>
    <x v="11"/>
    <x v="3"/>
    <x v="1"/>
    <s v="M0025"/>
    <x v="25"/>
    <x v="2"/>
    <x v="23"/>
    <s v="Observación de posibles daños"/>
    <x v="1"/>
    <s v="7 Semanal"/>
    <d v="2023-12-14T00:00:00"/>
    <d v="2023-12-21T00:00:00"/>
    <x v="1"/>
    <x v="0"/>
    <n v="255"/>
    <n v="623"/>
    <x v="1"/>
  </r>
  <r>
    <x v="1007"/>
    <x v="318"/>
    <x v="11"/>
    <x v="11"/>
    <x v="3"/>
    <x v="1"/>
    <s v="M0040"/>
    <x v="41"/>
    <x v="0"/>
    <x v="14"/>
    <s v="Limpieza y ajuste de inyectores"/>
    <x v="0"/>
    <n v="0"/>
    <d v="2023-12-14T00:00:00"/>
    <d v="2023-12-16T00:00:00"/>
    <x v="0"/>
    <x v="0"/>
    <n v="0"/>
    <n v="0"/>
    <x v="0"/>
  </r>
  <r>
    <x v="1008"/>
    <x v="318"/>
    <x v="11"/>
    <x v="11"/>
    <x v="3"/>
    <x v="1"/>
    <s v="M0004"/>
    <x v="40"/>
    <x v="2"/>
    <x v="7"/>
    <s v="Observación de posibles daños"/>
    <x v="1"/>
    <s v="90 Trimestral"/>
    <d v="2023-12-14T00:00:00"/>
    <d v="2024-03-13T00:00:00"/>
    <x v="1"/>
    <x v="0"/>
    <n v="679"/>
    <n v="495"/>
    <x v="1"/>
  </r>
  <r>
    <x v="1009"/>
    <x v="318"/>
    <x v="11"/>
    <x v="11"/>
    <x v="3"/>
    <x v="1"/>
    <s v="M0038"/>
    <x v="30"/>
    <x v="0"/>
    <x v="26"/>
    <s v="Verificación del sistema de enfriado"/>
    <x v="0"/>
    <n v="0"/>
    <d v="2023-12-14T00:00:00"/>
    <d v="2024-01-08T00:00:00"/>
    <x v="0"/>
    <x v="0"/>
    <n v="0"/>
    <n v="0"/>
    <x v="0"/>
  </r>
  <r>
    <x v="1010"/>
    <x v="318"/>
    <x v="11"/>
    <x v="11"/>
    <x v="3"/>
    <x v="1"/>
    <s v="M0011"/>
    <x v="36"/>
    <x v="0"/>
    <x v="26"/>
    <s v="Observación de posibles daños"/>
    <x v="1"/>
    <s v="30 Mensual"/>
    <d v="2023-12-14T00:00:00"/>
    <d v="2024-01-13T00:00:00"/>
    <x v="1"/>
    <x v="0"/>
    <n v="494"/>
    <n v="195"/>
    <x v="1"/>
  </r>
  <r>
    <x v="1011"/>
    <x v="318"/>
    <x v="11"/>
    <x v="11"/>
    <x v="3"/>
    <x v="1"/>
    <s v="M0042"/>
    <x v="10"/>
    <x v="2"/>
    <x v="10"/>
    <s v="Limpieza general"/>
    <x v="0"/>
    <n v="0"/>
    <d v="2023-12-14T00:00:00"/>
    <d v="2023-12-15T00:00:00"/>
    <x v="2"/>
    <x v="15"/>
    <n v="346"/>
    <n v="304"/>
    <x v="1"/>
  </r>
  <r>
    <x v="1012"/>
    <x v="319"/>
    <x v="11"/>
    <x v="11"/>
    <x v="3"/>
    <x v="1"/>
    <s v="M0027"/>
    <x v="6"/>
    <x v="2"/>
    <x v="6"/>
    <s v="Inspección de engranes"/>
    <x v="0"/>
    <n v="0"/>
    <d v="2023-12-15T00:00:00"/>
    <d v="2023-12-30T00:00:00"/>
    <x v="0"/>
    <x v="0"/>
    <n v="0"/>
    <n v="0"/>
    <x v="0"/>
  </r>
  <r>
    <x v="1013"/>
    <x v="320"/>
    <x v="11"/>
    <x v="11"/>
    <x v="3"/>
    <x v="1"/>
    <s v="M0002"/>
    <x v="16"/>
    <x v="0"/>
    <x v="12"/>
    <s v="Revisió Ajuste y/o de bandas, correas y poleas"/>
    <x v="0"/>
    <n v="0"/>
    <d v="2023-12-16T00:00:00"/>
    <d v="2023-12-29T00:00:00"/>
    <x v="0"/>
    <x v="0"/>
    <n v="0"/>
    <n v="0"/>
    <x v="0"/>
  </r>
  <r>
    <x v="1014"/>
    <x v="321"/>
    <x v="11"/>
    <x v="11"/>
    <x v="3"/>
    <x v="1"/>
    <s v="M0041"/>
    <x v="28"/>
    <x v="0"/>
    <x v="17"/>
    <s v="Observación de posibles daños"/>
    <x v="1"/>
    <s v="7 Semanal"/>
    <d v="2023-12-18T00:00:00"/>
    <d v="2023-12-25T00:00:00"/>
    <x v="1"/>
    <x v="0"/>
    <n v="1110"/>
    <n v="700"/>
    <x v="1"/>
  </r>
  <r>
    <x v="1015"/>
    <x v="322"/>
    <x v="11"/>
    <x v="11"/>
    <x v="3"/>
    <x v="1"/>
    <s v="M0014"/>
    <x v="19"/>
    <x v="2"/>
    <x v="17"/>
    <s v="Inspección y/o reemplazo de boquillas"/>
    <x v="0"/>
    <n v="0"/>
    <d v="2023-12-20T00:00:00"/>
    <d v="2023-12-23T00:00:00"/>
    <x v="0"/>
    <x v="0"/>
    <n v="0"/>
    <n v="0"/>
    <x v="0"/>
  </r>
  <r>
    <x v="1016"/>
    <x v="322"/>
    <x v="11"/>
    <x v="11"/>
    <x v="3"/>
    <x v="1"/>
    <s v="M0039"/>
    <x v="5"/>
    <x v="0"/>
    <x v="3"/>
    <s v="Observación de posibles daños"/>
    <x v="1"/>
    <s v="360 Anual"/>
    <d v="2023-12-20T00:00:00"/>
    <d v="2024-12-14T00:00:00"/>
    <x v="1"/>
    <x v="0"/>
    <n v="405"/>
    <n v="124"/>
    <x v="1"/>
  </r>
  <r>
    <x v="1017"/>
    <x v="322"/>
    <x v="11"/>
    <x v="11"/>
    <x v="3"/>
    <x v="1"/>
    <s v="M0038"/>
    <x v="30"/>
    <x v="0"/>
    <x v="26"/>
    <s v="Inspección y/o reemplazo de toderas"/>
    <x v="0"/>
    <n v="0"/>
    <d v="2023-12-20T00:00:00"/>
    <d v="2023-12-21T00:00:00"/>
    <x v="2"/>
    <x v="15"/>
    <n v="863"/>
    <n v="901"/>
    <x v="1"/>
  </r>
  <r>
    <x v="1018"/>
    <x v="322"/>
    <x v="11"/>
    <x v="11"/>
    <x v="3"/>
    <x v="1"/>
    <s v="M0004"/>
    <x v="40"/>
    <x v="2"/>
    <x v="7"/>
    <s v="Ajuste general de máquinas"/>
    <x v="0"/>
    <n v="0"/>
    <d v="2023-12-20T00:00:00"/>
    <d v="2024-01-09T00:00:00"/>
    <x v="2"/>
    <x v="26"/>
    <n v="659"/>
    <n v="960"/>
    <x v="1"/>
  </r>
  <r>
    <x v="1019"/>
    <x v="323"/>
    <x v="11"/>
    <x v="11"/>
    <x v="3"/>
    <x v="1"/>
    <s v="M0005"/>
    <x v="8"/>
    <x v="0"/>
    <x v="8"/>
    <s v="Inspección de tuberías "/>
    <x v="0"/>
    <n v="0"/>
    <d v="2023-12-21T00:00:00"/>
    <d v="2024-01-11T00:00:00"/>
    <x v="0"/>
    <x v="0"/>
    <n v="0"/>
    <n v="0"/>
    <x v="0"/>
  </r>
  <r>
    <x v="1020"/>
    <x v="323"/>
    <x v="11"/>
    <x v="11"/>
    <x v="3"/>
    <x v="1"/>
    <s v="M0003"/>
    <x v="22"/>
    <x v="2"/>
    <x v="20"/>
    <s v="Observación de posibles daños"/>
    <x v="1"/>
    <s v="90 Trimestral"/>
    <d v="2023-12-21T00:00:00"/>
    <d v="2024-03-20T00:00:00"/>
    <x v="1"/>
    <x v="0"/>
    <n v="268"/>
    <n v="733"/>
    <x v="1"/>
  </r>
  <r>
    <x v="1021"/>
    <x v="323"/>
    <x v="11"/>
    <x v="11"/>
    <x v="3"/>
    <x v="1"/>
    <s v="M0038"/>
    <x v="30"/>
    <x v="0"/>
    <x v="26"/>
    <s v="Inspección y/o reemplazado de filtros de aire"/>
    <x v="0"/>
    <n v="0"/>
    <d v="2023-12-21T00:00:00"/>
    <d v="2023-12-23T00:00:00"/>
    <x v="0"/>
    <x v="0"/>
    <n v="0"/>
    <n v="0"/>
    <x v="0"/>
  </r>
  <r>
    <x v="1022"/>
    <x v="323"/>
    <x v="11"/>
    <x v="11"/>
    <x v="3"/>
    <x v="1"/>
    <s v="M0017"/>
    <x v="20"/>
    <x v="0"/>
    <x v="18"/>
    <s v="Inspección y/o reemplazado de filtros de aceite"/>
    <x v="0"/>
    <n v="0"/>
    <d v="2023-12-21T00:00:00"/>
    <d v="2023-12-23T00:00:00"/>
    <x v="2"/>
    <x v="16"/>
    <n v="533"/>
    <n v="767"/>
    <x v="4"/>
  </r>
  <r>
    <x v="1023"/>
    <x v="323"/>
    <x v="11"/>
    <x v="11"/>
    <x v="3"/>
    <x v="1"/>
    <s v="M0041"/>
    <x v="28"/>
    <x v="0"/>
    <x v="17"/>
    <s v="Inspección de Frenos"/>
    <x v="0"/>
    <n v="0"/>
    <d v="2023-12-21T00:00:00"/>
    <d v="2024-01-09T00:00:00"/>
    <x v="0"/>
    <x v="0"/>
    <n v="0"/>
    <n v="0"/>
    <x v="0"/>
  </r>
  <r>
    <x v="1024"/>
    <x v="323"/>
    <x v="11"/>
    <x v="11"/>
    <x v="3"/>
    <x v="1"/>
    <s v="M0036"/>
    <x v="27"/>
    <x v="0"/>
    <x v="15"/>
    <s v="Mantenimiento general"/>
    <x v="0"/>
    <n v="0"/>
    <d v="2023-12-21T00:00:00"/>
    <d v="2024-01-18T00:00:00"/>
    <x v="2"/>
    <x v="3"/>
    <n v="1061"/>
    <n v="700"/>
    <x v="1"/>
  </r>
  <r>
    <x v="1025"/>
    <x v="323"/>
    <x v="11"/>
    <x v="11"/>
    <x v="3"/>
    <x v="1"/>
    <s v="M0038"/>
    <x v="30"/>
    <x v="0"/>
    <x v="26"/>
    <s v="Inspección de gases"/>
    <x v="0"/>
    <n v="0"/>
    <d v="2023-12-21T00:00:00"/>
    <d v="2024-01-20T00:00:00"/>
    <x v="2"/>
    <x v="23"/>
    <n v="1176"/>
    <n v="588"/>
    <x v="3"/>
  </r>
  <r>
    <x v="1026"/>
    <x v="324"/>
    <x v="11"/>
    <x v="11"/>
    <x v="3"/>
    <x v="1"/>
    <s v="M0015"/>
    <x v="33"/>
    <x v="4"/>
    <x v="10"/>
    <s v="Inspección y/o reemplazado de escobillas"/>
    <x v="0"/>
    <n v="0"/>
    <d v="2023-12-22T00:00:00"/>
    <d v="2024-01-18T00:00:00"/>
    <x v="2"/>
    <x v="19"/>
    <n v="658"/>
    <n v="940"/>
    <x v="4"/>
  </r>
  <r>
    <x v="1027"/>
    <x v="325"/>
    <x v="11"/>
    <x v="11"/>
    <x v="3"/>
    <x v="1"/>
    <s v="M0039"/>
    <x v="5"/>
    <x v="0"/>
    <x v="3"/>
    <s v="Inspección y/o reemplazado de cuchillas"/>
    <x v="0"/>
    <n v="0"/>
    <d v="2023-12-23T00:00:00"/>
    <d v="2024-01-12T00:00:00"/>
    <x v="2"/>
    <x v="26"/>
    <n v="1035"/>
    <n v="714"/>
    <x v="4"/>
  </r>
  <r>
    <x v="1028"/>
    <x v="325"/>
    <x v="11"/>
    <x v="11"/>
    <x v="3"/>
    <x v="1"/>
    <s v="M0038"/>
    <x v="30"/>
    <x v="0"/>
    <x v="26"/>
    <s v="Observación de posibles daños"/>
    <x v="1"/>
    <s v="15 Quincenal"/>
    <d v="2023-12-23T00:00:00"/>
    <d v="2024-01-07T00:00:00"/>
    <x v="1"/>
    <x v="0"/>
    <n v="481"/>
    <n v="422"/>
    <x v="1"/>
  </r>
  <r>
    <x v="1029"/>
    <x v="326"/>
    <x v="11"/>
    <x v="11"/>
    <x v="3"/>
    <x v="1"/>
    <s v="M0018"/>
    <x v="0"/>
    <x v="0"/>
    <x v="0"/>
    <s v="Revisión de válvulas"/>
    <x v="0"/>
    <n v="0"/>
    <d v="2023-12-24T00:00:00"/>
    <d v="2024-01-04T00:00:00"/>
    <x v="0"/>
    <x v="0"/>
    <n v="0"/>
    <n v="0"/>
    <x v="0"/>
  </r>
  <r>
    <x v="1030"/>
    <x v="326"/>
    <x v="11"/>
    <x v="11"/>
    <x v="3"/>
    <x v="1"/>
    <s v="M0028"/>
    <x v="29"/>
    <x v="0"/>
    <x v="25"/>
    <s v="Observación de posibles daños"/>
    <x v="1"/>
    <s v="7 Semanal"/>
    <d v="2023-12-24T00:00:00"/>
    <d v="2023-12-31T00:00:00"/>
    <x v="1"/>
    <x v="0"/>
    <n v="351"/>
    <n v="217"/>
    <x v="1"/>
  </r>
  <r>
    <x v="1031"/>
    <x v="326"/>
    <x v="11"/>
    <x v="11"/>
    <x v="3"/>
    <x v="1"/>
    <s v="M0035"/>
    <x v="34"/>
    <x v="0"/>
    <x v="24"/>
    <s v="Limpieza y ajuste de terminales de baterías"/>
    <x v="0"/>
    <n v="0"/>
    <d v="2023-12-24T00:00:00"/>
    <d v="2023-12-25T00:00:00"/>
    <x v="2"/>
    <x v="15"/>
    <n v="655"/>
    <n v="927"/>
    <x v="4"/>
  </r>
  <r>
    <x v="1032"/>
    <x v="326"/>
    <x v="11"/>
    <x v="11"/>
    <x v="3"/>
    <x v="1"/>
    <s v="M0009"/>
    <x v="17"/>
    <x v="0"/>
    <x v="15"/>
    <s v="Observación de posibles daños"/>
    <x v="1"/>
    <s v="90 Trimestral"/>
    <d v="2023-12-24T00:00:00"/>
    <d v="2024-03-23T00:00:00"/>
    <x v="1"/>
    <x v="0"/>
    <n v="217"/>
    <n v="862"/>
    <x v="1"/>
  </r>
  <r>
    <x v="1033"/>
    <x v="326"/>
    <x v="11"/>
    <x v="11"/>
    <x v="3"/>
    <x v="1"/>
    <s v="M0001"/>
    <x v="38"/>
    <x v="0"/>
    <x v="25"/>
    <s v="Limpieza de ventilador"/>
    <x v="0"/>
    <n v="0"/>
    <d v="2023-12-24T00:00:00"/>
    <d v="2024-01-03T00:00:00"/>
    <x v="2"/>
    <x v="30"/>
    <n v="875"/>
    <n v="404"/>
    <x v="4"/>
  </r>
  <r>
    <x v="1034"/>
    <x v="327"/>
    <x v="11"/>
    <x v="11"/>
    <x v="3"/>
    <x v="1"/>
    <s v="M0026"/>
    <x v="11"/>
    <x v="2"/>
    <x v="11"/>
    <s v="Observación de posibles daños"/>
    <x v="1"/>
    <s v="360 Anual"/>
    <d v="2023-12-25T00:00:00"/>
    <d v="2024-12-19T00:00:00"/>
    <x v="1"/>
    <x v="0"/>
    <n v="924"/>
    <n v="114"/>
    <x v="1"/>
  </r>
  <r>
    <x v="1035"/>
    <x v="327"/>
    <x v="11"/>
    <x v="11"/>
    <x v="3"/>
    <x v="1"/>
    <s v="M0013"/>
    <x v="15"/>
    <x v="0"/>
    <x v="14"/>
    <s v="Inspección de engranes"/>
    <x v="0"/>
    <n v="0"/>
    <d v="2023-12-25T00:00:00"/>
    <d v="2023-12-28T00:00:00"/>
    <x v="0"/>
    <x v="0"/>
    <n v="0"/>
    <n v="0"/>
    <x v="0"/>
  </r>
  <r>
    <x v="1036"/>
    <x v="327"/>
    <x v="11"/>
    <x v="11"/>
    <x v="3"/>
    <x v="1"/>
    <s v="M0035"/>
    <x v="34"/>
    <x v="0"/>
    <x v="24"/>
    <s v="Revisió Ajuste y/o de bandas, correas y poleas"/>
    <x v="0"/>
    <n v="0"/>
    <d v="2023-12-25T00:00:00"/>
    <d v="2024-01-13T00:00:00"/>
    <x v="0"/>
    <x v="0"/>
    <n v="0"/>
    <n v="0"/>
    <x v="0"/>
  </r>
  <r>
    <x v="1037"/>
    <x v="328"/>
    <x v="11"/>
    <x v="11"/>
    <x v="3"/>
    <x v="1"/>
    <s v="M0022"/>
    <x v="24"/>
    <x v="0"/>
    <x v="22"/>
    <s v="Observación de posibles daños"/>
    <x v="0"/>
    <n v="0"/>
    <d v="2023-12-26T00:00:00"/>
    <d v="2024-01-08T00:00:00"/>
    <x v="0"/>
    <x v="0"/>
    <n v="0"/>
    <n v="0"/>
    <x v="0"/>
  </r>
  <r>
    <x v="1038"/>
    <x v="328"/>
    <x v="11"/>
    <x v="11"/>
    <x v="3"/>
    <x v="1"/>
    <s v="M0003"/>
    <x v="22"/>
    <x v="2"/>
    <x v="20"/>
    <s v="Inspección y/o reemplazo de boquillas"/>
    <x v="0"/>
    <n v="0"/>
    <d v="2023-12-26T00:00:00"/>
    <d v="2024-01-02T00:00:00"/>
    <x v="0"/>
    <x v="0"/>
    <n v="0"/>
    <n v="0"/>
    <x v="0"/>
  </r>
  <r>
    <x v="1039"/>
    <x v="328"/>
    <x v="11"/>
    <x v="11"/>
    <x v="3"/>
    <x v="1"/>
    <s v="M0018"/>
    <x v="0"/>
    <x v="0"/>
    <x v="0"/>
    <s v="Inspección y/o reemplazo de tubos de contacto"/>
    <x v="0"/>
    <n v="0"/>
    <d v="2023-12-26T00:00:00"/>
    <d v="2024-01-12T00:00:00"/>
    <x v="0"/>
    <x v="0"/>
    <n v="0"/>
    <n v="0"/>
    <x v="0"/>
  </r>
  <r>
    <x v="1040"/>
    <x v="329"/>
    <x v="11"/>
    <x v="11"/>
    <x v="3"/>
    <x v="1"/>
    <s v="M0034"/>
    <x v="2"/>
    <x v="0"/>
    <x v="2"/>
    <s v="Inspección y/o reemplazo de toderas"/>
    <x v="0"/>
    <n v="0"/>
    <d v="2023-12-27T00:00:00"/>
    <d v="2024-01-12T00:00:00"/>
    <x v="2"/>
    <x v="7"/>
    <n v="1127"/>
    <n v="733"/>
    <x v="3"/>
  </r>
  <r>
    <x v="1041"/>
    <x v="330"/>
    <x v="11"/>
    <x v="11"/>
    <x v="3"/>
    <x v="1"/>
    <s v="M0030"/>
    <x v="35"/>
    <x v="0"/>
    <x v="20"/>
    <s v="Ajuste general de máquinas"/>
    <x v="0"/>
    <n v="0"/>
    <d v="2023-12-28T00:00:00"/>
    <d v="2024-01-17T00:00:00"/>
    <x v="0"/>
    <x v="0"/>
    <n v="0"/>
    <n v="0"/>
    <x v="0"/>
  </r>
  <r>
    <x v="1042"/>
    <x v="330"/>
    <x v="11"/>
    <x v="11"/>
    <x v="3"/>
    <x v="1"/>
    <s v="M0023"/>
    <x v="18"/>
    <x v="0"/>
    <x v="16"/>
    <s v="Inspección de tuberías "/>
    <x v="0"/>
    <n v="0"/>
    <d v="2023-12-28T00:00:00"/>
    <d v="2024-01-09T00:00:00"/>
    <x v="0"/>
    <x v="0"/>
    <n v="0"/>
    <n v="0"/>
    <x v="0"/>
  </r>
  <r>
    <x v="1043"/>
    <x v="330"/>
    <x v="11"/>
    <x v="11"/>
    <x v="3"/>
    <x v="1"/>
    <s v="M0003"/>
    <x v="22"/>
    <x v="2"/>
    <x v="20"/>
    <s v="Inspección de mangeras"/>
    <x v="0"/>
    <n v="0"/>
    <d v="2023-12-28T00:00:00"/>
    <d v="2024-01-14T00:00:00"/>
    <x v="2"/>
    <x v="14"/>
    <n v="348"/>
    <n v="513"/>
    <x v="1"/>
  </r>
  <r>
    <x v="1044"/>
    <x v="330"/>
    <x v="11"/>
    <x v="11"/>
    <x v="3"/>
    <x v="1"/>
    <s v="M0029"/>
    <x v="12"/>
    <x v="3"/>
    <x v="12"/>
    <s v="Inspección y/o reemplazado de filtros de aire"/>
    <x v="0"/>
    <n v="0"/>
    <d v="2023-12-28T00:00:00"/>
    <d v="2024-01-06T00:00:00"/>
    <x v="0"/>
    <x v="0"/>
    <n v="0"/>
    <n v="0"/>
    <x v="0"/>
  </r>
  <r>
    <x v="1045"/>
    <x v="330"/>
    <x v="11"/>
    <x v="11"/>
    <x v="3"/>
    <x v="1"/>
    <s v="M0010"/>
    <x v="37"/>
    <x v="0"/>
    <x v="1"/>
    <s v="Inspección y/o reemplazado de filtros de aceite"/>
    <x v="0"/>
    <n v="0"/>
    <d v="2023-12-28T00:00:00"/>
    <d v="2024-01-22T00:00:00"/>
    <x v="0"/>
    <x v="0"/>
    <n v="0"/>
    <n v="0"/>
    <x v="0"/>
  </r>
  <r>
    <x v="1046"/>
    <x v="330"/>
    <x v="11"/>
    <x v="11"/>
    <x v="3"/>
    <x v="1"/>
    <s v="M0028"/>
    <x v="29"/>
    <x v="0"/>
    <x v="25"/>
    <s v="Observación de posibles daños"/>
    <x v="1"/>
    <s v="7 Semanal"/>
    <d v="2023-12-28T00:00:00"/>
    <d v="2024-01-04T00:00:00"/>
    <x v="1"/>
    <x v="0"/>
    <n v="605"/>
    <n v="669"/>
    <x v="1"/>
  </r>
  <r>
    <x v="1047"/>
    <x v="331"/>
    <x v="11"/>
    <x v="11"/>
    <x v="3"/>
    <x v="1"/>
    <s v="M0009"/>
    <x v="17"/>
    <x v="0"/>
    <x v="15"/>
    <s v="Mantenimiento general"/>
    <x v="0"/>
    <n v="0"/>
    <d v="2023-12-29T00:00:00"/>
    <d v="2023-12-31T00:00:00"/>
    <x v="0"/>
    <x v="0"/>
    <n v="0"/>
    <n v="0"/>
    <x v="0"/>
  </r>
  <r>
    <x v="1048"/>
    <x v="331"/>
    <x v="11"/>
    <x v="11"/>
    <x v="3"/>
    <x v="1"/>
    <s v="M0022"/>
    <x v="24"/>
    <x v="0"/>
    <x v="22"/>
    <s v="Observación de posibles daños"/>
    <x v="1"/>
    <s v="360 Anual"/>
    <d v="2023-12-29T00:00:00"/>
    <d v="2024-12-23T00:00:00"/>
    <x v="1"/>
    <x v="0"/>
    <n v="695"/>
    <n v="870"/>
    <x v="1"/>
  </r>
  <r>
    <x v="1049"/>
    <x v="331"/>
    <x v="11"/>
    <x v="11"/>
    <x v="3"/>
    <x v="1"/>
    <s v="M0008"/>
    <x v="26"/>
    <x v="0"/>
    <x v="24"/>
    <s v="Inspección y/o reemplazado de escobillas"/>
    <x v="0"/>
    <n v="0"/>
    <d v="2023-12-29T00:00:00"/>
    <d v="2024-01-20T00:00:00"/>
    <x v="2"/>
    <x v="1"/>
    <n v="1193"/>
    <n v="686"/>
    <x v="1"/>
  </r>
  <r>
    <x v="1050"/>
    <x v="331"/>
    <x v="11"/>
    <x v="11"/>
    <x v="3"/>
    <x v="1"/>
    <s v="M0004"/>
    <x v="40"/>
    <x v="2"/>
    <x v="7"/>
    <s v="Inspección y/o reemplazado de cuchillas"/>
    <x v="0"/>
    <n v="0"/>
    <d v="2023-12-29T00:00:00"/>
    <d v="2024-01-03T00:00:00"/>
    <x v="0"/>
    <x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BF723-7CE9-4107-9D18-0781C3B9331C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8:B69" firstHeaderRow="1" firstDataRow="1" firstDataCol="0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dataField="1"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Costo_Mano_Obra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607D6-5CA2-45A3-9116-28880F054DE2}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68:I69" firstHeaderRow="1" firstDataRow="1" firstDataCol="0" rowPageCount="1" colPageCount="1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axis="axisPage" dataField="1" multipleItemSelectionAllowed="1" showAll="0">
      <items count="4">
        <item h="1" x="1"/>
        <item h="1" x="0"/>
        <item x="2"/>
        <item t="default"/>
      </items>
    </pivotField>
    <pivotField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5" hier="-1"/>
  </pageFields>
  <dataFields count="1">
    <dataField name="Cuenta de Diagnostico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6BA2F-ADEA-481F-ACD6-116EEC3DDE18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H12:I25" firstHeaderRow="1" firstDataRow="1" firstDataCol="1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x="1"/>
        <item h="1" x="4"/>
        <item h="1"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9" hier="-1"/>
  </pageFields>
  <dataFields count="1">
    <dataField name="Cuenta de ID orden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88FE3-FA20-450A-A9C2-90FFC2C00B40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80:C86" firstHeaderRow="1" firstDataRow="1" firstDataCol="1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axis="axisRow"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dataField="1"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Tiempo_Demora(Días)" fld="16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452D1-069C-4FAE-A66A-CF94E196899D}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E80:G83" firstHeaderRow="0" firstDataRow="1" firstDataCol="1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dataField="1" numFmtId="164"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sto de Mano Obra" fld="17" baseField="0" baseItem="0" numFmtId="164"/>
    <dataField name="Costo de Materiales" fld="18" baseField="0" baseItem="0" numFmtId="164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63ACF-7DFF-4D49-980C-0332BA27F2E8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K5" firstHeaderRow="1" firstDataRow="1" firstDataCol="0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x="4"/>
        <item h="1"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9" hier="-1"/>
  </pageField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F16AC-D01A-4824-AB2A-676349E716DB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2:C25" firstHeaderRow="1" firstDataRow="1" firstDataCol="1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x="1"/>
        <item x="4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9" hier="-1"/>
  </pageFields>
  <dataFields count="1">
    <dataField name="Cuenta de ID orden" fld="0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C69CB-C573-4EC2-A784-F8523FBA2128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K12:L25" firstHeaderRow="1" firstDataRow="1" firstDataCol="1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x="4"/>
        <item h="1"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9" hier="-1"/>
  </pageFields>
  <dataFields count="1">
    <dataField name="Cuenta de ID orde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7FFCF-13D3-483E-99FC-FB85CF9F54FD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4:N5" firstHeaderRow="1" firstDataRow="1" firstDataCol="0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h="1" x="4"/>
        <item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9" hier="-1"/>
  </pageField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589A9-32BB-414E-967C-D37D0E58C58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4:H5" firstHeaderRow="1" firstDataRow="1" firstDataCol="0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x="1"/>
        <item h="1" x="4"/>
        <item h="1"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9" hier="-1"/>
  </pageField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95D5D-078A-4FE8-9690-3AFDE4502320}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H153:K159" firstHeaderRow="1" firstDataRow="2" firstDataCol="1"/>
  <pivotFields count="22">
    <pivotField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dataField="1"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axis="axisCol" multipleItemSelectionAllowed="1" showAll="0">
      <items count="4">
        <item h="1" x="1"/>
        <item x="0"/>
        <item x="2"/>
        <item t="default"/>
      </items>
    </pivotField>
    <pivotField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uenta de Marca" fld="9" subtotal="count" baseField="0" baseItem="0"/>
  </dataFields>
  <chartFormats count="18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6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5" count="1" selected="0">
            <x v="2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5" count="1" selected="0">
            <x v="1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5" count="1" selected="0">
            <x v="2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5" count="1" selected="0">
            <x v="1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5" count="1" selected="0">
            <x v="1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5" count="1" selected="0">
            <x v="2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5" count="1" selected="0">
            <x v="1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5" count="1" selected="0">
            <x v="2"/>
          </reference>
        </references>
      </pivotArea>
    </chartFormat>
    <chartFormat chart="1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22113-D9D4-4310-8C27-612AECD377C5}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10:E122" firstHeaderRow="1" firstDataRow="2" firstDataCol="1"/>
  <pivotFields count="22">
    <pivotField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axis="axisRow" dataField="1" showAll="0" measureFilter="1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axis="axisCol" multipleItemSelectionAllowed="1" showAll="0">
      <items count="4">
        <item h="1" x="1"/>
        <item x="0"/>
        <item x="2"/>
        <item t="default"/>
      </items>
    </pivotField>
    <pivotField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4"/>
    </i>
    <i>
      <x v="5"/>
    </i>
    <i>
      <x v="9"/>
    </i>
    <i>
      <x v="10"/>
    </i>
    <i>
      <x v="13"/>
    </i>
    <i>
      <x v="14"/>
    </i>
    <i>
      <x v="15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uenta de Marca" fld="9" subtotal="count" baseField="0" baseItem="0"/>
  </dataFields>
  <chartFormats count="11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5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D0698-3CC5-4F68-918A-2438E7EEA168}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68:F69" firstHeaderRow="1" firstDataRow="1" firstDataCol="0" rowPageCount="1" colPageCount="1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axis="axisPage" dataField="1" multipleItemSelectionAllowed="1" showAll="0">
      <items count="4">
        <item h="1" x="1"/>
        <item x="0"/>
        <item h="1" x="2"/>
        <item t="default"/>
      </items>
    </pivotField>
    <pivotField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5" hier="-1"/>
  </pageFields>
  <dataFields count="1">
    <dataField name="Cuenta de Diagnostico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047D1-AB2E-4FCC-97CA-3C980050B9B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h="1" x="4"/>
        <item h="1"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9" hier="-1"/>
  </pageField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5FFF0-A4D6-4465-B867-DCE2E8951EEA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68:D69" firstHeaderRow="1" firstDataRow="1" firstDataCol="0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Costo_Materiales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E33B0-9A8E-4AAF-B87D-BFA078E4AAD8}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I80:L94" firstHeaderRow="1" firstDataRow="2" firstDataCol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ID orden" fld="0" subtotal="count" baseField="0" baseItem="0"/>
  </dataFields>
  <chartFormats count="6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A5F63-4A0A-4160-A678-219053F79B7F}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68:L69" firstHeaderRow="1" firstDataRow="1" firstDataCol="0" rowPageCount="2" colPageCount="1"/>
  <pivotFields count="22">
    <pivotField showAll="0"/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multipleItemSelectionAllowed="1" showAll="0">
      <items count="4">
        <item h="1" x="1"/>
        <item h="1" x="0"/>
        <item x="2"/>
        <item t="default"/>
      </items>
    </pivotField>
    <pivotField axis="axisPage" dataField="1" multipleItemSelectionAllowed="1" showAll="0">
      <items count="32">
        <item h="1" x="0"/>
        <item x="15"/>
        <item x="16"/>
        <item x="11"/>
        <item x="28"/>
        <item x="9"/>
        <item x="12"/>
        <item x="4"/>
        <item x="8"/>
        <item x="20"/>
        <item x="30"/>
        <item x="18"/>
        <item x="13"/>
        <item x="29"/>
        <item x="21"/>
        <item x="24"/>
        <item x="7"/>
        <item x="14"/>
        <item x="5"/>
        <item x="27"/>
        <item x="26"/>
        <item x="22"/>
        <item x="1"/>
        <item x="10"/>
        <item x="25"/>
        <item x="2"/>
        <item x="6"/>
        <item x="19"/>
        <item x="3"/>
        <item x="17"/>
        <item x="23"/>
        <item t="default"/>
      </items>
    </pivotField>
    <pivotField numFmtId="164" showAll="0"/>
    <pivotField numFmtId="164" showAll="0"/>
    <pivotField axis="axisPage" multipleItemSelectionAllowed="1" showAll="0">
      <items count="6">
        <item h="1" x="0"/>
        <item x="1"/>
        <item h="1" x="4"/>
        <item h="1"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2">
    <pageField fld="19" hier="-1"/>
    <pageField fld="16" hier="-1"/>
  </pageFields>
  <dataFields count="1">
    <dataField name="Promedio de Tiempo_Demora(Días)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A49E9-5C81-4F48-8263-B14B0DBD5D76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N12:O25" firstHeaderRow="1" firstDataRow="1" firstDataCol="1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h="1" x="4"/>
        <item x="2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9" hier="-1"/>
  </pageFields>
  <dataFields count="1">
    <dataField name="Cuenta de ID orden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54DCD-2BD5-4405-8751-34F69188A1FA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12:F25" firstHeaderRow="1" firstDataRow="1" firstDataCol="1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h="1" x="1"/>
        <item h="1" x="4"/>
        <item h="1"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9" hier="-1"/>
  </pageFields>
  <dataFields count="1">
    <dataField name="Cuenta de ID orden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3296D-7D9F-4FC2-BC55-7E3640C18C5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B5" firstHeaderRow="1" firstDataRow="1" firstDataCol="0" rowPageCount="1" colPageCount="1"/>
  <pivotFields count="22">
    <pivotField dataField="1"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numFmtId="164" showAll="0"/>
    <pivotField numFmtId="164" showAll="0"/>
    <pivotField axis="axisPage" multipleItemSelectionAllowed="1" showAll="0">
      <items count="6">
        <item h="1" x="0"/>
        <item x="1"/>
        <item x="4"/>
        <item x="2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9" hier="-1"/>
  </pageFields>
  <dataFields count="1">
    <dataField name="Cuenta de ID orde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FA1DC-5F6F-41D5-B937-333E86053106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68:O745" firstHeaderRow="1" firstDataRow="1" firstDataCol="1"/>
  <pivotFields count="22">
    <pivotField showAll="0"/>
    <pivotField axis="axisRow"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/>
    <pivotField showAll="0"/>
    <pivotField showAll="0"/>
    <pivotField showAll="0"/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showAll="0"/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multipleItemSelectionAllowed="1" showAll="0">
      <items count="4">
        <item h="1" x="1"/>
        <item h="1" x="0"/>
        <item x="2"/>
        <item t="default"/>
      </items>
    </pivotField>
    <pivotField showAll="0"/>
    <pivotField numFmtId="164" showAll="0"/>
    <pivotField numFmtId="164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21"/>
    <field x="20"/>
    <field x="1"/>
  </rowFields>
  <rowItems count="677">
    <i>
      <x v="1"/>
    </i>
    <i r="1">
      <x v="1"/>
    </i>
    <i r="2">
      <x/>
    </i>
    <i r="1">
      <x v="2"/>
    </i>
    <i r="2">
      <x v="1"/>
    </i>
    <i r="1">
      <x v="3"/>
    </i>
    <i r="2">
      <x v="2"/>
    </i>
    <i r="1">
      <x v="4"/>
    </i>
    <i r="2">
      <x v="3"/>
    </i>
    <i r="1">
      <x v="5"/>
    </i>
    <i r="2">
      <x v="4"/>
    </i>
    <i r="1">
      <x v="6"/>
    </i>
    <i r="2">
      <x v="5"/>
    </i>
    <i r="1">
      <x v="7"/>
    </i>
    <i r="2">
      <x v="6"/>
    </i>
    <i r="1">
      <x v="8"/>
    </i>
    <i r="2">
      <x v="7"/>
    </i>
    <i r="1">
      <x v="9"/>
    </i>
    <i r="2">
      <x v="8"/>
    </i>
    <i r="1">
      <x v="10"/>
    </i>
    <i r="2">
      <x v="9"/>
    </i>
    <i r="1">
      <x v="11"/>
    </i>
    <i r="2">
      <x v="10"/>
    </i>
    <i r="1">
      <x v="12"/>
    </i>
    <i r="2">
      <x v="11"/>
    </i>
    <i r="1">
      <x v="13"/>
    </i>
    <i r="2">
      <x v="12"/>
    </i>
    <i r="1">
      <x v="15"/>
    </i>
    <i r="2">
      <x v="13"/>
    </i>
    <i r="1">
      <x v="16"/>
    </i>
    <i r="2">
      <x v="14"/>
    </i>
    <i r="1">
      <x v="17"/>
    </i>
    <i r="2">
      <x v="15"/>
    </i>
    <i r="1">
      <x v="19"/>
    </i>
    <i r="2">
      <x v="16"/>
    </i>
    <i r="1">
      <x v="20"/>
    </i>
    <i r="2">
      <x v="17"/>
    </i>
    <i r="1">
      <x v="21"/>
    </i>
    <i r="2">
      <x v="18"/>
    </i>
    <i r="1">
      <x v="22"/>
    </i>
    <i r="2">
      <x v="19"/>
    </i>
    <i r="1">
      <x v="23"/>
    </i>
    <i r="2">
      <x v="20"/>
    </i>
    <i r="1">
      <x v="24"/>
    </i>
    <i r="2">
      <x v="21"/>
    </i>
    <i r="1">
      <x v="25"/>
    </i>
    <i r="2">
      <x v="22"/>
    </i>
    <i r="1">
      <x v="27"/>
    </i>
    <i r="2">
      <x v="23"/>
    </i>
    <i r="1">
      <x v="28"/>
    </i>
    <i r="2">
      <x v="24"/>
    </i>
    <i r="1">
      <x v="29"/>
    </i>
    <i r="2">
      <x v="25"/>
    </i>
    <i r="1">
      <x v="30"/>
    </i>
    <i r="2">
      <x v="26"/>
    </i>
    <i r="1">
      <x v="31"/>
    </i>
    <i r="2">
      <x v="27"/>
    </i>
    <i>
      <x v="2"/>
    </i>
    <i r="1">
      <x v="32"/>
    </i>
    <i r="2">
      <x v="28"/>
    </i>
    <i r="1">
      <x v="33"/>
    </i>
    <i r="2">
      <x v="29"/>
    </i>
    <i r="1">
      <x v="35"/>
    </i>
    <i r="2">
      <x v="30"/>
    </i>
    <i r="1">
      <x v="36"/>
    </i>
    <i r="2">
      <x v="31"/>
    </i>
    <i r="1">
      <x v="37"/>
    </i>
    <i r="2">
      <x v="32"/>
    </i>
    <i r="1">
      <x v="38"/>
    </i>
    <i r="2">
      <x v="33"/>
    </i>
    <i r="1">
      <x v="39"/>
    </i>
    <i r="2">
      <x v="34"/>
    </i>
    <i r="1">
      <x v="40"/>
    </i>
    <i r="2">
      <x v="35"/>
    </i>
    <i r="1">
      <x v="41"/>
    </i>
    <i r="2">
      <x v="36"/>
    </i>
    <i r="1">
      <x v="42"/>
    </i>
    <i r="2">
      <x v="37"/>
    </i>
    <i r="1">
      <x v="43"/>
    </i>
    <i r="2">
      <x v="38"/>
    </i>
    <i r="1">
      <x v="44"/>
    </i>
    <i r="2">
      <x v="39"/>
    </i>
    <i r="1">
      <x v="45"/>
    </i>
    <i r="2">
      <x v="40"/>
    </i>
    <i r="1">
      <x v="47"/>
    </i>
    <i r="2">
      <x v="41"/>
    </i>
    <i r="1">
      <x v="48"/>
    </i>
    <i r="2">
      <x v="42"/>
    </i>
    <i r="1">
      <x v="49"/>
    </i>
    <i r="2">
      <x v="43"/>
    </i>
    <i r="1">
      <x v="50"/>
    </i>
    <i r="2">
      <x v="44"/>
    </i>
    <i r="1">
      <x v="51"/>
    </i>
    <i r="2">
      <x v="45"/>
    </i>
    <i r="1">
      <x v="52"/>
    </i>
    <i r="2">
      <x v="46"/>
    </i>
    <i r="1">
      <x v="53"/>
    </i>
    <i r="2">
      <x v="47"/>
    </i>
    <i r="1">
      <x v="54"/>
    </i>
    <i r="2">
      <x v="48"/>
    </i>
    <i r="1">
      <x v="55"/>
    </i>
    <i r="2">
      <x v="49"/>
    </i>
    <i r="1">
      <x v="56"/>
    </i>
    <i r="2">
      <x v="50"/>
    </i>
    <i r="1">
      <x v="57"/>
    </i>
    <i r="2">
      <x v="51"/>
    </i>
    <i r="1">
      <x v="58"/>
    </i>
    <i r="2">
      <x v="52"/>
    </i>
    <i>
      <x v="3"/>
    </i>
    <i r="1">
      <x v="61"/>
    </i>
    <i r="2">
      <x v="53"/>
    </i>
    <i r="1">
      <x v="62"/>
    </i>
    <i r="2">
      <x v="54"/>
    </i>
    <i r="1">
      <x v="63"/>
    </i>
    <i r="2">
      <x v="55"/>
    </i>
    <i r="1">
      <x v="64"/>
    </i>
    <i r="2">
      <x v="56"/>
    </i>
    <i r="1">
      <x v="65"/>
    </i>
    <i r="2">
      <x v="57"/>
    </i>
    <i r="1">
      <x v="66"/>
    </i>
    <i r="2">
      <x v="58"/>
    </i>
    <i r="1">
      <x v="67"/>
    </i>
    <i r="2">
      <x v="59"/>
    </i>
    <i r="1">
      <x v="68"/>
    </i>
    <i r="2">
      <x v="60"/>
    </i>
    <i r="1">
      <x v="69"/>
    </i>
    <i r="2">
      <x v="61"/>
    </i>
    <i r="1">
      <x v="70"/>
    </i>
    <i r="2">
      <x v="62"/>
    </i>
    <i r="1">
      <x v="71"/>
    </i>
    <i r="2">
      <x v="63"/>
    </i>
    <i r="1">
      <x v="72"/>
    </i>
    <i r="2">
      <x v="64"/>
    </i>
    <i r="1">
      <x v="73"/>
    </i>
    <i r="2">
      <x v="65"/>
    </i>
    <i r="1">
      <x v="74"/>
    </i>
    <i r="2">
      <x v="66"/>
    </i>
    <i r="1">
      <x v="75"/>
    </i>
    <i r="2">
      <x v="67"/>
    </i>
    <i r="1">
      <x v="76"/>
    </i>
    <i r="2">
      <x v="68"/>
    </i>
    <i r="1">
      <x v="77"/>
    </i>
    <i r="2">
      <x v="69"/>
    </i>
    <i r="1">
      <x v="78"/>
    </i>
    <i r="2">
      <x v="70"/>
    </i>
    <i r="1">
      <x v="79"/>
    </i>
    <i r="2">
      <x v="71"/>
    </i>
    <i r="1">
      <x v="80"/>
    </i>
    <i r="2">
      <x v="72"/>
    </i>
    <i r="1">
      <x v="81"/>
    </i>
    <i r="2">
      <x v="73"/>
    </i>
    <i r="1">
      <x v="82"/>
    </i>
    <i r="2">
      <x v="74"/>
    </i>
    <i r="1">
      <x v="83"/>
    </i>
    <i r="2">
      <x v="75"/>
    </i>
    <i r="1">
      <x v="84"/>
    </i>
    <i r="2">
      <x v="76"/>
    </i>
    <i r="1">
      <x v="85"/>
    </i>
    <i r="2">
      <x v="77"/>
    </i>
    <i r="1">
      <x v="86"/>
    </i>
    <i r="2">
      <x v="78"/>
    </i>
    <i r="1">
      <x v="87"/>
    </i>
    <i r="2">
      <x v="79"/>
    </i>
    <i r="1">
      <x v="88"/>
    </i>
    <i r="2">
      <x v="80"/>
    </i>
    <i r="1">
      <x v="89"/>
    </i>
    <i r="2">
      <x v="81"/>
    </i>
    <i r="1">
      <x v="90"/>
    </i>
    <i r="2">
      <x v="82"/>
    </i>
    <i>
      <x v="4"/>
    </i>
    <i r="1">
      <x v="92"/>
    </i>
    <i r="2">
      <x v="83"/>
    </i>
    <i r="1">
      <x v="93"/>
    </i>
    <i r="2">
      <x v="84"/>
    </i>
    <i r="1">
      <x v="94"/>
    </i>
    <i r="2">
      <x v="85"/>
    </i>
    <i r="1">
      <x v="95"/>
    </i>
    <i r="2">
      <x v="86"/>
    </i>
    <i r="1">
      <x v="96"/>
    </i>
    <i r="2">
      <x v="87"/>
    </i>
    <i r="1">
      <x v="97"/>
    </i>
    <i r="2">
      <x v="88"/>
    </i>
    <i r="1">
      <x v="98"/>
    </i>
    <i r="2">
      <x v="89"/>
    </i>
    <i r="1">
      <x v="99"/>
    </i>
    <i r="2">
      <x v="90"/>
    </i>
    <i r="1">
      <x v="100"/>
    </i>
    <i r="2">
      <x v="91"/>
    </i>
    <i r="1">
      <x v="101"/>
    </i>
    <i r="2">
      <x v="92"/>
    </i>
    <i r="1">
      <x v="102"/>
    </i>
    <i r="2">
      <x v="93"/>
    </i>
    <i r="1">
      <x v="103"/>
    </i>
    <i r="2">
      <x v="94"/>
    </i>
    <i r="1">
      <x v="104"/>
    </i>
    <i r="2">
      <x v="95"/>
    </i>
    <i r="1">
      <x v="106"/>
    </i>
    <i r="2">
      <x v="96"/>
    </i>
    <i r="1">
      <x v="107"/>
    </i>
    <i r="2">
      <x v="97"/>
    </i>
    <i r="1">
      <x v="108"/>
    </i>
    <i r="2">
      <x v="98"/>
    </i>
    <i r="1">
      <x v="109"/>
    </i>
    <i r="2">
      <x v="99"/>
    </i>
    <i r="1">
      <x v="110"/>
    </i>
    <i r="2">
      <x v="100"/>
    </i>
    <i r="1">
      <x v="111"/>
    </i>
    <i r="2">
      <x v="101"/>
    </i>
    <i r="1">
      <x v="112"/>
    </i>
    <i r="2">
      <x v="102"/>
    </i>
    <i r="1">
      <x v="113"/>
    </i>
    <i r="2">
      <x v="103"/>
    </i>
    <i r="1">
      <x v="114"/>
    </i>
    <i r="2">
      <x v="104"/>
    </i>
    <i r="1">
      <x v="115"/>
    </i>
    <i r="2">
      <x v="105"/>
    </i>
    <i r="1">
      <x v="116"/>
    </i>
    <i r="2">
      <x v="106"/>
    </i>
    <i r="1">
      <x v="117"/>
    </i>
    <i r="2">
      <x v="107"/>
    </i>
    <i r="1">
      <x v="118"/>
    </i>
    <i r="2">
      <x v="108"/>
    </i>
    <i r="1">
      <x v="119"/>
    </i>
    <i r="2">
      <x v="109"/>
    </i>
    <i r="1">
      <x v="120"/>
    </i>
    <i r="2">
      <x v="110"/>
    </i>
    <i r="1">
      <x v="121"/>
    </i>
    <i r="2">
      <x v="111"/>
    </i>
    <i>
      <x v="5"/>
    </i>
    <i r="1">
      <x v="122"/>
    </i>
    <i r="2">
      <x v="112"/>
    </i>
    <i r="1">
      <x v="123"/>
    </i>
    <i r="2">
      <x v="113"/>
    </i>
    <i r="1">
      <x v="124"/>
    </i>
    <i r="2">
      <x v="114"/>
    </i>
    <i r="1">
      <x v="125"/>
    </i>
    <i r="2">
      <x v="115"/>
    </i>
    <i r="1">
      <x v="126"/>
    </i>
    <i r="2">
      <x v="116"/>
    </i>
    <i r="1">
      <x v="127"/>
    </i>
    <i r="2">
      <x v="117"/>
    </i>
    <i r="1">
      <x v="128"/>
    </i>
    <i r="2">
      <x v="118"/>
    </i>
    <i r="1">
      <x v="129"/>
    </i>
    <i r="2">
      <x v="119"/>
    </i>
    <i r="1">
      <x v="130"/>
    </i>
    <i r="2">
      <x v="120"/>
    </i>
    <i r="1">
      <x v="131"/>
    </i>
    <i r="2">
      <x v="121"/>
    </i>
    <i r="1">
      <x v="132"/>
    </i>
    <i r="2">
      <x v="122"/>
    </i>
    <i r="1">
      <x v="133"/>
    </i>
    <i r="2">
      <x v="123"/>
    </i>
    <i r="1">
      <x v="134"/>
    </i>
    <i r="2">
      <x v="124"/>
    </i>
    <i r="1">
      <x v="135"/>
    </i>
    <i r="2">
      <x v="125"/>
    </i>
    <i r="1">
      <x v="136"/>
    </i>
    <i r="2">
      <x v="126"/>
    </i>
    <i r="1">
      <x v="137"/>
    </i>
    <i r="2">
      <x v="127"/>
    </i>
    <i r="1">
      <x v="138"/>
    </i>
    <i r="2">
      <x v="128"/>
    </i>
    <i r="1">
      <x v="139"/>
    </i>
    <i r="2">
      <x v="129"/>
    </i>
    <i r="1">
      <x v="140"/>
    </i>
    <i r="2">
      <x v="130"/>
    </i>
    <i r="1">
      <x v="141"/>
    </i>
    <i r="2">
      <x v="131"/>
    </i>
    <i r="1">
      <x v="142"/>
    </i>
    <i r="2">
      <x v="132"/>
    </i>
    <i r="1">
      <x v="143"/>
    </i>
    <i r="2">
      <x v="133"/>
    </i>
    <i r="1">
      <x v="144"/>
    </i>
    <i r="2">
      <x v="134"/>
    </i>
    <i r="1">
      <x v="145"/>
    </i>
    <i r="2">
      <x v="135"/>
    </i>
    <i r="1">
      <x v="146"/>
    </i>
    <i r="2">
      <x v="136"/>
    </i>
    <i r="1">
      <x v="147"/>
    </i>
    <i r="2">
      <x v="137"/>
    </i>
    <i r="1">
      <x v="148"/>
    </i>
    <i r="2">
      <x v="138"/>
    </i>
    <i r="1">
      <x v="149"/>
    </i>
    <i r="2">
      <x v="139"/>
    </i>
    <i r="1">
      <x v="150"/>
    </i>
    <i r="2">
      <x v="140"/>
    </i>
    <i r="1">
      <x v="152"/>
    </i>
    <i r="2">
      <x v="141"/>
    </i>
    <i>
      <x v="6"/>
    </i>
    <i r="1">
      <x v="153"/>
    </i>
    <i r="2">
      <x v="142"/>
    </i>
    <i r="1">
      <x v="154"/>
    </i>
    <i r="2">
      <x v="143"/>
    </i>
    <i r="1">
      <x v="155"/>
    </i>
    <i r="2">
      <x v="144"/>
    </i>
    <i r="1">
      <x v="156"/>
    </i>
    <i r="2">
      <x v="145"/>
    </i>
    <i r="1">
      <x v="157"/>
    </i>
    <i r="2">
      <x v="146"/>
    </i>
    <i r="1">
      <x v="158"/>
    </i>
    <i r="2">
      <x v="147"/>
    </i>
    <i r="1">
      <x v="159"/>
    </i>
    <i r="2">
      <x v="148"/>
    </i>
    <i r="1">
      <x v="160"/>
    </i>
    <i r="2">
      <x v="149"/>
    </i>
    <i r="1">
      <x v="163"/>
    </i>
    <i r="2">
      <x v="150"/>
    </i>
    <i r="1">
      <x v="164"/>
    </i>
    <i r="2">
      <x v="151"/>
    </i>
    <i r="1">
      <x v="165"/>
    </i>
    <i r="2">
      <x v="152"/>
    </i>
    <i r="1">
      <x v="166"/>
    </i>
    <i r="2">
      <x v="153"/>
    </i>
    <i r="1">
      <x v="167"/>
    </i>
    <i r="2">
      <x v="154"/>
    </i>
    <i r="1">
      <x v="168"/>
    </i>
    <i r="2">
      <x v="155"/>
    </i>
    <i r="1">
      <x v="169"/>
    </i>
    <i r="2">
      <x v="156"/>
    </i>
    <i r="1">
      <x v="170"/>
    </i>
    <i r="2">
      <x v="157"/>
    </i>
    <i r="1">
      <x v="171"/>
    </i>
    <i r="2">
      <x v="158"/>
    </i>
    <i r="1">
      <x v="172"/>
    </i>
    <i r="2">
      <x v="159"/>
    </i>
    <i r="1">
      <x v="173"/>
    </i>
    <i r="2">
      <x v="160"/>
    </i>
    <i r="1">
      <x v="174"/>
    </i>
    <i r="2">
      <x v="161"/>
    </i>
    <i r="1">
      <x v="175"/>
    </i>
    <i r="2">
      <x v="162"/>
    </i>
    <i r="1">
      <x v="176"/>
    </i>
    <i r="2">
      <x v="163"/>
    </i>
    <i r="1">
      <x v="177"/>
    </i>
    <i r="2">
      <x v="164"/>
    </i>
    <i r="1">
      <x v="178"/>
    </i>
    <i r="2">
      <x v="165"/>
    </i>
    <i r="1">
      <x v="179"/>
    </i>
    <i r="2">
      <x v="166"/>
    </i>
    <i r="1">
      <x v="180"/>
    </i>
    <i r="2">
      <x v="167"/>
    </i>
    <i r="1">
      <x v="181"/>
    </i>
    <i r="2">
      <x v="168"/>
    </i>
    <i r="1">
      <x v="182"/>
    </i>
    <i r="2">
      <x v="169"/>
    </i>
    <i>
      <x v="7"/>
    </i>
    <i r="1">
      <x v="183"/>
    </i>
    <i r="2">
      <x v="170"/>
    </i>
    <i r="1">
      <x v="184"/>
    </i>
    <i r="2">
      <x v="171"/>
    </i>
    <i r="1">
      <x v="185"/>
    </i>
    <i r="2">
      <x v="172"/>
    </i>
    <i r="1">
      <x v="186"/>
    </i>
    <i r="2">
      <x v="173"/>
    </i>
    <i r="1">
      <x v="187"/>
    </i>
    <i r="2">
      <x v="174"/>
    </i>
    <i r="1">
      <x v="188"/>
    </i>
    <i r="2">
      <x v="175"/>
    </i>
    <i r="1">
      <x v="190"/>
    </i>
    <i r="2">
      <x v="176"/>
    </i>
    <i r="1">
      <x v="191"/>
    </i>
    <i r="2">
      <x v="177"/>
    </i>
    <i r="1">
      <x v="192"/>
    </i>
    <i r="2">
      <x v="178"/>
    </i>
    <i r="1">
      <x v="193"/>
    </i>
    <i r="2">
      <x v="179"/>
    </i>
    <i r="1">
      <x v="194"/>
    </i>
    <i r="2">
      <x v="180"/>
    </i>
    <i r="1">
      <x v="195"/>
    </i>
    <i r="2">
      <x v="181"/>
    </i>
    <i r="1">
      <x v="196"/>
    </i>
    <i r="2">
      <x v="182"/>
    </i>
    <i r="1">
      <x v="197"/>
    </i>
    <i r="2">
      <x v="183"/>
    </i>
    <i r="1">
      <x v="198"/>
    </i>
    <i r="2">
      <x v="184"/>
    </i>
    <i r="1">
      <x v="199"/>
    </i>
    <i r="2">
      <x v="185"/>
    </i>
    <i r="1">
      <x v="200"/>
    </i>
    <i r="2">
      <x v="186"/>
    </i>
    <i r="1">
      <x v="201"/>
    </i>
    <i r="2">
      <x v="187"/>
    </i>
    <i r="1">
      <x v="202"/>
    </i>
    <i r="2">
      <x v="188"/>
    </i>
    <i r="1">
      <x v="203"/>
    </i>
    <i r="2">
      <x v="189"/>
    </i>
    <i r="1">
      <x v="204"/>
    </i>
    <i r="2">
      <x v="190"/>
    </i>
    <i r="1">
      <x v="205"/>
    </i>
    <i r="2">
      <x v="191"/>
    </i>
    <i r="1">
      <x v="206"/>
    </i>
    <i r="2">
      <x v="192"/>
    </i>
    <i r="1">
      <x v="207"/>
    </i>
    <i r="2">
      <x v="193"/>
    </i>
    <i r="1">
      <x v="208"/>
    </i>
    <i r="2">
      <x v="194"/>
    </i>
    <i r="1">
      <x v="209"/>
    </i>
    <i r="2">
      <x v="195"/>
    </i>
    <i r="1">
      <x v="210"/>
    </i>
    <i r="2">
      <x v="196"/>
    </i>
    <i r="1">
      <x v="211"/>
    </i>
    <i r="2">
      <x v="197"/>
    </i>
    <i r="1">
      <x v="212"/>
    </i>
    <i r="2">
      <x v="198"/>
    </i>
    <i r="1">
      <x v="213"/>
    </i>
    <i r="2">
      <x v="199"/>
    </i>
    <i>
      <x v="8"/>
    </i>
    <i r="1">
      <x v="214"/>
    </i>
    <i r="2">
      <x v="200"/>
    </i>
    <i r="1">
      <x v="215"/>
    </i>
    <i r="2">
      <x v="201"/>
    </i>
    <i r="1">
      <x v="217"/>
    </i>
    <i r="2">
      <x v="202"/>
    </i>
    <i r="1">
      <x v="219"/>
    </i>
    <i r="2">
      <x v="203"/>
    </i>
    <i r="1">
      <x v="220"/>
    </i>
    <i r="2">
      <x v="204"/>
    </i>
    <i r="1">
      <x v="221"/>
    </i>
    <i r="2">
      <x v="205"/>
    </i>
    <i r="1">
      <x v="222"/>
    </i>
    <i r="2">
      <x v="206"/>
    </i>
    <i r="1">
      <x v="223"/>
    </i>
    <i r="2">
      <x v="207"/>
    </i>
    <i r="1">
      <x v="224"/>
    </i>
    <i r="2">
      <x v="208"/>
    </i>
    <i r="1">
      <x v="225"/>
    </i>
    <i r="2">
      <x v="209"/>
    </i>
    <i r="1">
      <x v="226"/>
    </i>
    <i r="2">
      <x v="210"/>
    </i>
    <i r="1">
      <x v="227"/>
    </i>
    <i r="2">
      <x v="211"/>
    </i>
    <i r="1">
      <x v="228"/>
    </i>
    <i r="2">
      <x v="212"/>
    </i>
    <i r="1">
      <x v="229"/>
    </i>
    <i r="2">
      <x v="213"/>
    </i>
    <i r="1">
      <x v="230"/>
    </i>
    <i r="2">
      <x v="214"/>
    </i>
    <i r="1">
      <x v="231"/>
    </i>
    <i r="2">
      <x v="215"/>
    </i>
    <i r="1">
      <x v="232"/>
    </i>
    <i r="2">
      <x v="216"/>
    </i>
    <i r="1">
      <x v="233"/>
    </i>
    <i r="2">
      <x v="217"/>
    </i>
    <i r="1">
      <x v="234"/>
    </i>
    <i r="2">
      <x v="218"/>
    </i>
    <i r="1">
      <x v="235"/>
    </i>
    <i r="2">
      <x v="219"/>
    </i>
    <i r="1">
      <x v="236"/>
    </i>
    <i r="2">
      <x v="220"/>
    </i>
    <i r="1">
      <x v="237"/>
    </i>
    <i r="2">
      <x v="221"/>
    </i>
    <i r="1">
      <x v="239"/>
    </i>
    <i r="2">
      <x v="222"/>
    </i>
    <i r="1">
      <x v="240"/>
    </i>
    <i r="2">
      <x v="223"/>
    </i>
    <i r="1">
      <x v="241"/>
    </i>
    <i r="2">
      <x v="224"/>
    </i>
    <i r="1">
      <x v="242"/>
    </i>
    <i r="2">
      <x v="225"/>
    </i>
    <i r="1">
      <x v="243"/>
    </i>
    <i r="2">
      <x v="226"/>
    </i>
    <i r="1">
      <x v="244"/>
    </i>
    <i r="2">
      <x v="227"/>
    </i>
    <i>
      <x v="9"/>
    </i>
    <i r="1">
      <x v="245"/>
    </i>
    <i r="2">
      <x v="228"/>
    </i>
    <i r="1">
      <x v="246"/>
    </i>
    <i r="2">
      <x v="229"/>
    </i>
    <i r="1">
      <x v="247"/>
    </i>
    <i r="2">
      <x v="230"/>
    </i>
    <i r="1">
      <x v="248"/>
    </i>
    <i r="2">
      <x v="231"/>
    </i>
    <i r="1">
      <x v="249"/>
    </i>
    <i r="2">
      <x v="232"/>
    </i>
    <i r="1">
      <x v="250"/>
    </i>
    <i r="2">
      <x v="233"/>
    </i>
    <i r="1">
      <x v="251"/>
    </i>
    <i r="2">
      <x v="234"/>
    </i>
    <i r="1">
      <x v="252"/>
    </i>
    <i r="2">
      <x v="235"/>
    </i>
    <i r="1">
      <x v="253"/>
    </i>
    <i r="2">
      <x v="236"/>
    </i>
    <i r="1">
      <x v="254"/>
    </i>
    <i r="2">
      <x v="237"/>
    </i>
    <i r="1">
      <x v="255"/>
    </i>
    <i r="2">
      <x v="238"/>
    </i>
    <i r="1">
      <x v="256"/>
    </i>
    <i r="2">
      <x v="239"/>
    </i>
    <i r="1">
      <x v="257"/>
    </i>
    <i r="2">
      <x v="240"/>
    </i>
    <i r="1">
      <x v="258"/>
    </i>
    <i r="2">
      <x v="241"/>
    </i>
    <i r="1">
      <x v="259"/>
    </i>
    <i r="2">
      <x v="242"/>
    </i>
    <i r="1">
      <x v="260"/>
    </i>
    <i r="2">
      <x v="243"/>
    </i>
    <i r="1">
      <x v="262"/>
    </i>
    <i r="2">
      <x v="244"/>
    </i>
    <i r="1">
      <x v="263"/>
    </i>
    <i r="2">
      <x v="245"/>
    </i>
    <i r="1">
      <x v="264"/>
    </i>
    <i r="2">
      <x v="246"/>
    </i>
    <i r="1">
      <x v="265"/>
    </i>
    <i r="2">
      <x v="247"/>
    </i>
    <i r="1">
      <x v="266"/>
    </i>
    <i r="2">
      <x v="248"/>
    </i>
    <i r="1">
      <x v="268"/>
    </i>
    <i r="2">
      <x v="249"/>
    </i>
    <i r="1">
      <x v="269"/>
    </i>
    <i r="2">
      <x v="250"/>
    </i>
    <i r="1">
      <x v="270"/>
    </i>
    <i r="2">
      <x v="251"/>
    </i>
    <i r="1">
      <x v="272"/>
    </i>
    <i r="2">
      <x v="252"/>
    </i>
    <i r="1">
      <x v="273"/>
    </i>
    <i r="2">
      <x v="253"/>
    </i>
    <i r="1">
      <x v="274"/>
    </i>
    <i r="2">
      <x v="254"/>
    </i>
    <i>
      <x v="10"/>
    </i>
    <i r="1">
      <x v="275"/>
    </i>
    <i r="2">
      <x v="255"/>
    </i>
    <i r="1">
      <x v="276"/>
    </i>
    <i r="2">
      <x v="256"/>
    </i>
    <i r="1">
      <x v="278"/>
    </i>
    <i r="2">
      <x v="257"/>
    </i>
    <i r="1">
      <x v="279"/>
    </i>
    <i r="2">
      <x v="258"/>
    </i>
    <i r="1">
      <x v="280"/>
    </i>
    <i r="2">
      <x v="259"/>
    </i>
    <i r="1">
      <x v="281"/>
    </i>
    <i r="2">
      <x v="260"/>
    </i>
    <i r="1">
      <x v="282"/>
    </i>
    <i r="2">
      <x v="261"/>
    </i>
    <i r="1">
      <x v="283"/>
    </i>
    <i r="2">
      <x v="262"/>
    </i>
    <i r="1">
      <x v="284"/>
    </i>
    <i r="2">
      <x v="263"/>
    </i>
    <i r="1">
      <x v="285"/>
    </i>
    <i r="2">
      <x v="264"/>
    </i>
    <i r="1">
      <x v="286"/>
    </i>
    <i r="2">
      <x v="265"/>
    </i>
    <i r="1">
      <x v="287"/>
    </i>
    <i r="2">
      <x v="266"/>
    </i>
    <i r="1">
      <x v="289"/>
    </i>
    <i r="2">
      <x v="267"/>
    </i>
    <i r="1">
      <x v="290"/>
    </i>
    <i r="2">
      <x v="268"/>
    </i>
    <i r="1">
      <x v="291"/>
    </i>
    <i r="2">
      <x v="269"/>
    </i>
    <i r="1">
      <x v="292"/>
    </i>
    <i r="2">
      <x v="270"/>
    </i>
    <i r="1">
      <x v="294"/>
    </i>
    <i r="2">
      <x v="271"/>
    </i>
    <i r="1">
      <x v="295"/>
    </i>
    <i r="2">
      <x v="272"/>
    </i>
    <i r="1">
      <x v="296"/>
    </i>
    <i r="2">
      <x v="273"/>
    </i>
    <i r="1">
      <x v="297"/>
    </i>
    <i r="2">
      <x v="274"/>
    </i>
    <i r="1">
      <x v="298"/>
    </i>
    <i r="2">
      <x v="275"/>
    </i>
    <i r="1">
      <x v="300"/>
    </i>
    <i r="2">
      <x v="276"/>
    </i>
    <i r="1">
      <x v="302"/>
    </i>
    <i r="2">
      <x v="277"/>
    </i>
    <i r="1">
      <x v="303"/>
    </i>
    <i r="2">
      <x v="278"/>
    </i>
    <i r="1">
      <x v="304"/>
    </i>
    <i r="2">
      <x v="279"/>
    </i>
    <i r="1">
      <x v="305"/>
    </i>
    <i r="2">
      <x v="280"/>
    </i>
    <i>
      <x v="11"/>
    </i>
    <i r="1">
      <x v="307"/>
    </i>
    <i r="2">
      <x v="281"/>
    </i>
    <i r="1">
      <x v="310"/>
    </i>
    <i r="2">
      <x v="282"/>
    </i>
    <i r="1">
      <x v="311"/>
    </i>
    <i r="2">
      <x v="283"/>
    </i>
    <i r="1">
      <x v="312"/>
    </i>
    <i r="2">
      <x v="284"/>
    </i>
    <i r="1">
      <x v="313"/>
    </i>
    <i r="2">
      <x v="285"/>
    </i>
    <i r="1">
      <x v="314"/>
    </i>
    <i r="2">
      <x v="286"/>
    </i>
    <i r="1">
      <x v="315"/>
    </i>
    <i r="2">
      <x v="287"/>
    </i>
    <i r="1">
      <x v="316"/>
    </i>
    <i r="2">
      <x v="288"/>
    </i>
    <i r="1">
      <x v="317"/>
    </i>
    <i r="2">
      <x v="289"/>
    </i>
    <i r="1">
      <x v="319"/>
    </i>
    <i r="2">
      <x v="290"/>
    </i>
    <i r="1">
      <x v="320"/>
    </i>
    <i r="2">
      <x v="291"/>
    </i>
    <i r="1">
      <x v="321"/>
    </i>
    <i r="2">
      <x v="292"/>
    </i>
    <i r="1">
      <x v="322"/>
    </i>
    <i r="2">
      <x v="293"/>
    </i>
    <i r="1">
      <x v="323"/>
    </i>
    <i r="2">
      <x v="294"/>
    </i>
    <i r="1">
      <x v="324"/>
    </i>
    <i r="2">
      <x v="295"/>
    </i>
    <i r="1">
      <x v="325"/>
    </i>
    <i r="2">
      <x v="296"/>
    </i>
    <i r="1">
      <x v="326"/>
    </i>
    <i r="2">
      <x v="297"/>
    </i>
    <i r="1">
      <x v="327"/>
    </i>
    <i r="2">
      <x v="298"/>
    </i>
    <i r="1">
      <x v="328"/>
    </i>
    <i r="2">
      <x v="299"/>
    </i>
    <i r="1">
      <x v="329"/>
    </i>
    <i r="2">
      <x v="300"/>
    </i>
    <i r="1">
      <x v="330"/>
    </i>
    <i r="2">
      <x v="301"/>
    </i>
    <i r="1">
      <x v="331"/>
    </i>
    <i r="2">
      <x v="302"/>
    </i>
    <i r="1">
      <x v="334"/>
    </i>
    <i r="2">
      <x v="303"/>
    </i>
    <i r="1">
      <x v="335"/>
    </i>
    <i r="2">
      <x v="304"/>
    </i>
    <i>
      <x v="12"/>
    </i>
    <i r="1">
      <x v="336"/>
    </i>
    <i r="2">
      <x v="305"/>
    </i>
    <i r="1">
      <x v="337"/>
    </i>
    <i r="2">
      <x v="306"/>
    </i>
    <i r="1">
      <x v="338"/>
    </i>
    <i r="2">
      <x v="307"/>
    </i>
    <i r="1">
      <x v="339"/>
    </i>
    <i r="2">
      <x v="308"/>
    </i>
    <i r="1">
      <x v="340"/>
    </i>
    <i r="2">
      <x v="309"/>
    </i>
    <i r="1">
      <x v="341"/>
    </i>
    <i r="2">
      <x v="310"/>
    </i>
    <i r="1">
      <x v="342"/>
    </i>
    <i r="2">
      <x v="311"/>
    </i>
    <i r="1">
      <x v="343"/>
    </i>
    <i r="2">
      <x v="312"/>
    </i>
    <i r="1">
      <x v="344"/>
    </i>
    <i r="2">
      <x v="313"/>
    </i>
    <i r="1">
      <x v="345"/>
    </i>
    <i r="2">
      <x v="314"/>
    </i>
    <i r="1">
      <x v="346"/>
    </i>
    <i r="2">
      <x v="315"/>
    </i>
    <i r="1">
      <x v="347"/>
    </i>
    <i r="2">
      <x v="316"/>
    </i>
    <i r="1">
      <x v="348"/>
    </i>
    <i r="2">
      <x v="317"/>
    </i>
    <i r="1">
      <x v="349"/>
    </i>
    <i r="2">
      <x v="318"/>
    </i>
    <i r="1">
      <x v="350"/>
    </i>
    <i r="2">
      <x v="319"/>
    </i>
    <i r="1">
      <x v="351"/>
    </i>
    <i r="2">
      <x v="320"/>
    </i>
    <i r="1">
      <x v="353"/>
    </i>
    <i r="2">
      <x v="321"/>
    </i>
    <i r="1">
      <x v="355"/>
    </i>
    <i r="2">
      <x v="322"/>
    </i>
    <i r="1">
      <x v="356"/>
    </i>
    <i r="2">
      <x v="323"/>
    </i>
    <i r="1">
      <x v="357"/>
    </i>
    <i r="2">
      <x v="324"/>
    </i>
    <i r="1">
      <x v="358"/>
    </i>
    <i r="2">
      <x v="325"/>
    </i>
    <i r="1">
      <x v="359"/>
    </i>
    <i r="2">
      <x v="326"/>
    </i>
    <i r="1">
      <x v="360"/>
    </i>
    <i r="2">
      <x v="327"/>
    </i>
    <i r="1">
      <x v="361"/>
    </i>
    <i r="2">
      <x v="328"/>
    </i>
    <i r="1">
      <x v="362"/>
    </i>
    <i r="2">
      <x v="329"/>
    </i>
    <i r="1">
      <x v="363"/>
    </i>
    <i r="2">
      <x v="330"/>
    </i>
    <i r="1">
      <x v="364"/>
    </i>
    <i r="2">
      <x v="33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CE7EF-3F59-468D-8829-996914E01DA6}" name="TablaDiná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53:E160" firstHeaderRow="1" firstDataRow="2" firstDataCol="1"/>
  <pivotFields count="22">
    <pivotField showAll="0">
      <items count="105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43">
        <item x="16"/>
        <item x="17"/>
        <item x="13"/>
        <item x="38"/>
        <item x="4"/>
        <item x="37"/>
        <item x="33"/>
        <item x="35"/>
        <item x="29"/>
        <item x="14"/>
        <item x="1"/>
        <item x="36"/>
        <item x="28"/>
        <item x="6"/>
        <item x="27"/>
        <item x="10"/>
        <item x="2"/>
        <item x="34"/>
        <item x="32"/>
        <item x="19"/>
        <item x="9"/>
        <item x="8"/>
        <item x="24"/>
        <item x="3"/>
        <item x="12"/>
        <item x="23"/>
        <item x="21"/>
        <item x="11"/>
        <item x="40"/>
        <item x="22"/>
        <item x="15"/>
        <item x="41"/>
        <item x="5"/>
        <item x="31"/>
        <item x="18"/>
        <item x="7"/>
        <item x="30"/>
        <item x="20"/>
        <item x="0"/>
        <item x="25"/>
        <item x="39"/>
        <item x="26"/>
        <item t="default"/>
      </items>
    </pivotField>
    <pivotField axis="axisRow" dataField="1" showAll="0">
      <items count="6">
        <item x="4"/>
        <item x="2"/>
        <item x="3"/>
        <item x="1"/>
        <item x="0"/>
        <item t="default"/>
      </items>
    </pivotField>
    <pivotField showAll="0">
      <items count="28">
        <item x="25"/>
        <item x="12"/>
        <item x="20"/>
        <item x="7"/>
        <item x="8"/>
        <item x="4"/>
        <item x="2"/>
        <item x="24"/>
        <item x="15"/>
        <item x="26"/>
        <item x="1"/>
        <item x="3"/>
        <item x="14"/>
        <item x="17"/>
        <item x="10"/>
        <item x="21"/>
        <item x="18"/>
        <item x="0"/>
        <item x="5"/>
        <item x="22"/>
        <item x="13"/>
        <item x="9"/>
        <item x="16"/>
        <item x="19"/>
        <item x="23"/>
        <item x="11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4" showAll="0"/>
    <pivotField numFmtId="14" showAll="0"/>
    <pivotField axis="axisCol" multipleItemSelectionAllowed="1" showAll="0">
      <items count="4">
        <item h="1" x="1"/>
        <item x="0"/>
        <item x="2"/>
        <item t="default"/>
      </items>
    </pivotField>
    <pivotField showAll="0"/>
    <pivotField numFmtId="164"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 v="1"/>
    </i>
    <i>
      <x v="2"/>
    </i>
    <i t="grand">
      <x/>
    </i>
  </colItems>
  <dataFields count="1">
    <dataField name="Cuenta de Tipo_Equipo" fld="8" subtotal="count" baseField="0" baseItem="0"/>
  </dataFields>
  <chartFormats count="10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" xr10:uid="{073C8DD6-26FC-4CEB-B385-A69036CCD97A}" sourceName="Trimestre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8"/>
    <pivotTable tabId="1" name="TablaDinámica19"/>
    <pivotTable tabId="1" name="TablaDinámica20"/>
    <pivotTable tabId="1" name="TablaDinámica21"/>
    <pivotTable tabId="1" name="TablaDinámica22"/>
  </pivotTables>
  <data>
    <tabular pivotCacheId="1989421439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estre" xr10:uid="{F4D1D301-671F-4CEF-8806-7135CADCB886}" sourceName="Semestre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8"/>
    <pivotTable tabId="1" name="TablaDinámica19"/>
    <pivotTable tabId="1" name="TablaDinámica20"/>
    <pivotTable tabId="1" name="TablaDinámica21"/>
    <pivotTable tabId="1" name="TablaDinámica22"/>
    <pivotTable tabId="1" name="TablaDinámica23"/>
  </pivotTables>
  <data>
    <tabular pivotCacheId="1989421439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áquinas" xr10:uid="{ED928518-A290-45F8-8791-5CB64814EF3B}" sourceName="Máquinas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7"/>
    <pivotTable tabId="1" name="TablaDinámica18"/>
    <pivotTable tabId="1" name="TablaDinámica19"/>
    <pivotTable tabId="1" name="TablaDinámica20"/>
    <pivotTable tabId="1" name="TablaDinámica21"/>
    <pivotTable tabId="1" name="TablaDinámica22"/>
    <pivotTable tabId="1" name="TablaDinámica23"/>
  </pivotTables>
  <data>
    <tabular pivotCacheId="1989421439">
      <items count="42">
        <i x="16" s="1"/>
        <i x="17" s="1"/>
        <i x="13" s="1"/>
        <i x="38" s="1"/>
        <i x="4" s="1"/>
        <i x="37" s="1"/>
        <i x="33" s="1"/>
        <i x="35" s="1"/>
        <i x="29" s="1"/>
        <i x="14" s="1"/>
        <i x="1" s="1"/>
        <i x="36" s="1"/>
        <i x="28" s="1"/>
        <i x="6" s="1"/>
        <i x="27" s="1"/>
        <i x="10" s="1"/>
        <i x="2" s="1"/>
        <i x="34" s="1"/>
        <i x="32" s="1"/>
        <i x="19" s="1"/>
        <i x="9" s="1"/>
        <i x="8" s="1"/>
        <i x="24" s="1"/>
        <i x="3" s="1"/>
        <i x="12" s="1"/>
        <i x="23" s="1"/>
        <i x="21" s="1"/>
        <i x="11" s="1"/>
        <i x="40" s="1"/>
        <i x="22" s="1"/>
        <i x="15" s="1"/>
        <i x="41" s="1"/>
        <i x="5" s="1"/>
        <i x="31" s="1"/>
        <i x="18" s="1"/>
        <i x="7" s="1"/>
        <i x="30" s="1"/>
        <i x="20" s="1"/>
        <i x="0" s="1"/>
        <i x="25" s="1"/>
        <i x="39" s="1"/>
        <i x="26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" xr10:uid="{401729E7-0522-48CC-A88B-809F18A09CC2}" sourceName="Marca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7"/>
    <pivotTable tabId="1" name="TablaDinámica18"/>
    <pivotTable tabId="1" name="TablaDinámica19"/>
    <pivotTable tabId="1" name="TablaDinámica20"/>
    <pivotTable tabId="1" name="TablaDinámica22"/>
    <pivotTable tabId="1" name="TablaDinámica23"/>
  </pivotTables>
  <data>
    <tabular pivotCacheId="1989421439">
      <items count="27">
        <i x="25" s="1"/>
        <i x="12" s="1"/>
        <i x="20" s="1"/>
        <i x="7" s="1"/>
        <i x="8" s="1"/>
        <i x="4" s="1"/>
        <i x="2" s="1"/>
        <i x="24" s="1"/>
        <i x="15" s="1"/>
        <i x="26" s="1"/>
        <i x="1" s="1"/>
        <i x="3" s="1"/>
        <i x="14" s="1"/>
        <i x="17" s="1"/>
        <i x="10" s="1"/>
        <i x="21" s="1"/>
        <i x="18" s="1"/>
        <i x="0" s="1"/>
        <i x="5" s="1"/>
        <i x="22" s="1"/>
        <i x="13" s="1"/>
        <i x="9" s="1"/>
        <i x="16" s="1"/>
        <i x="19" s="1"/>
        <i x="23" s="1"/>
        <i x="11" s="1"/>
        <i x="6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tus" xr10:uid="{0BD9085D-EEF7-4D4B-AA76-D3E1EB95FCF4}" sourceName="Estatus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7"/>
    <pivotTable tabId="1" name="TablaDinámica18"/>
    <pivotTable tabId="1" name="TablaDinámica19"/>
    <pivotTable tabId="1" name="TablaDinámica20"/>
    <pivotTable tabId="1" name="TablaDinámica21"/>
    <pivotTable tabId="1" name="TablaDinámica22"/>
    <pivotTable tabId="1" name="TablaDinámica23"/>
  </pivotTables>
  <data>
    <tabular pivotCacheId="1989421439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Texto" xr10:uid="{E4EECCE4-06A7-46E8-B18C-DF98A0D1FA88}" sourceName="Mes Texto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8"/>
    <pivotTable tabId="1" name="TablaDinámica19"/>
    <pivotTable tabId="1" name="TablaDinámica21"/>
    <pivotTable tabId="1" name="TablaDinámica22"/>
  </pivotTables>
  <data>
    <tabular pivotCacheId="1989421439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Equipo" xr10:uid="{D731D1B0-E21C-4858-9B4E-5E272BF676B5}" sourceName="Tipo_Equipo">
  <pivotTables>
    <pivotTable tabId="1" name="TablaDinámica1"/>
    <pivotTable tabId="1" name="TablaDinámica4"/>
    <pivotTable tabId="1" name="TablaDinámica5"/>
    <pivotTable tabId="1" name="TablaDinámica8"/>
    <pivotTable tabId="1" name="TablaDinámica9"/>
    <pivotTable tabId="1" name="TablaDinámica12"/>
    <pivotTable tabId="1" name="TablaDinámica13"/>
    <pivotTable tabId="1" name="TablaDinámica14"/>
    <pivotTable tabId="1" name="TablaDinámica15"/>
    <pivotTable tabId="1" name="TablaDinámica16"/>
    <pivotTable tabId="1" name="TablaDinámica19"/>
    <pivotTable tabId="1" name="TablaDinámica20"/>
    <pivotTable tabId="1" name="TablaDinámica21"/>
    <pivotTable tabId="1" name="TablaDinámica22"/>
    <pivotTable tabId="1" name="TablaDinámica23"/>
  </pivotTables>
  <data>
    <tabular pivotCacheId="1989421439">
      <items count="5">
        <i x="4" s="1"/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 1" xr10:uid="{90E0A037-A6C8-429E-B72C-C8FB6FBCD4A5}" cache="SegmentaciónDeDatos_Trimestre" caption="Trimestre" style="SlicerStyleDark4 2" rowHeight="410400"/>
  <slicer name="Semestre 1" xr10:uid="{FD369E83-62B0-4B15-8470-787BDF13BAA3}" cache="SegmentaciónDeDatos_Semestre" caption="Semestre" style="SlicerStyleDark4 2" rowHeight="324000"/>
  <slicer name="Máquinas 1" xr10:uid="{1C538890-24E2-445C-8EB7-5AC0C26A4242}" cache="SegmentaciónDeDatos_Máquinas" caption="Máquinas" style="SlicerStyleDark4 2" rowHeight="410400"/>
  <slicer name="Marca 1" xr10:uid="{54AF5592-9809-46E3-ADD5-EC59AA74138A}" cache="SegmentaciónDeDatos_Marca" caption="Marca" style="SlicerStyleDark4 2" rowHeight="410400"/>
  <slicer name="Estatus 1" xr10:uid="{0C256B53-88FB-44A7-9189-E5AB6A9065EC}" cache="SegmentaciónDeDatos_Estatus" caption="Estatus" style="SlicerStyleDark4 2" rowHeight="324000"/>
  <slicer name="Mes Texto 1" xr10:uid="{90AC1FB4-9AD3-4B60-A303-1E8952CE5028}" cache="SegmentaciónDeDatos_Mes_Texto" caption="Mes Texto" columnCount="3" style="SlicerStyleDark4 2" rowHeight="410400"/>
  <slicer name="Tipo_Equipo 1" xr10:uid="{A412AAD4-9C97-4B29-909D-CF73FEC66EE1}" cache="SegmentaciónDeDatos_Tipo_Equipo" caption="Tipo_Equipo" columnCount="2" style="SlicerStyleDark4 2" rowHeight="54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" xr10:uid="{E03CFB77-B24C-4A8E-9B6E-3656556C0058}" cache="SegmentaciónDeDatos_Trimestre" caption="Trimestre" rowHeight="257175"/>
  <slicer name="Semestre" xr10:uid="{BF1CBDA0-E218-4ABA-846A-DF928048DC2D}" cache="SegmentaciónDeDatos_Semestre" caption="Semestre" rowHeight="257175"/>
  <slicer name="Máquinas" xr10:uid="{ABCFC565-F76D-4B05-BD08-07E84EC75ED9}" cache="SegmentaciónDeDatos_Máquinas" caption="Máquinas" rowHeight="257175"/>
  <slicer name="Marca" xr10:uid="{453FAA3A-E6FE-4B51-A0B9-DD3A887C37DB}" cache="SegmentaciónDeDatos_Marca" caption="Marca" rowHeight="257175"/>
  <slicer name="Estatus" xr10:uid="{7D63850E-172D-4E63-B41F-648B55B2B2D7}" cache="SegmentaciónDeDatos_Estatus" caption="Estatus" rowHeight="257175"/>
  <slicer name="Mes Texto" xr10:uid="{A596AA94-DA29-493B-ACA5-2E60DA98801A}" cache="SegmentaciónDeDatos_Mes_Texto" caption="Mes Texto" rowHeight="257175"/>
  <slicer name="Tipo_Equipo" xr10:uid="{8CC93DD7-F9BF-4DD8-BB2D-67DE966A3066}" cache="SegmentaciónDeDatos_Tipo_Equipo" caption="Tipo_Equip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DF4FC-CFEA-4C5A-B8A9-A03399AD5BB5}" name="Datos" displayName="Datos" ref="A1:T1052" totalsRowShown="0">
  <autoFilter ref="A1:T1052" xr:uid="{59599AD5-4328-44BB-9B04-4A1ECDF4A933}"/>
  <tableColumns count="20">
    <tableColumn id="1" xr3:uid="{B93D1ACD-A2F7-4F18-9307-D606AA347BD0}" name="ID orden"/>
    <tableColumn id="2" xr3:uid="{1ABBEEED-E989-4D9A-86A6-6254F28F96B4}" name="Fecha" dataDxfId="4"/>
    <tableColumn id="3" xr3:uid="{1FA9FF80-4023-4692-86E1-6BD96A5F34B9}" name="Mes Texto"/>
    <tableColumn id="4" xr3:uid="{02BBB165-7C2A-4558-A1DF-4C4613DF77D9}" name="Mes"/>
    <tableColumn id="5" xr3:uid="{F0C44BAF-6A3D-409B-B34F-92ED032AF63D}" name="Trimestre">
      <calculatedColumnFormula>+CONCATENATE("T",ROUNDUP(MONTH(Datos[[#This Row],[Fecha]])/3,0))</calculatedColumnFormula>
    </tableColumn>
    <tableColumn id="6" xr3:uid="{0ED51CFF-E0B5-4D3F-8A38-C4F8E4CF1A1B}" name="Semestre">
      <calculatedColumnFormula>+CONCATENATE("Sem"," ",ROUNDUP(MONTH(Datos[[#This Row],[Fecha]])/6,0))</calculatedColumnFormula>
    </tableColumn>
    <tableColumn id="7" xr3:uid="{9B278976-2BC0-427C-83B5-D7DE5A788129}" name="Código_Máquina"/>
    <tableColumn id="8" xr3:uid="{234314B4-4FD9-4C2B-8D1F-418AA7B1C537}" name="Máquinas"/>
    <tableColumn id="9" xr3:uid="{9A9B203B-A8B0-4B64-8F1A-89231FCE8CF8}" name="Tipo_Equipo"/>
    <tableColumn id="10" xr3:uid="{2BE0239D-9FB2-4A0E-99F1-6F65D440E117}" name="Marca"/>
    <tableColumn id="11" xr3:uid="{5B39FB40-6203-47B1-A911-E35683A7C47A}" name="Actividades a Realizar"/>
    <tableColumn id="12" xr3:uid="{DCF3C156-9A4C-458D-BFA3-255B1CEA83BB}" name="Estatus"/>
    <tableColumn id="13" xr3:uid="{C7C94E05-054E-4256-BB18-8D311561D04D}" name="Frecuencia_M.P. "/>
    <tableColumn id="14" xr3:uid="{E5400850-4727-464F-B0CE-3626440EA905}" name="Día_Inicio" dataDxfId="3"/>
    <tableColumn id="15" xr3:uid="{3E3D371F-D6C1-43E8-9F0D-DC664DDD8129}" name="Fecha_Final" dataDxfId="2"/>
    <tableColumn id="16" xr3:uid="{FA62C83D-311A-46A8-A978-461B5872662D}" name="Diagnostico"/>
    <tableColumn id="17" xr3:uid="{16D82343-F8A7-4CDA-AE23-78F15559C1F9}" name="Tiempo_Demora(Días)">
      <calculatedColumnFormula>+IF(OR(Datos[[#This Row],[Diagnostico]]="Inservible",Datos[[#This Row],[Estatus]]="Preventivo"),0,Datos[[#This Row],[Fecha_Final]]-Datos[[#This Row],[Día_Inicio]])</calculatedColumnFormula>
    </tableColumn>
    <tableColumn id="18" xr3:uid="{224C7C8D-3A8B-421F-BC27-FDB7F1A97A3B}" name="Costo_Mano_Obra" dataDxfId="1" dataCellStyle="Millares"/>
    <tableColumn id="19" xr3:uid="{984955C8-825A-49AA-A903-9226A8831F3A}" name="Costo_Materiales" dataDxfId="0" dataCellStyle="Millares"/>
    <tableColumn id="20" xr3:uid="{C8B9737B-0490-41C9-B78C-C7D4D77891A3}" name="Estado_Manten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microsoft.com/office/2007/relationships/slicer" Target="../slicers/slicer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84FA-4D0C-408B-AB7B-CA06FAE31321}">
  <sheetPr>
    <tabColor rgb="FF6661C1"/>
  </sheetPr>
  <dimension ref="A1:AO100"/>
  <sheetViews>
    <sheetView tabSelected="1" zoomScale="55" zoomScaleNormal="55" workbookViewId="0">
      <selection activeCell="C53" sqref="C53"/>
    </sheetView>
  </sheetViews>
  <sheetFormatPr baseColWidth="10" defaultRowHeight="15" x14ac:dyDescent="0.25"/>
  <cols>
    <col min="1" max="2" width="25.28515625" customWidth="1"/>
    <col min="30" max="30" width="10" customWidth="1"/>
  </cols>
  <sheetData>
    <row r="1" spans="1:41" ht="21" customHeight="1" x14ac:dyDescent="0.25">
      <c r="A1" s="14"/>
      <c r="B1" s="14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spans="1:41" x14ac:dyDescent="0.25">
      <c r="A2" s="14"/>
      <c r="B2" s="14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 spans="1:41" x14ac:dyDescent="0.25">
      <c r="A3" s="14"/>
      <c r="B3" s="14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 spans="1:41" x14ac:dyDescent="0.25">
      <c r="A4" s="14"/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 spans="1:41" x14ac:dyDescent="0.25">
      <c r="A5" s="14"/>
      <c r="B5" s="1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 spans="1:41" x14ac:dyDescent="0.25">
      <c r="A6" s="14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 spans="1:41" x14ac:dyDescent="0.25">
      <c r="A7" s="14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 spans="1:41" x14ac:dyDescent="0.25">
      <c r="A8" s="14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 spans="1:41" x14ac:dyDescent="0.25">
      <c r="A9" s="14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x14ac:dyDescent="0.25">
      <c r="A10" s="14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x14ac:dyDescent="0.25">
      <c r="A11" s="14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 spans="1:41" x14ac:dyDescent="0.25">
      <c r="A12" s="14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 spans="1:41" x14ac:dyDescent="0.25">
      <c r="A13" s="14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spans="1:41" x14ac:dyDescent="0.25">
      <c r="A14" s="14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spans="1:41" x14ac:dyDescent="0.25">
      <c r="A15" s="14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 spans="1:41" x14ac:dyDescent="0.25">
      <c r="A16" s="14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x14ac:dyDescent="0.25">
      <c r="A17" s="14"/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x14ac:dyDescent="0.25">
      <c r="A18" s="14"/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x14ac:dyDescent="0.25">
      <c r="A19" s="14"/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 spans="1:41" x14ac:dyDescent="0.25">
      <c r="A20" s="14"/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 spans="1:41" x14ac:dyDescent="0.25">
      <c r="A21" s="14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 spans="1:41" x14ac:dyDescent="0.25">
      <c r="A22" s="14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 spans="1:41" x14ac:dyDescent="0.25">
      <c r="A23" s="14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 spans="1:41" x14ac:dyDescent="0.25">
      <c r="A24" s="14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 spans="1:41" x14ac:dyDescent="0.25">
      <c r="A25" s="14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 spans="1:41" x14ac:dyDescent="0.25">
      <c r="A26" s="14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 x14ac:dyDescent="0.25">
      <c r="A27" s="14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 spans="1:41" x14ac:dyDescent="0.25">
      <c r="A28" s="14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 spans="1:41" x14ac:dyDescent="0.25">
      <c r="A29" s="14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 spans="1:41" x14ac:dyDescent="0.25">
      <c r="A30" s="14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 spans="1:41" x14ac:dyDescent="0.25">
      <c r="A31" s="14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 x14ac:dyDescent="0.25">
      <c r="A32" s="14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 spans="1:41" x14ac:dyDescent="0.25">
      <c r="A33" s="14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 spans="1:41" x14ac:dyDescent="0.25">
      <c r="A34" s="14"/>
      <c r="B34" s="14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 spans="1:41" x14ac:dyDescent="0.25">
      <c r="A35" s="14"/>
      <c r="B35" s="1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 spans="1:41" x14ac:dyDescent="0.25">
      <c r="A36" s="14"/>
      <c r="B36" s="1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x14ac:dyDescent="0.25">
      <c r="A37" s="14"/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x14ac:dyDescent="0.25">
      <c r="A38" s="14"/>
      <c r="B38" s="1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</row>
    <row r="39" spans="1:41" x14ac:dyDescent="0.25">
      <c r="A39" s="14"/>
      <c r="B39" s="1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</row>
    <row r="40" spans="1:41" x14ac:dyDescent="0.25">
      <c r="A40" s="14"/>
      <c r="B40" s="1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 spans="1:41" x14ac:dyDescent="0.25">
      <c r="A41" s="14"/>
      <c r="B41" s="1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 spans="1:41" x14ac:dyDescent="0.25">
      <c r="A42" s="14"/>
      <c r="B42" s="14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 spans="1:41" x14ac:dyDescent="0.25">
      <c r="A43" s="14"/>
      <c r="B43" s="14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 spans="1:41" x14ac:dyDescent="0.25">
      <c r="A44" s="14"/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spans="1:41" x14ac:dyDescent="0.25">
      <c r="A45" s="14"/>
      <c r="B45" s="14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</row>
    <row r="46" spans="1:41" x14ac:dyDescent="0.25">
      <c r="A46" s="14"/>
      <c r="B46" s="1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</row>
    <row r="47" spans="1:41" x14ac:dyDescent="0.25">
      <c r="A47" s="14"/>
      <c r="B47" s="14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</row>
    <row r="48" spans="1:41" x14ac:dyDescent="0.25">
      <c r="A48" s="14"/>
      <c r="B48" s="1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 spans="1:41" x14ac:dyDescent="0.25">
      <c r="A49" s="14"/>
      <c r="B49" s="14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spans="1:41" ht="21" customHeight="1" x14ac:dyDescent="0.25">
      <c r="A50" s="14"/>
      <c r="B50" s="14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 spans="1:4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 spans="1:4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 spans="1:4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 spans="1:4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 spans="1:4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 spans="1:4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 spans="1:4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 spans="1:4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 spans="1:4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 spans="1:4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 spans="1:4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 spans="1:4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4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4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 spans="1:4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 spans="1:4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 spans="1:4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 spans="1:4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 spans="1:4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 spans="1:4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 spans="1:4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 spans="1:4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 spans="1:4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 spans="1:4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 spans="1:4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 spans="1:4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 spans="1:4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 spans="1:4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 spans="1:4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 spans="1:4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 spans="1:4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 spans="1:4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 spans="1:4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 spans="1:4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 spans="1:4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 spans="1:4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 spans="1:4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 spans="1:4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 spans="1:4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 spans="1:4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 spans="1:4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 spans="1:4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 spans="1:4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</row>
    <row r="94" spans="1:4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</row>
    <row r="95" spans="1:4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</row>
    <row r="96" spans="1:4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</row>
    <row r="97" spans="1:4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</row>
    <row r="98" spans="1:4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</row>
    <row r="99" spans="1:4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</row>
    <row r="100" spans="1:4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755D-7A00-4811-B685-12D1907CD7B2}">
  <sheetPr>
    <tabColor rgb="FFFFFF00"/>
  </sheetPr>
  <dimension ref="B1:R745"/>
  <sheetViews>
    <sheetView topLeftCell="A19" zoomScale="91" zoomScaleNormal="91" workbookViewId="0"/>
  </sheetViews>
  <sheetFormatPr baseColWidth="10" defaultRowHeight="15" x14ac:dyDescent="0.25"/>
  <cols>
    <col min="2" max="2" width="22.42578125" bestFit="1" customWidth="1"/>
    <col min="3" max="3" width="22.85546875" bestFit="1" customWidth="1"/>
    <col min="4" max="4" width="11.140625" bestFit="1" customWidth="1"/>
    <col min="5" max="5" width="12.5703125" bestFit="1" customWidth="1"/>
    <col min="6" max="6" width="19.28515625" bestFit="1" customWidth="1"/>
    <col min="7" max="7" width="19.140625" bestFit="1" customWidth="1"/>
    <col min="8" max="8" width="17.85546875" bestFit="1" customWidth="1"/>
    <col min="9" max="9" width="22.85546875" bestFit="1" customWidth="1"/>
    <col min="10" max="10" width="11.140625" bestFit="1" customWidth="1"/>
    <col min="11" max="12" width="12.5703125" bestFit="1" customWidth="1"/>
    <col min="13" max="13" width="20.140625" bestFit="1" customWidth="1"/>
    <col min="14" max="14" width="21.42578125" bestFit="1" customWidth="1"/>
    <col min="15" max="15" width="12" bestFit="1" customWidth="1"/>
    <col min="16" max="16" width="13.42578125" bestFit="1" customWidth="1"/>
    <col min="17" max="17" width="28" customWidth="1"/>
    <col min="18" max="18" width="16.85546875" customWidth="1"/>
  </cols>
  <sheetData>
    <row r="1" spans="2:15" x14ac:dyDescent="0.25">
      <c r="B1" t="s">
        <v>1247</v>
      </c>
      <c r="E1" t="s">
        <v>1243</v>
      </c>
      <c r="H1" t="s">
        <v>1244</v>
      </c>
      <c r="K1" t="s">
        <v>1245</v>
      </c>
      <c r="N1" t="s">
        <v>1246</v>
      </c>
    </row>
    <row r="2" spans="2:15" x14ac:dyDescent="0.25">
      <c r="B2" s="3" t="s">
        <v>19</v>
      </c>
      <c r="C2" t="s">
        <v>1242</v>
      </c>
      <c r="E2" s="3" t="s">
        <v>19</v>
      </c>
      <c r="F2" t="s">
        <v>64</v>
      </c>
      <c r="H2" s="3" t="s">
        <v>19</v>
      </c>
      <c r="I2" t="s">
        <v>42</v>
      </c>
      <c r="K2" s="3" t="s">
        <v>19</v>
      </c>
      <c r="L2" t="s">
        <v>91</v>
      </c>
      <c r="N2" s="3" t="s">
        <v>19</v>
      </c>
      <c r="O2" t="s">
        <v>59</v>
      </c>
    </row>
    <row r="4" spans="2:15" x14ac:dyDescent="0.25">
      <c r="B4" t="s">
        <v>1241</v>
      </c>
      <c r="E4" t="s">
        <v>1241</v>
      </c>
      <c r="H4" t="s">
        <v>1241</v>
      </c>
      <c r="K4" t="s">
        <v>1241</v>
      </c>
      <c r="N4" t="s">
        <v>1241</v>
      </c>
    </row>
    <row r="5" spans="2:15" x14ac:dyDescent="0.25">
      <c r="B5" s="13">
        <v>632</v>
      </c>
      <c r="E5" s="13">
        <v>82</v>
      </c>
      <c r="H5" s="13">
        <v>333</v>
      </c>
      <c r="K5" s="13">
        <v>146</v>
      </c>
      <c r="N5" s="13">
        <v>71</v>
      </c>
    </row>
    <row r="7" spans="2:15" x14ac:dyDescent="0.25">
      <c r="B7">
        <f>GETPIVOTDATA("ID orden",$B$4)</f>
        <v>632</v>
      </c>
      <c r="E7">
        <f>GETPIVOTDATA("ID orden",$E$4)</f>
        <v>82</v>
      </c>
      <c r="H7">
        <f>GETPIVOTDATA("ID orden",$H$4)</f>
        <v>333</v>
      </c>
      <c r="K7">
        <f>GETPIVOTDATA("ID orden",$K$4)</f>
        <v>146</v>
      </c>
      <c r="N7">
        <f>GETPIVOTDATA("ID orden",$N$4)</f>
        <v>71</v>
      </c>
    </row>
    <row r="8" spans="2:15" x14ac:dyDescent="0.25">
      <c r="B8" s="5">
        <v>1</v>
      </c>
      <c r="C8" s="5">
        <f>1-B8</f>
        <v>0</v>
      </c>
      <c r="E8" s="6">
        <f>E7/B7</f>
        <v>0.12974683544303797</v>
      </c>
      <c r="F8" s="7">
        <f>1-E8</f>
        <v>0.870253164556962</v>
      </c>
      <c r="H8" s="6">
        <f>H7/B7</f>
        <v>0.52689873417721522</v>
      </c>
      <c r="I8" s="7">
        <f>1-H8</f>
        <v>0.47310126582278478</v>
      </c>
      <c r="K8" s="6">
        <f>K7/B7</f>
        <v>0.23101265822784811</v>
      </c>
      <c r="L8" s="7">
        <f>1-K8</f>
        <v>0.76898734177215189</v>
      </c>
      <c r="N8" s="6">
        <f>N7/B7</f>
        <v>0.11234177215189874</v>
      </c>
      <c r="O8" s="7">
        <f>1-N8</f>
        <v>0.88765822784810122</v>
      </c>
    </row>
    <row r="10" spans="2:15" x14ac:dyDescent="0.25">
      <c r="B10" s="3" t="s">
        <v>19</v>
      </c>
      <c r="C10" t="s">
        <v>1242</v>
      </c>
      <c r="E10" s="3" t="s">
        <v>19</v>
      </c>
      <c r="F10" t="s">
        <v>64</v>
      </c>
      <c r="H10" s="3" t="s">
        <v>19</v>
      </c>
      <c r="I10" t="s">
        <v>42</v>
      </c>
      <c r="K10" s="3" t="s">
        <v>19</v>
      </c>
      <c r="L10" t="s">
        <v>91</v>
      </c>
      <c r="N10" s="3" t="s">
        <v>19</v>
      </c>
      <c r="O10" t="s">
        <v>59</v>
      </c>
    </row>
    <row r="12" spans="2:15" x14ac:dyDescent="0.25">
      <c r="B12" s="3" t="s">
        <v>1239</v>
      </c>
      <c r="C12" t="s">
        <v>1241</v>
      </c>
      <c r="E12" s="3" t="s">
        <v>1239</v>
      </c>
      <c r="F12" t="s">
        <v>1241</v>
      </c>
      <c r="H12" s="3" t="s">
        <v>1239</v>
      </c>
      <c r="I12" t="s">
        <v>1241</v>
      </c>
      <c r="K12" s="3" t="s">
        <v>1239</v>
      </c>
      <c r="L12" t="s">
        <v>1241</v>
      </c>
      <c r="N12" s="3" t="s">
        <v>1239</v>
      </c>
      <c r="O12" t="s">
        <v>1241</v>
      </c>
    </row>
    <row r="13" spans="2:15" x14ac:dyDescent="0.25">
      <c r="B13" s="4">
        <v>1</v>
      </c>
      <c r="C13">
        <v>59</v>
      </c>
      <c r="E13" s="4">
        <v>1</v>
      </c>
      <c r="F13">
        <v>7</v>
      </c>
      <c r="H13" s="4">
        <v>1</v>
      </c>
      <c r="I13">
        <v>33</v>
      </c>
      <c r="K13" s="4">
        <v>1</v>
      </c>
      <c r="L13">
        <v>13</v>
      </c>
      <c r="N13" s="4">
        <v>1</v>
      </c>
      <c r="O13">
        <v>6</v>
      </c>
    </row>
    <row r="14" spans="2:15" x14ac:dyDescent="0.25">
      <c r="B14" s="4">
        <v>2</v>
      </c>
      <c r="C14">
        <v>58</v>
      </c>
      <c r="E14" s="4">
        <v>2</v>
      </c>
      <c r="F14">
        <v>5</v>
      </c>
      <c r="H14" s="4">
        <v>2</v>
      </c>
      <c r="I14">
        <v>29</v>
      </c>
      <c r="K14" s="4">
        <v>2</v>
      </c>
      <c r="L14">
        <v>18</v>
      </c>
      <c r="N14" s="4">
        <v>2</v>
      </c>
      <c r="O14">
        <v>6</v>
      </c>
    </row>
    <row r="15" spans="2:15" x14ac:dyDescent="0.25">
      <c r="B15" s="4">
        <v>3</v>
      </c>
      <c r="C15">
        <v>53</v>
      </c>
      <c r="E15" s="4">
        <v>3</v>
      </c>
      <c r="F15">
        <v>4</v>
      </c>
      <c r="H15" s="4">
        <v>3</v>
      </c>
      <c r="I15">
        <v>32</v>
      </c>
      <c r="K15" s="4">
        <v>3</v>
      </c>
      <c r="L15">
        <v>11</v>
      </c>
      <c r="N15" s="4">
        <v>3</v>
      </c>
      <c r="O15">
        <v>6</v>
      </c>
    </row>
    <row r="16" spans="2:15" x14ac:dyDescent="0.25">
      <c r="B16" s="4">
        <v>4</v>
      </c>
      <c r="C16">
        <v>58</v>
      </c>
      <c r="E16" s="4">
        <v>4</v>
      </c>
      <c r="F16">
        <v>8</v>
      </c>
      <c r="H16" s="4">
        <v>4</v>
      </c>
      <c r="I16">
        <v>33</v>
      </c>
      <c r="K16" s="4">
        <v>4</v>
      </c>
      <c r="L16">
        <v>13</v>
      </c>
      <c r="N16" s="4">
        <v>4</v>
      </c>
      <c r="O16">
        <v>4</v>
      </c>
    </row>
    <row r="17" spans="2:15" x14ac:dyDescent="0.25">
      <c r="B17" s="4">
        <v>5</v>
      </c>
      <c r="C17">
        <v>57</v>
      </c>
      <c r="E17" s="4">
        <v>5</v>
      </c>
      <c r="F17">
        <v>9</v>
      </c>
      <c r="H17" s="4">
        <v>5</v>
      </c>
      <c r="I17">
        <v>29</v>
      </c>
      <c r="K17" s="4">
        <v>5</v>
      </c>
      <c r="L17">
        <v>10</v>
      </c>
      <c r="N17" s="4">
        <v>5</v>
      </c>
      <c r="O17">
        <v>9</v>
      </c>
    </row>
    <row r="18" spans="2:15" x14ac:dyDescent="0.25">
      <c r="B18" s="4">
        <v>6</v>
      </c>
      <c r="C18">
        <v>54</v>
      </c>
      <c r="E18" s="4">
        <v>6</v>
      </c>
      <c r="F18">
        <v>9</v>
      </c>
      <c r="H18" s="4">
        <v>6</v>
      </c>
      <c r="I18">
        <v>26</v>
      </c>
      <c r="K18" s="4">
        <v>6</v>
      </c>
      <c r="L18">
        <v>13</v>
      </c>
      <c r="N18" s="4">
        <v>6</v>
      </c>
      <c r="O18">
        <v>6</v>
      </c>
    </row>
    <row r="19" spans="2:15" x14ac:dyDescent="0.25">
      <c r="B19" s="4">
        <v>7</v>
      </c>
      <c r="C19">
        <v>46</v>
      </c>
      <c r="E19" s="4">
        <v>7</v>
      </c>
      <c r="F19">
        <v>4</v>
      </c>
      <c r="H19" s="4">
        <v>7</v>
      </c>
      <c r="I19">
        <v>23</v>
      </c>
      <c r="K19" s="4">
        <v>7</v>
      </c>
      <c r="L19">
        <v>12</v>
      </c>
      <c r="N19" s="4">
        <v>7</v>
      </c>
      <c r="O19">
        <v>7</v>
      </c>
    </row>
    <row r="20" spans="2:15" x14ac:dyDescent="0.25">
      <c r="B20" s="4">
        <v>8</v>
      </c>
      <c r="C20">
        <v>65</v>
      </c>
      <c r="E20" s="4">
        <v>8</v>
      </c>
      <c r="F20">
        <v>10</v>
      </c>
      <c r="H20" s="4">
        <v>8</v>
      </c>
      <c r="I20">
        <v>26</v>
      </c>
      <c r="K20" s="4">
        <v>8</v>
      </c>
      <c r="L20">
        <v>19</v>
      </c>
      <c r="N20" s="4">
        <v>8</v>
      </c>
      <c r="O20">
        <v>10</v>
      </c>
    </row>
    <row r="21" spans="2:15" x14ac:dyDescent="0.25">
      <c r="B21" s="4">
        <v>9</v>
      </c>
      <c r="C21">
        <v>53</v>
      </c>
      <c r="E21" s="4">
        <v>9</v>
      </c>
      <c r="F21">
        <v>7</v>
      </c>
      <c r="H21" s="4">
        <v>9</v>
      </c>
      <c r="I21">
        <v>30</v>
      </c>
      <c r="K21" s="4">
        <v>9</v>
      </c>
      <c r="L21">
        <v>11</v>
      </c>
      <c r="N21" s="4">
        <v>9</v>
      </c>
      <c r="O21">
        <v>5</v>
      </c>
    </row>
    <row r="22" spans="2:15" x14ac:dyDescent="0.25">
      <c r="B22" s="4">
        <v>10</v>
      </c>
      <c r="C22">
        <v>52</v>
      </c>
      <c r="E22" s="4">
        <v>10</v>
      </c>
      <c r="F22">
        <v>9</v>
      </c>
      <c r="H22" s="4">
        <v>10</v>
      </c>
      <c r="I22">
        <v>26</v>
      </c>
      <c r="K22" s="4">
        <v>10</v>
      </c>
      <c r="L22">
        <v>9</v>
      </c>
      <c r="N22" s="4">
        <v>10</v>
      </c>
      <c r="O22">
        <v>8</v>
      </c>
    </row>
    <row r="23" spans="2:15" x14ac:dyDescent="0.25">
      <c r="B23" s="4">
        <v>11</v>
      </c>
      <c r="C23">
        <v>29</v>
      </c>
      <c r="E23" s="4">
        <v>11</v>
      </c>
      <c r="F23">
        <v>4</v>
      </c>
      <c r="H23" s="4">
        <v>11</v>
      </c>
      <c r="I23">
        <v>15</v>
      </c>
      <c r="K23" s="4">
        <v>11</v>
      </c>
      <c r="L23">
        <v>7</v>
      </c>
      <c r="N23" s="4">
        <v>11</v>
      </c>
      <c r="O23">
        <v>3</v>
      </c>
    </row>
    <row r="24" spans="2:15" x14ac:dyDescent="0.25">
      <c r="B24" s="4">
        <v>12</v>
      </c>
      <c r="C24">
        <v>48</v>
      </c>
      <c r="E24" s="4">
        <v>12</v>
      </c>
      <c r="F24">
        <v>6</v>
      </c>
      <c r="H24" s="4">
        <v>12</v>
      </c>
      <c r="I24">
        <v>31</v>
      </c>
      <c r="K24" s="4">
        <v>12</v>
      </c>
      <c r="L24">
        <v>10</v>
      </c>
      <c r="N24" s="4">
        <v>12</v>
      </c>
      <c r="O24">
        <v>1</v>
      </c>
    </row>
    <row r="25" spans="2:15" x14ac:dyDescent="0.25">
      <c r="B25" s="4" t="s">
        <v>1240</v>
      </c>
      <c r="C25">
        <v>632</v>
      </c>
      <c r="E25" s="4" t="s">
        <v>1240</v>
      </c>
      <c r="F25">
        <v>82</v>
      </c>
      <c r="H25" s="4" t="s">
        <v>1240</v>
      </c>
      <c r="I25">
        <v>333</v>
      </c>
      <c r="K25" s="4" t="s">
        <v>1240</v>
      </c>
      <c r="L25">
        <v>146</v>
      </c>
      <c r="N25" s="4" t="s">
        <v>1240</v>
      </c>
      <c r="O25">
        <v>71</v>
      </c>
    </row>
    <row r="65" spans="2:18" x14ac:dyDescent="0.25">
      <c r="F65" t="s">
        <v>1252</v>
      </c>
      <c r="I65" t="s">
        <v>1254</v>
      </c>
      <c r="L65" s="3" t="s">
        <v>19</v>
      </c>
      <c r="M65" t="s">
        <v>42</v>
      </c>
      <c r="O65" t="s">
        <v>1257</v>
      </c>
    </row>
    <row r="66" spans="2:18" x14ac:dyDescent="0.25">
      <c r="F66" s="3" t="s">
        <v>15</v>
      </c>
      <c r="G66" t="s">
        <v>28</v>
      </c>
      <c r="I66" s="3" t="s">
        <v>15</v>
      </c>
      <c r="J66" t="s">
        <v>58</v>
      </c>
      <c r="L66" s="3" t="s">
        <v>16</v>
      </c>
      <c r="M66" t="s">
        <v>1242</v>
      </c>
    </row>
    <row r="67" spans="2:18" x14ac:dyDescent="0.25">
      <c r="B67" t="s">
        <v>1248</v>
      </c>
      <c r="D67" t="s">
        <v>1250</v>
      </c>
      <c r="F67" t="s">
        <v>1252</v>
      </c>
    </row>
    <row r="68" spans="2:18" x14ac:dyDescent="0.25">
      <c r="B68" t="s">
        <v>1249</v>
      </c>
      <c r="D68" t="s">
        <v>1251</v>
      </c>
      <c r="F68" t="s">
        <v>1253</v>
      </c>
      <c r="I68" t="s">
        <v>1253</v>
      </c>
      <c r="L68" t="s">
        <v>1256</v>
      </c>
      <c r="O68" s="3" t="s">
        <v>1239</v>
      </c>
      <c r="Q68" t="s">
        <v>1286</v>
      </c>
      <c r="R68" s="1">
        <f>MAX(O:O)</f>
        <v>45289</v>
      </c>
    </row>
    <row r="69" spans="2:18" x14ac:dyDescent="0.25">
      <c r="B69" s="8">
        <v>443166</v>
      </c>
      <c r="D69" s="8">
        <v>348926</v>
      </c>
      <c r="F69" s="13">
        <v>419</v>
      </c>
      <c r="I69" s="13">
        <v>369</v>
      </c>
      <c r="L69" s="13">
        <v>15.871428571428572</v>
      </c>
      <c r="O69" s="4" t="s">
        <v>21</v>
      </c>
      <c r="Q69" t="s">
        <v>1287</v>
      </c>
      <c r="R69" s="1">
        <f ca="1">TODAY()</f>
        <v>46079</v>
      </c>
    </row>
    <row r="70" spans="2:18" x14ac:dyDescent="0.25">
      <c r="O70" s="10" t="s">
        <v>1258</v>
      </c>
    </row>
    <row r="71" spans="2:18" x14ac:dyDescent="0.25">
      <c r="B71" s="9">
        <f>GETPIVOTDATA("Costo_Mano_Obra",$B$68)</f>
        <v>443166</v>
      </c>
      <c r="D71">
        <f>GETPIVOTDATA("Costo_Materiales",$D$68)</f>
        <v>348926</v>
      </c>
      <c r="F71">
        <f>GETPIVOTDATA("Diagnostico",$F$68)</f>
        <v>419</v>
      </c>
      <c r="I71">
        <f>GETPIVOTDATA("Diagnostico",$I$68)</f>
        <v>369</v>
      </c>
      <c r="L71">
        <f>GETPIVOTDATA("Tiempo_Demora(Días)",$L$68)</f>
        <v>15.871428571428572</v>
      </c>
      <c r="O71" s="11">
        <v>44927</v>
      </c>
    </row>
    <row r="72" spans="2:18" x14ac:dyDescent="0.25">
      <c r="O72" s="10" t="s">
        <v>1259</v>
      </c>
      <c r="Q72" t="s">
        <v>1288</v>
      </c>
      <c r="R72" t="str">
        <f ca="1">CONCATENATE("Hace ",R69-R68," dias")</f>
        <v>Hace 790 dias</v>
      </c>
    </row>
    <row r="73" spans="2:18" x14ac:dyDescent="0.25">
      <c r="O73" s="11">
        <v>44928</v>
      </c>
    </row>
    <row r="74" spans="2:18" x14ac:dyDescent="0.25">
      <c r="O74" s="10" t="s">
        <v>1260</v>
      </c>
    </row>
    <row r="75" spans="2:18" x14ac:dyDescent="0.25">
      <c r="O75" s="11">
        <v>44929</v>
      </c>
    </row>
    <row r="76" spans="2:18" x14ac:dyDescent="0.25">
      <c r="O76" s="10" t="s">
        <v>1261</v>
      </c>
    </row>
    <row r="77" spans="2:18" x14ac:dyDescent="0.25">
      <c r="O77" s="11">
        <v>44930</v>
      </c>
    </row>
    <row r="78" spans="2:18" x14ac:dyDescent="0.25">
      <c r="E78" t="s">
        <v>1289</v>
      </c>
      <c r="I78" t="s">
        <v>1597</v>
      </c>
      <c r="O78" s="10" t="s">
        <v>1262</v>
      </c>
    </row>
    <row r="79" spans="2:18" x14ac:dyDescent="0.25">
      <c r="B79" t="s">
        <v>1606</v>
      </c>
      <c r="O79" s="11">
        <v>44931</v>
      </c>
    </row>
    <row r="80" spans="2:18" x14ac:dyDescent="0.25">
      <c r="B80" s="3" t="s">
        <v>1239</v>
      </c>
      <c r="C80" t="s">
        <v>1255</v>
      </c>
      <c r="E80" s="3" t="s">
        <v>1239</v>
      </c>
      <c r="F80" t="s">
        <v>1290</v>
      </c>
      <c r="G80" t="s">
        <v>1291</v>
      </c>
      <c r="I80" s="3" t="s">
        <v>1241</v>
      </c>
      <c r="J80" s="3" t="s">
        <v>1596</v>
      </c>
      <c r="O80" s="10" t="s">
        <v>1263</v>
      </c>
    </row>
    <row r="81" spans="2:15" x14ac:dyDescent="0.25">
      <c r="B81" s="4" t="s">
        <v>227</v>
      </c>
      <c r="C81" s="13">
        <v>101</v>
      </c>
      <c r="E81" s="4" t="s">
        <v>27</v>
      </c>
      <c r="F81" s="8">
        <v>261526</v>
      </c>
      <c r="G81" s="8">
        <v>200578</v>
      </c>
      <c r="I81" s="3" t="s">
        <v>1239</v>
      </c>
      <c r="J81" t="s">
        <v>27</v>
      </c>
      <c r="K81" t="s">
        <v>40</v>
      </c>
      <c r="L81" t="s">
        <v>1240</v>
      </c>
      <c r="O81" s="11">
        <v>44932</v>
      </c>
    </row>
    <row r="82" spans="2:15" x14ac:dyDescent="0.25">
      <c r="B82" s="4" t="s">
        <v>68</v>
      </c>
      <c r="C82" s="13">
        <v>1151</v>
      </c>
      <c r="E82" s="4" t="s">
        <v>40</v>
      </c>
      <c r="F82" s="8">
        <v>181640</v>
      </c>
      <c r="G82" s="8">
        <v>148348</v>
      </c>
      <c r="I82" s="4" t="s">
        <v>21</v>
      </c>
      <c r="J82" s="13">
        <v>71</v>
      </c>
      <c r="K82" s="13">
        <v>25</v>
      </c>
      <c r="L82" s="13">
        <v>96</v>
      </c>
      <c r="O82" s="10" t="s">
        <v>1264</v>
      </c>
    </row>
    <row r="83" spans="2:15" x14ac:dyDescent="0.25">
      <c r="B83" s="4" t="s">
        <v>101</v>
      </c>
      <c r="C83" s="13">
        <v>176</v>
      </c>
      <c r="E83" s="4" t="s">
        <v>1240</v>
      </c>
      <c r="F83" s="8">
        <v>443166</v>
      </c>
      <c r="G83" s="8">
        <v>348926</v>
      </c>
      <c r="I83" s="4" t="s">
        <v>266</v>
      </c>
      <c r="J83" s="13">
        <v>63</v>
      </c>
      <c r="K83" s="13">
        <v>19</v>
      </c>
      <c r="L83" s="13">
        <v>82</v>
      </c>
      <c r="O83" s="11">
        <v>44933</v>
      </c>
    </row>
    <row r="84" spans="2:15" x14ac:dyDescent="0.25">
      <c r="B84" s="4" t="s">
        <v>55</v>
      </c>
      <c r="C84" s="13">
        <v>116</v>
      </c>
      <c r="I84" s="4" t="s">
        <v>357</v>
      </c>
      <c r="J84" s="13">
        <v>69</v>
      </c>
      <c r="K84" s="13">
        <v>24</v>
      </c>
      <c r="L84" s="13">
        <v>93</v>
      </c>
      <c r="O84" s="10" t="s">
        <v>1265</v>
      </c>
    </row>
    <row r="85" spans="2:15" x14ac:dyDescent="0.25">
      <c r="B85" s="4" t="s">
        <v>24</v>
      </c>
      <c r="C85" s="13">
        <v>4056</v>
      </c>
      <c r="I85" s="4" t="s">
        <v>451</v>
      </c>
      <c r="J85" s="13">
        <v>59</v>
      </c>
      <c r="K85" s="13">
        <v>28</v>
      </c>
      <c r="L85" s="13">
        <v>87</v>
      </c>
      <c r="O85" s="11">
        <v>44934</v>
      </c>
    </row>
    <row r="86" spans="2:15" x14ac:dyDescent="0.25">
      <c r="B86" s="4" t="s">
        <v>1240</v>
      </c>
      <c r="C86" s="13">
        <v>5600</v>
      </c>
      <c r="I86" s="4" t="s">
        <v>539</v>
      </c>
      <c r="J86" s="13">
        <v>80</v>
      </c>
      <c r="K86" s="13">
        <v>26</v>
      </c>
      <c r="L86" s="13">
        <v>106</v>
      </c>
      <c r="O86" s="10" t="s">
        <v>1266</v>
      </c>
    </row>
    <row r="87" spans="2:15" x14ac:dyDescent="0.25">
      <c r="I87" s="4" t="s">
        <v>646</v>
      </c>
      <c r="J87" s="13">
        <v>71</v>
      </c>
      <c r="K87" s="13">
        <v>23</v>
      </c>
      <c r="L87" s="13">
        <v>94</v>
      </c>
      <c r="O87" s="11">
        <v>44935</v>
      </c>
    </row>
    <row r="88" spans="2:15" x14ac:dyDescent="0.25">
      <c r="I88" s="4" t="s">
        <v>741</v>
      </c>
      <c r="J88" s="13">
        <v>52</v>
      </c>
      <c r="K88" s="13">
        <v>19</v>
      </c>
      <c r="L88" s="13">
        <v>71</v>
      </c>
      <c r="O88" s="10" t="s">
        <v>1267</v>
      </c>
    </row>
    <row r="89" spans="2:15" x14ac:dyDescent="0.25">
      <c r="I89" s="4" t="s">
        <v>813</v>
      </c>
      <c r="J89" s="13">
        <v>74</v>
      </c>
      <c r="K89" s="13">
        <v>22</v>
      </c>
      <c r="L89" s="13">
        <v>96</v>
      </c>
      <c r="O89" s="11">
        <v>44936</v>
      </c>
    </row>
    <row r="90" spans="2:15" x14ac:dyDescent="0.25">
      <c r="I90" s="4" t="s">
        <v>910</v>
      </c>
      <c r="J90" s="13">
        <v>73</v>
      </c>
      <c r="K90" s="13">
        <v>21</v>
      </c>
      <c r="L90" s="13">
        <v>94</v>
      </c>
      <c r="O90" s="10" t="s">
        <v>1268</v>
      </c>
    </row>
    <row r="91" spans="2:15" x14ac:dyDescent="0.25">
      <c r="I91" s="4" t="s">
        <v>1005</v>
      </c>
      <c r="J91" s="13">
        <v>70</v>
      </c>
      <c r="K91" s="13">
        <v>21</v>
      </c>
      <c r="L91" s="13">
        <v>91</v>
      </c>
      <c r="O91" s="11">
        <v>44937</v>
      </c>
    </row>
    <row r="92" spans="2:15" x14ac:dyDescent="0.25">
      <c r="I92" s="4" t="s">
        <v>1097</v>
      </c>
      <c r="J92" s="13">
        <v>45</v>
      </c>
      <c r="K92" s="13">
        <v>12</v>
      </c>
      <c r="L92" s="13">
        <v>57</v>
      </c>
      <c r="O92" s="10" t="s">
        <v>1269</v>
      </c>
    </row>
    <row r="93" spans="2:15" x14ac:dyDescent="0.25">
      <c r="I93" s="4" t="s">
        <v>1155</v>
      </c>
      <c r="J93" s="13">
        <v>61</v>
      </c>
      <c r="K93" s="13">
        <v>23</v>
      </c>
      <c r="L93" s="13">
        <v>84</v>
      </c>
      <c r="O93" s="11">
        <v>44938</v>
      </c>
    </row>
    <row r="94" spans="2:15" x14ac:dyDescent="0.25">
      <c r="I94" s="4" t="s">
        <v>1240</v>
      </c>
      <c r="J94" s="13">
        <v>788</v>
      </c>
      <c r="K94" s="13">
        <v>263</v>
      </c>
      <c r="L94" s="13">
        <v>1051</v>
      </c>
      <c r="O94" s="10" t="s">
        <v>1270</v>
      </c>
    </row>
    <row r="95" spans="2:15" x14ac:dyDescent="0.25">
      <c r="O95" s="11">
        <v>44939</v>
      </c>
    </row>
    <row r="96" spans="2:15" x14ac:dyDescent="0.25">
      <c r="O96" s="10" t="s">
        <v>1271</v>
      </c>
    </row>
    <row r="97" spans="2:15" x14ac:dyDescent="0.25">
      <c r="O97" s="11">
        <v>44941</v>
      </c>
    </row>
    <row r="98" spans="2:15" x14ac:dyDescent="0.25">
      <c r="O98" s="10" t="s">
        <v>1272</v>
      </c>
    </row>
    <row r="99" spans="2:15" x14ac:dyDescent="0.25">
      <c r="O99" s="11">
        <v>44942</v>
      </c>
    </row>
    <row r="100" spans="2:15" x14ac:dyDescent="0.25">
      <c r="O100" s="10" t="s">
        <v>1273</v>
      </c>
    </row>
    <row r="101" spans="2:15" x14ac:dyDescent="0.25">
      <c r="O101" s="11">
        <v>44943</v>
      </c>
    </row>
    <row r="102" spans="2:15" x14ac:dyDescent="0.25">
      <c r="O102" s="10" t="s">
        <v>1274</v>
      </c>
    </row>
    <row r="103" spans="2:15" x14ac:dyDescent="0.25">
      <c r="O103" s="11">
        <v>44945</v>
      </c>
    </row>
    <row r="104" spans="2:15" x14ac:dyDescent="0.25">
      <c r="O104" s="10" t="s">
        <v>1275</v>
      </c>
    </row>
    <row r="105" spans="2:15" x14ac:dyDescent="0.25">
      <c r="O105" s="11">
        <v>44946</v>
      </c>
    </row>
    <row r="106" spans="2:15" x14ac:dyDescent="0.25">
      <c r="O106" s="10" t="s">
        <v>1276</v>
      </c>
    </row>
    <row r="107" spans="2:15" x14ac:dyDescent="0.25">
      <c r="O107" s="11">
        <v>44947</v>
      </c>
    </row>
    <row r="108" spans="2:15" x14ac:dyDescent="0.25">
      <c r="O108" s="10" t="s">
        <v>1277</v>
      </c>
    </row>
    <row r="109" spans="2:15" x14ac:dyDescent="0.25">
      <c r="B109" t="s">
        <v>1598</v>
      </c>
      <c r="O109" s="11">
        <v>44948</v>
      </c>
    </row>
    <row r="110" spans="2:15" x14ac:dyDescent="0.25">
      <c r="B110" s="3" t="s">
        <v>1599</v>
      </c>
      <c r="C110" s="3" t="s">
        <v>1596</v>
      </c>
      <c r="O110" s="10" t="s">
        <v>1278</v>
      </c>
    </row>
    <row r="111" spans="2:15" x14ac:dyDescent="0.25">
      <c r="B111" s="3" t="s">
        <v>1239</v>
      </c>
      <c r="C111" t="s">
        <v>28</v>
      </c>
      <c r="D111" t="s">
        <v>58</v>
      </c>
      <c r="E111" t="s">
        <v>1240</v>
      </c>
      <c r="O111" s="11">
        <v>44949</v>
      </c>
    </row>
    <row r="112" spans="2:15" x14ac:dyDescent="0.25">
      <c r="B112" s="4" t="s">
        <v>192</v>
      </c>
      <c r="C112" s="13">
        <v>19</v>
      </c>
      <c r="D112" s="13">
        <v>18</v>
      </c>
      <c r="E112" s="13">
        <v>37</v>
      </c>
      <c r="O112" s="10" t="s">
        <v>1279</v>
      </c>
    </row>
    <row r="113" spans="2:15" x14ac:dyDescent="0.25">
      <c r="B113" s="4" t="s">
        <v>102</v>
      </c>
      <c r="C113" s="13">
        <v>23</v>
      </c>
      <c r="D113" s="13">
        <v>17</v>
      </c>
      <c r="E113" s="13">
        <v>40</v>
      </c>
      <c r="O113" s="11">
        <v>44950</v>
      </c>
    </row>
    <row r="114" spans="2:15" x14ac:dyDescent="0.25">
      <c r="B114" s="4" t="s">
        <v>156</v>
      </c>
      <c r="C114" s="13">
        <v>25</v>
      </c>
      <c r="D114" s="13">
        <v>20</v>
      </c>
      <c r="E114" s="13">
        <v>45</v>
      </c>
      <c r="O114" s="10" t="s">
        <v>1280</v>
      </c>
    </row>
    <row r="115" spans="2:15" x14ac:dyDescent="0.25">
      <c r="B115" s="4" t="s">
        <v>79</v>
      </c>
      <c r="C115" s="13">
        <v>19</v>
      </c>
      <c r="D115" s="13">
        <v>17</v>
      </c>
      <c r="E115" s="13">
        <v>36</v>
      </c>
      <c r="O115" s="11">
        <v>44951</v>
      </c>
    </row>
    <row r="116" spans="2:15" x14ac:dyDescent="0.25">
      <c r="B116" s="4" t="s">
        <v>50</v>
      </c>
      <c r="C116" s="13">
        <v>26</v>
      </c>
      <c r="D116" s="13">
        <v>21</v>
      </c>
      <c r="E116" s="13">
        <v>47</v>
      </c>
      <c r="O116" s="10" t="s">
        <v>1281</v>
      </c>
    </row>
    <row r="117" spans="2:15" x14ac:dyDescent="0.25">
      <c r="B117" s="4" t="s">
        <v>204</v>
      </c>
      <c r="C117" s="13">
        <v>20</v>
      </c>
      <c r="D117" s="13">
        <v>15</v>
      </c>
      <c r="E117" s="13">
        <v>35</v>
      </c>
      <c r="O117" s="11">
        <v>44953</v>
      </c>
    </row>
    <row r="118" spans="2:15" x14ac:dyDescent="0.25">
      <c r="B118" s="4" t="s">
        <v>33</v>
      </c>
      <c r="C118" s="13">
        <v>24</v>
      </c>
      <c r="D118" s="13">
        <v>14</v>
      </c>
      <c r="E118" s="13">
        <v>38</v>
      </c>
      <c r="O118" s="10" t="s">
        <v>1282</v>
      </c>
    </row>
    <row r="119" spans="2:15" x14ac:dyDescent="0.25">
      <c r="B119" s="4" t="s">
        <v>139</v>
      </c>
      <c r="C119" s="13">
        <v>16</v>
      </c>
      <c r="D119" s="13">
        <v>27</v>
      </c>
      <c r="E119" s="13">
        <v>43</v>
      </c>
      <c r="O119" s="11">
        <v>44954</v>
      </c>
    </row>
    <row r="120" spans="2:15" x14ac:dyDescent="0.25">
      <c r="B120" s="4" t="s">
        <v>89</v>
      </c>
      <c r="C120" s="13">
        <v>17</v>
      </c>
      <c r="D120" s="13">
        <v>17</v>
      </c>
      <c r="E120" s="13">
        <v>34</v>
      </c>
      <c r="O120" s="10" t="s">
        <v>1283</v>
      </c>
    </row>
    <row r="121" spans="2:15" x14ac:dyDescent="0.25">
      <c r="B121" s="4" t="s">
        <v>160</v>
      </c>
      <c r="C121" s="13">
        <v>24</v>
      </c>
      <c r="D121" s="13">
        <v>23</v>
      </c>
      <c r="E121" s="13">
        <v>47</v>
      </c>
      <c r="O121" s="11">
        <v>44955</v>
      </c>
    </row>
    <row r="122" spans="2:15" x14ac:dyDescent="0.25">
      <c r="B122" s="4" t="s">
        <v>1240</v>
      </c>
      <c r="C122" s="13">
        <v>213</v>
      </c>
      <c r="D122" s="13">
        <v>189</v>
      </c>
      <c r="E122" s="13">
        <v>402</v>
      </c>
      <c r="O122" s="10" t="s">
        <v>1284</v>
      </c>
    </row>
    <row r="123" spans="2:15" x14ac:dyDescent="0.25">
      <c r="O123" s="11">
        <v>44956</v>
      </c>
    </row>
    <row r="124" spans="2:15" x14ac:dyDescent="0.25">
      <c r="O124" s="10" t="s">
        <v>1285</v>
      </c>
    </row>
    <row r="125" spans="2:15" x14ac:dyDescent="0.25">
      <c r="O125" s="11">
        <v>44957</v>
      </c>
    </row>
    <row r="126" spans="2:15" x14ac:dyDescent="0.25">
      <c r="O126" s="4" t="s">
        <v>266</v>
      </c>
    </row>
    <row r="127" spans="2:15" x14ac:dyDescent="0.25">
      <c r="O127" s="10" t="s">
        <v>1292</v>
      </c>
    </row>
    <row r="128" spans="2:15" x14ac:dyDescent="0.25">
      <c r="O128" s="11">
        <v>44958</v>
      </c>
    </row>
    <row r="129" spans="15:15" x14ac:dyDescent="0.25">
      <c r="O129" s="10" t="s">
        <v>1293</v>
      </c>
    </row>
    <row r="130" spans="15:15" x14ac:dyDescent="0.25">
      <c r="O130" s="11">
        <v>44959</v>
      </c>
    </row>
    <row r="131" spans="15:15" x14ac:dyDescent="0.25">
      <c r="O131" s="10" t="s">
        <v>1294</v>
      </c>
    </row>
    <row r="132" spans="15:15" x14ac:dyDescent="0.25">
      <c r="O132" s="11">
        <v>44961</v>
      </c>
    </row>
    <row r="133" spans="15:15" x14ac:dyDescent="0.25">
      <c r="O133" s="10" t="s">
        <v>1295</v>
      </c>
    </row>
    <row r="134" spans="15:15" x14ac:dyDescent="0.25">
      <c r="O134" s="11">
        <v>44962</v>
      </c>
    </row>
    <row r="135" spans="15:15" x14ac:dyDescent="0.25">
      <c r="O135" s="10" t="s">
        <v>1296</v>
      </c>
    </row>
    <row r="136" spans="15:15" x14ac:dyDescent="0.25">
      <c r="O136" s="11">
        <v>44963</v>
      </c>
    </row>
    <row r="137" spans="15:15" x14ac:dyDescent="0.25">
      <c r="O137" s="10" t="s">
        <v>1297</v>
      </c>
    </row>
    <row r="138" spans="15:15" x14ac:dyDescent="0.25">
      <c r="O138" s="11">
        <v>44964</v>
      </c>
    </row>
    <row r="139" spans="15:15" x14ac:dyDescent="0.25">
      <c r="O139" s="10" t="s">
        <v>1298</v>
      </c>
    </row>
    <row r="140" spans="15:15" x14ac:dyDescent="0.25">
      <c r="O140" s="11">
        <v>44965</v>
      </c>
    </row>
    <row r="141" spans="15:15" x14ac:dyDescent="0.25">
      <c r="O141" s="10" t="s">
        <v>1299</v>
      </c>
    </row>
    <row r="142" spans="15:15" x14ac:dyDescent="0.25">
      <c r="O142" s="11">
        <v>44966</v>
      </c>
    </row>
    <row r="143" spans="15:15" x14ac:dyDescent="0.25">
      <c r="O143" s="10" t="s">
        <v>1300</v>
      </c>
    </row>
    <row r="144" spans="15:15" x14ac:dyDescent="0.25">
      <c r="O144" s="11">
        <v>44967</v>
      </c>
    </row>
    <row r="145" spans="2:15" x14ac:dyDescent="0.25">
      <c r="O145" s="10" t="s">
        <v>1301</v>
      </c>
    </row>
    <row r="146" spans="2:15" x14ac:dyDescent="0.25">
      <c r="O146" s="11">
        <v>44968</v>
      </c>
    </row>
    <row r="147" spans="2:15" x14ac:dyDescent="0.25">
      <c r="O147" s="10" t="s">
        <v>1302</v>
      </c>
    </row>
    <row r="148" spans="2:15" x14ac:dyDescent="0.25">
      <c r="O148" s="11">
        <v>44969</v>
      </c>
    </row>
    <row r="149" spans="2:15" x14ac:dyDescent="0.25">
      <c r="O149" s="10" t="s">
        <v>1303</v>
      </c>
    </row>
    <row r="150" spans="2:15" x14ac:dyDescent="0.25">
      <c r="O150" s="11">
        <v>44970</v>
      </c>
    </row>
    <row r="151" spans="2:15" x14ac:dyDescent="0.25">
      <c r="O151" s="10" t="s">
        <v>1304</v>
      </c>
    </row>
    <row r="152" spans="2:15" x14ac:dyDescent="0.25">
      <c r="B152" t="s">
        <v>1601</v>
      </c>
      <c r="H152" t="s">
        <v>1607</v>
      </c>
      <c r="O152" s="11">
        <v>44971</v>
      </c>
    </row>
    <row r="153" spans="2:15" x14ac:dyDescent="0.25">
      <c r="B153" s="3" t="s">
        <v>1600</v>
      </c>
      <c r="C153" s="3" t="s">
        <v>1596</v>
      </c>
      <c r="H153" s="3" t="s">
        <v>1599</v>
      </c>
      <c r="I153" s="3" t="s">
        <v>1596</v>
      </c>
      <c r="O153" s="10" t="s">
        <v>1305</v>
      </c>
    </row>
    <row r="154" spans="2:15" x14ac:dyDescent="0.25">
      <c r="B154" s="3" t="s">
        <v>1239</v>
      </c>
      <c r="C154" t="s">
        <v>28</v>
      </c>
      <c r="D154" t="s">
        <v>58</v>
      </c>
      <c r="E154" t="s">
        <v>1240</v>
      </c>
      <c r="H154" s="3" t="s">
        <v>1239</v>
      </c>
      <c r="I154" t="s">
        <v>28</v>
      </c>
      <c r="J154" t="s">
        <v>58</v>
      </c>
      <c r="K154" t="s">
        <v>1240</v>
      </c>
      <c r="O154" s="11">
        <v>44973</v>
      </c>
    </row>
    <row r="155" spans="2:15" x14ac:dyDescent="0.25">
      <c r="B155" s="4" t="s">
        <v>227</v>
      </c>
      <c r="C155" s="13">
        <v>8</v>
      </c>
      <c r="D155" s="13">
        <v>6</v>
      </c>
      <c r="E155" s="13">
        <v>14</v>
      </c>
      <c r="H155" s="4" t="s">
        <v>1602</v>
      </c>
      <c r="I155" s="13">
        <v>101</v>
      </c>
      <c r="J155" s="13">
        <v>102</v>
      </c>
      <c r="K155" s="13">
        <v>203</v>
      </c>
      <c r="O155" s="10" t="s">
        <v>1306</v>
      </c>
    </row>
    <row r="156" spans="2:15" x14ac:dyDescent="0.25">
      <c r="B156" s="4" t="s">
        <v>68</v>
      </c>
      <c r="C156" s="13">
        <v>78</v>
      </c>
      <c r="D156" s="13">
        <v>72</v>
      </c>
      <c r="E156" s="13">
        <v>150</v>
      </c>
      <c r="H156" s="4" t="s">
        <v>1603</v>
      </c>
      <c r="I156" s="13">
        <v>118</v>
      </c>
      <c r="J156" s="13">
        <v>92</v>
      </c>
      <c r="K156" s="13">
        <v>210</v>
      </c>
      <c r="O156" s="11">
        <v>44974</v>
      </c>
    </row>
    <row r="157" spans="2:15" x14ac:dyDescent="0.25">
      <c r="B157" s="4" t="s">
        <v>101</v>
      </c>
      <c r="C157" s="13">
        <v>21</v>
      </c>
      <c r="D157" s="13">
        <v>16</v>
      </c>
      <c r="E157" s="13">
        <v>37</v>
      </c>
      <c r="H157" s="4" t="s">
        <v>1604</v>
      </c>
      <c r="I157" s="13">
        <v>97</v>
      </c>
      <c r="J157" s="13">
        <v>102</v>
      </c>
      <c r="K157" s="13">
        <v>199</v>
      </c>
      <c r="O157" s="10" t="s">
        <v>1307</v>
      </c>
    </row>
    <row r="158" spans="2:15" x14ac:dyDescent="0.25">
      <c r="B158" s="4" t="s">
        <v>55</v>
      </c>
      <c r="C158" s="13">
        <v>9</v>
      </c>
      <c r="D158" s="13">
        <v>7</v>
      </c>
      <c r="E158" s="13">
        <v>16</v>
      </c>
      <c r="H158" s="4" t="s">
        <v>1605</v>
      </c>
      <c r="I158" s="13">
        <v>103</v>
      </c>
      <c r="J158" s="13">
        <v>73</v>
      </c>
      <c r="K158" s="13">
        <v>176</v>
      </c>
      <c r="O158" s="11">
        <v>44975</v>
      </c>
    </row>
    <row r="159" spans="2:15" x14ac:dyDescent="0.25">
      <c r="B159" s="4" t="s">
        <v>24</v>
      </c>
      <c r="C159" s="13">
        <v>303</v>
      </c>
      <c r="D159" s="13">
        <v>268</v>
      </c>
      <c r="E159" s="13">
        <v>571</v>
      </c>
      <c r="H159" s="4" t="s">
        <v>1240</v>
      </c>
      <c r="I159" s="13">
        <v>419</v>
      </c>
      <c r="J159" s="13">
        <v>369</v>
      </c>
      <c r="K159" s="13">
        <v>788</v>
      </c>
      <c r="O159" s="10" t="s">
        <v>1308</v>
      </c>
    </row>
    <row r="160" spans="2:15" x14ac:dyDescent="0.25">
      <c r="B160" s="4" t="s">
        <v>1240</v>
      </c>
      <c r="C160" s="13">
        <v>419</v>
      </c>
      <c r="D160" s="13">
        <v>369</v>
      </c>
      <c r="E160" s="13">
        <v>788</v>
      </c>
      <c r="O160" s="11">
        <v>44976</v>
      </c>
    </row>
    <row r="161" spans="15:15" x14ac:dyDescent="0.25">
      <c r="O161" s="10" t="s">
        <v>1309</v>
      </c>
    </row>
    <row r="162" spans="15:15" x14ac:dyDescent="0.25">
      <c r="O162" s="11">
        <v>44977</v>
      </c>
    </row>
    <row r="163" spans="15:15" x14ac:dyDescent="0.25">
      <c r="O163" s="10" t="s">
        <v>1310</v>
      </c>
    </row>
    <row r="164" spans="15:15" x14ac:dyDescent="0.25">
      <c r="O164" s="11">
        <v>44978</v>
      </c>
    </row>
    <row r="165" spans="15:15" x14ac:dyDescent="0.25">
      <c r="O165" s="10" t="s">
        <v>1311</v>
      </c>
    </row>
    <row r="166" spans="15:15" x14ac:dyDescent="0.25">
      <c r="O166" s="11">
        <v>44979</v>
      </c>
    </row>
    <row r="167" spans="15:15" x14ac:dyDescent="0.25">
      <c r="O167" s="10" t="s">
        <v>1312</v>
      </c>
    </row>
    <row r="168" spans="15:15" x14ac:dyDescent="0.25">
      <c r="O168" s="11">
        <v>44980</v>
      </c>
    </row>
    <row r="169" spans="15:15" x14ac:dyDescent="0.25">
      <c r="O169" s="10" t="s">
        <v>1313</v>
      </c>
    </row>
    <row r="170" spans="15:15" x14ac:dyDescent="0.25">
      <c r="O170" s="11">
        <v>44981</v>
      </c>
    </row>
    <row r="171" spans="15:15" x14ac:dyDescent="0.25">
      <c r="O171" s="10" t="s">
        <v>1314</v>
      </c>
    </row>
    <row r="172" spans="15:15" x14ac:dyDescent="0.25">
      <c r="O172" s="11">
        <v>44982</v>
      </c>
    </row>
    <row r="173" spans="15:15" x14ac:dyDescent="0.25">
      <c r="O173" s="10" t="s">
        <v>1315</v>
      </c>
    </row>
    <row r="174" spans="15:15" x14ac:dyDescent="0.25">
      <c r="O174" s="11">
        <v>44983</v>
      </c>
    </row>
    <row r="175" spans="15:15" x14ac:dyDescent="0.25">
      <c r="O175" s="10" t="s">
        <v>1316</v>
      </c>
    </row>
    <row r="176" spans="15:15" x14ac:dyDescent="0.25">
      <c r="O176" s="11">
        <v>44984</v>
      </c>
    </row>
    <row r="177" spans="15:15" x14ac:dyDescent="0.25">
      <c r="O177" s="4" t="s">
        <v>357</v>
      </c>
    </row>
    <row r="178" spans="15:15" x14ac:dyDescent="0.25">
      <c r="O178" s="10" t="s">
        <v>1317</v>
      </c>
    </row>
    <row r="179" spans="15:15" x14ac:dyDescent="0.25">
      <c r="O179" s="11">
        <v>44986</v>
      </c>
    </row>
    <row r="180" spans="15:15" x14ac:dyDescent="0.25">
      <c r="O180" s="10" t="s">
        <v>1318</v>
      </c>
    </row>
    <row r="181" spans="15:15" x14ac:dyDescent="0.25">
      <c r="O181" s="11">
        <v>44987</v>
      </c>
    </row>
    <row r="182" spans="15:15" x14ac:dyDescent="0.25">
      <c r="O182" s="10" t="s">
        <v>1319</v>
      </c>
    </row>
    <row r="183" spans="15:15" x14ac:dyDescent="0.25">
      <c r="O183" s="11">
        <v>44988</v>
      </c>
    </row>
    <row r="184" spans="15:15" x14ac:dyDescent="0.25">
      <c r="O184" s="10" t="s">
        <v>1320</v>
      </c>
    </row>
    <row r="185" spans="15:15" x14ac:dyDescent="0.25">
      <c r="O185" s="11">
        <v>44989</v>
      </c>
    </row>
    <row r="186" spans="15:15" x14ac:dyDescent="0.25">
      <c r="O186" s="10" t="s">
        <v>1321</v>
      </c>
    </row>
    <row r="187" spans="15:15" x14ac:dyDescent="0.25">
      <c r="O187" s="11">
        <v>44990</v>
      </c>
    </row>
    <row r="188" spans="15:15" x14ac:dyDescent="0.25">
      <c r="O188" s="10" t="s">
        <v>1322</v>
      </c>
    </row>
    <row r="189" spans="15:15" x14ac:dyDescent="0.25">
      <c r="O189" s="11">
        <v>44991</v>
      </c>
    </row>
    <row r="190" spans="15:15" x14ac:dyDescent="0.25">
      <c r="O190" s="10" t="s">
        <v>1323</v>
      </c>
    </row>
    <row r="191" spans="15:15" x14ac:dyDescent="0.25">
      <c r="O191" s="11">
        <v>44992</v>
      </c>
    </row>
    <row r="192" spans="15:15" x14ac:dyDescent="0.25">
      <c r="O192" s="10" t="s">
        <v>1324</v>
      </c>
    </row>
    <row r="193" spans="15:15" x14ac:dyDescent="0.25">
      <c r="O193" s="11">
        <v>44993</v>
      </c>
    </row>
    <row r="194" spans="15:15" x14ac:dyDescent="0.25">
      <c r="O194" s="10" t="s">
        <v>1325</v>
      </c>
    </row>
    <row r="195" spans="15:15" x14ac:dyDescent="0.25">
      <c r="O195" s="11">
        <v>44994</v>
      </c>
    </row>
    <row r="196" spans="15:15" x14ac:dyDescent="0.25">
      <c r="O196" s="10" t="s">
        <v>1326</v>
      </c>
    </row>
    <row r="197" spans="15:15" x14ac:dyDescent="0.25">
      <c r="O197" s="11">
        <v>44995</v>
      </c>
    </row>
    <row r="198" spans="15:15" x14ac:dyDescent="0.25">
      <c r="O198" s="10" t="s">
        <v>1327</v>
      </c>
    </row>
    <row r="199" spans="15:15" x14ac:dyDescent="0.25">
      <c r="O199" s="11">
        <v>44996</v>
      </c>
    </row>
    <row r="200" spans="15:15" x14ac:dyDescent="0.25">
      <c r="O200" s="10" t="s">
        <v>1328</v>
      </c>
    </row>
    <row r="201" spans="15:15" x14ac:dyDescent="0.25">
      <c r="O201" s="11">
        <v>44997</v>
      </c>
    </row>
    <row r="202" spans="15:15" x14ac:dyDescent="0.25">
      <c r="O202" s="10" t="s">
        <v>1329</v>
      </c>
    </row>
    <row r="203" spans="15:15" x14ac:dyDescent="0.25">
      <c r="O203" s="11">
        <v>44998</v>
      </c>
    </row>
    <row r="204" spans="15:15" x14ac:dyDescent="0.25">
      <c r="O204" s="10" t="s">
        <v>1330</v>
      </c>
    </row>
    <row r="205" spans="15:15" x14ac:dyDescent="0.25">
      <c r="O205" s="11">
        <v>44999</v>
      </c>
    </row>
    <row r="206" spans="15:15" x14ac:dyDescent="0.25">
      <c r="O206" s="10" t="s">
        <v>1331</v>
      </c>
    </row>
    <row r="207" spans="15:15" x14ac:dyDescent="0.25">
      <c r="O207" s="11">
        <v>45000</v>
      </c>
    </row>
    <row r="208" spans="15:15" x14ac:dyDescent="0.25">
      <c r="O208" s="10" t="s">
        <v>1332</v>
      </c>
    </row>
    <row r="209" spans="15:15" x14ac:dyDescent="0.25">
      <c r="O209" s="11">
        <v>45001</v>
      </c>
    </row>
    <row r="210" spans="15:15" x14ac:dyDescent="0.25">
      <c r="O210" s="10" t="s">
        <v>1333</v>
      </c>
    </row>
    <row r="211" spans="15:15" x14ac:dyDescent="0.25">
      <c r="O211" s="11">
        <v>45002</v>
      </c>
    </row>
    <row r="212" spans="15:15" x14ac:dyDescent="0.25">
      <c r="O212" s="10" t="s">
        <v>1334</v>
      </c>
    </row>
    <row r="213" spans="15:15" x14ac:dyDescent="0.25">
      <c r="O213" s="11">
        <v>45003</v>
      </c>
    </row>
    <row r="214" spans="15:15" x14ac:dyDescent="0.25">
      <c r="O214" s="10" t="s">
        <v>1335</v>
      </c>
    </row>
    <row r="215" spans="15:15" x14ac:dyDescent="0.25">
      <c r="O215" s="11">
        <v>45004</v>
      </c>
    </row>
    <row r="216" spans="15:15" x14ac:dyDescent="0.25">
      <c r="O216" s="10" t="s">
        <v>1336</v>
      </c>
    </row>
    <row r="217" spans="15:15" x14ac:dyDescent="0.25">
      <c r="O217" s="11">
        <v>45005</v>
      </c>
    </row>
    <row r="218" spans="15:15" x14ac:dyDescent="0.25">
      <c r="O218" s="10" t="s">
        <v>1337</v>
      </c>
    </row>
    <row r="219" spans="15:15" x14ac:dyDescent="0.25">
      <c r="O219" s="11">
        <v>45006</v>
      </c>
    </row>
    <row r="220" spans="15:15" x14ac:dyDescent="0.25">
      <c r="O220" s="10" t="s">
        <v>1338</v>
      </c>
    </row>
    <row r="221" spans="15:15" x14ac:dyDescent="0.25">
      <c r="O221" s="11">
        <v>45007</v>
      </c>
    </row>
    <row r="222" spans="15:15" x14ac:dyDescent="0.25">
      <c r="O222" s="10" t="s">
        <v>1339</v>
      </c>
    </row>
    <row r="223" spans="15:15" x14ac:dyDescent="0.25">
      <c r="O223" s="11">
        <v>45008</v>
      </c>
    </row>
    <row r="224" spans="15:15" x14ac:dyDescent="0.25">
      <c r="O224" s="10" t="s">
        <v>1340</v>
      </c>
    </row>
    <row r="225" spans="15:15" x14ac:dyDescent="0.25">
      <c r="O225" s="11">
        <v>45009</v>
      </c>
    </row>
    <row r="226" spans="15:15" x14ac:dyDescent="0.25">
      <c r="O226" s="10" t="s">
        <v>1341</v>
      </c>
    </row>
    <row r="227" spans="15:15" x14ac:dyDescent="0.25">
      <c r="O227" s="11">
        <v>45010</v>
      </c>
    </row>
    <row r="228" spans="15:15" x14ac:dyDescent="0.25">
      <c r="O228" s="10" t="s">
        <v>1342</v>
      </c>
    </row>
    <row r="229" spans="15:15" x14ac:dyDescent="0.25">
      <c r="O229" s="11">
        <v>45011</v>
      </c>
    </row>
    <row r="230" spans="15:15" x14ac:dyDescent="0.25">
      <c r="O230" s="10" t="s">
        <v>1343</v>
      </c>
    </row>
    <row r="231" spans="15:15" x14ac:dyDescent="0.25">
      <c r="O231" s="11">
        <v>45012</v>
      </c>
    </row>
    <row r="232" spans="15:15" x14ac:dyDescent="0.25">
      <c r="O232" s="10" t="s">
        <v>1344</v>
      </c>
    </row>
    <row r="233" spans="15:15" x14ac:dyDescent="0.25">
      <c r="O233" s="11">
        <v>45013</v>
      </c>
    </row>
    <row r="234" spans="15:15" x14ac:dyDescent="0.25">
      <c r="O234" s="10" t="s">
        <v>1345</v>
      </c>
    </row>
    <row r="235" spans="15:15" x14ac:dyDescent="0.25">
      <c r="O235" s="11">
        <v>45014</v>
      </c>
    </row>
    <row r="236" spans="15:15" x14ac:dyDescent="0.25">
      <c r="O236" s="10" t="s">
        <v>1346</v>
      </c>
    </row>
    <row r="237" spans="15:15" x14ac:dyDescent="0.25">
      <c r="O237" s="11">
        <v>45015</v>
      </c>
    </row>
    <row r="238" spans="15:15" x14ac:dyDescent="0.25">
      <c r="O238" s="4" t="s">
        <v>451</v>
      </c>
    </row>
    <row r="239" spans="15:15" x14ac:dyDescent="0.25">
      <c r="O239" s="10" t="s">
        <v>1347</v>
      </c>
    </row>
    <row r="240" spans="15:15" x14ac:dyDescent="0.25">
      <c r="O240" s="11">
        <v>45017</v>
      </c>
    </row>
    <row r="241" spans="15:15" x14ac:dyDescent="0.25">
      <c r="O241" s="10" t="s">
        <v>1348</v>
      </c>
    </row>
    <row r="242" spans="15:15" x14ac:dyDescent="0.25">
      <c r="O242" s="11">
        <v>45018</v>
      </c>
    </row>
    <row r="243" spans="15:15" x14ac:dyDescent="0.25">
      <c r="O243" s="10" t="s">
        <v>1349</v>
      </c>
    </row>
    <row r="244" spans="15:15" x14ac:dyDescent="0.25">
      <c r="O244" s="11">
        <v>45019</v>
      </c>
    </row>
    <row r="245" spans="15:15" x14ac:dyDescent="0.25">
      <c r="O245" s="10" t="s">
        <v>1350</v>
      </c>
    </row>
    <row r="246" spans="15:15" x14ac:dyDescent="0.25">
      <c r="O246" s="11">
        <v>45020</v>
      </c>
    </row>
    <row r="247" spans="15:15" x14ac:dyDescent="0.25">
      <c r="O247" s="10" t="s">
        <v>1351</v>
      </c>
    </row>
    <row r="248" spans="15:15" x14ac:dyDescent="0.25">
      <c r="O248" s="11">
        <v>45021</v>
      </c>
    </row>
    <row r="249" spans="15:15" x14ac:dyDescent="0.25">
      <c r="O249" s="10" t="s">
        <v>1352</v>
      </c>
    </row>
    <row r="250" spans="15:15" x14ac:dyDescent="0.25">
      <c r="O250" s="11">
        <v>45022</v>
      </c>
    </row>
    <row r="251" spans="15:15" x14ac:dyDescent="0.25">
      <c r="O251" s="10" t="s">
        <v>1353</v>
      </c>
    </row>
    <row r="252" spans="15:15" x14ac:dyDescent="0.25">
      <c r="O252" s="11">
        <v>45023</v>
      </c>
    </row>
    <row r="253" spans="15:15" x14ac:dyDescent="0.25">
      <c r="O253" s="10" t="s">
        <v>1354</v>
      </c>
    </row>
    <row r="254" spans="15:15" x14ac:dyDescent="0.25">
      <c r="O254" s="11">
        <v>45024</v>
      </c>
    </row>
    <row r="255" spans="15:15" x14ac:dyDescent="0.25">
      <c r="O255" s="10" t="s">
        <v>1355</v>
      </c>
    </row>
    <row r="256" spans="15:15" x14ac:dyDescent="0.25">
      <c r="O256" s="11">
        <v>45025</v>
      </c>
    </row>
    <row r="257" spans="15:15" x14ac:dyDescent="0.25">
      <c r="O257" s="10" t="s">
        <v>1356</v>
      </c>
    </row>
    <row r="258" spans="15:15" x14ac:dyDescent="0.25">
      <c r="O258" s="11">
        <v>45026</v>
      </c>
    </row>
    <row r="259" spans="15:15" x14ac:dyDescent="0.25">
      <c r="O259" s="10" t="s">
        <v>1357</v>
      </c>
    </row>
    <row r="260" spans="15:15" x14ac:dyDescent="0.25">
      <c r="O260" s="11">
        <v>45027</v>
      </c>
    </row>
    <row r="261" spans="15:15" x14ac:dyDescent="0.25">
      <c r="O261" s="10" t="s">
        <v>1358</v>
      </c>
    </row>
    <row r="262" spans="15:15" x14ac:dyDescent="0.25">
      <c r="O262" s="11">
        <v>45028</v>
      </c>
    </row>
    <row r="263" spans="15:15" x14ac:dyDescent="0.25">
      <c r="O263" s="10" t="s">
        <v>1359</v>
      </c>
    </row>
    <row r="264" spans="15:15" x14ac:dyDescent="0.25">
      <c r="O264" s="11">
        <v>45029</v>
      </c>
    </row>
    <row r="265" spans="15:15" x14ac:dyDescent="0.25">
      <c r="O265" s="10" t="s">
        <v>1360</v>
      </c>
    </row>
    <row r="266" spans="15:15" x14ac:dyDescent="0.25">
      <c r="O266" s="11">
        <v>45031</v>
      </c>
    </row>
    <row r="267" spans="15:15" x14ac:dyDescent="0.25">
      <c r="O267" s="10" t="s">
        <v>1361</v>
      </c>
    </row>
    <row r="268" spans="15:15" x14ac:dyDescent="0.25">
      <c r="O268" s="11">
        <v>45032</v>
      </c>
    </row>
    <row r="269" spans="15:15" x14ac:dyDescent="0.25">
      <c r="O269" s="10" t="s">
        <v>1362</v>
      </c>
    </row>
    <row r="270" spans="15:15" x14ac:dyDescent="0.25">
      <c r="O270" s="11">
        <v>45033</v>
      </c>
    </row>
    <row r="271" spans="15:15" x14ac:dyDescent="0.25">
      <c r="O271" s="10" t="s">
        <v>1363</v>
      </c>
    </row>
    <row r="272" spans="15:15" x14ac:dyDescent="0.25">
      <c r="O272" s="11">
        <v>45034</v>
      </c>
    </row>
    <row r="273" spans="15:15" x14ac:dyDescent="0.25">
      <c r="O273" s="10" t="s">
        <v>1364</v>
      </c>
    </row>
    <row r="274" spans="15:15" x14ac:dyDescent="0.25">
      <c r="O274" s="11">
        <v>45035</v>
      </c>
    </row>
    <row r="275" spans="15:15" x14ac:dyDescent="0.25">
      <c r="O275" s="10" t="s">
        <v>1365</v>
      </c>
    </row>
    <row r="276" spans="15:15" x14ac:dyDescent="0.25">
      <c r="O276" s="11">
        <v>45036</v>
      </c>
    </row>
    <row r="277" spans="15:15" x14ac:dyDescent="0.25">
      <c r="O277" s="10" t="s">
        <v>1366</v>
      </c>
    </row>
    <row r="278" spans="15:15" x14ac:dyDescent="0.25">
      <c r="O278" s="11">
        <v>45037</v>
      </c>
    </row>
    <row r="279" spans="15:15" x14ac:dyDescent="0.25">
      <c r="O279" s="10" t="s">
        <v>1367</v>
      </c>
    </row>
    <row r="280" spans="15:15" x14ac:dyDescent="0.25">
      <c r="O280" s="11">
        <v>45038</v>
      </c>
    </row>
    <row r="281" spans="15:15" x14ac:dyDescent="0.25">
      <c r="O281" s="10" t="s">
        <v>1368</v>
      </c>
    </row>
    <row r="282" spans="15:15" x14ac:dyDescent="0.25">
      <c r="O282" s="11">
        <v>45039</v>
      </c>
    </row>
    <row r="283" spans="15:15" x14ac:dyDescent="0.25">
      <c r="O283" s="10" t="s">
        <v>1369</v>
      </c>
    </row>
    <row r="284" spans="15:15" x14ac:dyDescent="0.25">
      <c r="O284" s="11">
        <v>45040</v>
      </c>
    </row>
    <row r="285" spans="15:15" x14ac:dyDescent="0.25">
      <c r="O285" s="10" t="s">
        <v>1370</v>
      </c>
    </row>
    <row r="286" spans="15:15" x14ac:dyDescent="0.25">
      <c r="O286" s="11">
        <v>45041</v>
      </c>
    </row>
    <row r="287" spans="15:15" x14ac:dyDescent="0.25">
      <c r="O287" s="10" t="s">
        <v>1371</v>
      </c>
    </row>
    <row r="288" spans="15:15" x14ac:dyDescent="0.25">
      <c r="O288" s="11">
        <v>45042</v>
      </c>
    </row>
    <row r="289" spans="15:15" x14ac:dyDescent="0.25">
      <c r="O289" s="10" t="s">
        <v>1372</v>
      </c>
    </row>
    <row r="290" spans="15:15" x14ac:dyDescent="0.25">
      <c r="O290" s="11">
        <v>45043</v>
      </c>
    </row>
    <row r="291" spans="15:15" x14ac:dyDescent="0.25">
      <c r="O291" s="10" t="s">
        <v>1373</v>
      </c>
    </row>
    <row r="292" spans="15:15" x14ac:dyDescent="0.25">
      <c r="O292" s="11">
        <v>45044</v>
      </c>
    </row>
    <row r="293" spans="15:15" x14ac:dyDescent="0.25">
      <c r="O293" s="10" t="s">
        <v>1374</v>
      </c>
    </row>
    <row r="294" spans="15:15" x14ac:dyDescent="0.25">
      <c r="O294" s="11">
        <v>45045</v>
      </c>
    </row>
    <row r="295" spans="15:15" x14ac:dyDescent="0.25">
      <c r="O295" s="10" t="s">
        <v>1375</v>
      </c>
    </row>
    <row r="296" spans="15:15" x14ac:dyDescent="0.25">
      <c r="O296" s="11">
        <v>45046</v>
      </c>
    </row>
    <row r="297" spans="15:15" x14ac:dyDescent="0.25">
      <c r="O297" s="4" t="s">
        <v>539</v>
      </c>
    </row>
    <row r="298" spans="15:15" x14ac:dyDescent="0.25">
      <c r="O298" s="10" t="s">
        <v>1376</v>
      </c>
    </row>
    <row r="299" spans="15:15" x14ac:dyDescent="0.25">
      <c r="O299" s="11">
        <v>45047</v>
      </c>
    </row>
    <row r="300" spans="15:15" x14ac:dyDescent="0.25">
      <c r="O300" s="10" t="s">
        <v>1377</v>
      </c>
    </row>
    <row r="301" spans="15:15" x14ac:dyDescent="0.25">
      <c r="O301" s="11">
        <v>45048</v>
      </c>
    </row>
    <row r="302" spans="15:15" x14ac:dyDescent="0.25">
      <c r="O302" s="10" t="s">
        <v>1378</v>
      </c>
    </row>
    <row r="303" spans="15:15" x14ac:dyDescent="0.25">
      <c r="O303" s="11">
        <v>45049</v>
      </c>
    </row>
    <row r="304" spans="15:15" x14ac:dyDescent="0.25">
      <c r="O304" s="10" t="s">
        <v>1379</v>
      </c>
    </row>
    <row r="305" spans="15:15" x14ac:dyDescent="0.25">
      <c r="O305" s="11">
        <v>45050</v>
      </c>
    </row>
    <row r="306" spans="15:15" x14ac:dyDescent="0.25">
      <c r="O306" s="10" t="s">
        <v>1380</v>
      </c>
    </row>
    <row r="307" spans="15:15" x14ac:dyDescent="0.25">
      <c r="O307" s="11">
        <v>45051</v>
      </c>
    </row>
    <row r="308" spans="15:15" x14ac:dyDescent="0.25">
      <c r="O308" s="10" t="s">
        <v>1381</v>
      </c>
    </row>
    <row r="309" spans="15:15" x14ac:dyDescent="0.25">
      <c r="O309" s="11">
        <v>45052</v>
      </c>
    </row>
    <row r="310" spans="15:15" x14ac:dyDescent="0.25">
      <c r="O310" s="10" t="s">
        <v>1382</v>
      </c>
    </row>
    <row r="311" spans="15:15" x14ac:dyDescent="0.25">
      <c r="O311" s="11">
        <v>45053</v>
      </c>
    </row>
    <row r="312" spans="15:15" x14ac:dyDescent="0.25">
      <c r="O312" s="10" t="s">
        <v>1383</v>
      </c>
    </row>
    <row r="313" spans="15:15" x14ac:dyDescent="0.25">
      <c r="O313" s="11">
        <v>45054</v>
      </c>
    </row>
    <row r="314" spans="15:15" x14ac:dyDescent="0.25">
      <c r="O314" s="10" t="s">
        <v>1384</v>
      </c>
    </row>
    <row r="315" spans="15:15" x14ac:dyDescent="0.25">
      <c r="O315" s="11">
        <v>45055</v>
      </c>
    </row>
    <row r="316" spans="15:15" x14ac:dyDescent="0.25">
      <c r="O316" s="10" t="s">
        <v>1385</v>
      </c>
    </row>
    <row r="317" spans="15:15" x14ac:dyDescent="0.25">
      <c r="O317" s="11">
        <v>45056</v>
      </c>
    </row>
    <row r="318" spans="15:15" x14ac:dyDescent="0.25">
      <c r="O318" s="10" t="s">
        <v>1386</v>
      </c>
    </row>
    <row r="319" spans="15:15" x14ac:dyDescent="0.25">
      <c r="O319" s="11">
        <v>45057</v>
      </c>
    </row>
    <row r="320" spans="15:15" x14ac:dyDescent="0.25">
      <c r="O320" s="10" t="s">
        <v>1387</v>
      </c>
    </row>
    <row r="321" spans="15:15" x14ac:dyDescent="0.25">
      <c r="O321" s="11">
        <v>45058</v>
      </c>
    </row>
    <row r="322" spans="15:15" x14ac:dyDescent="0.25">
      <c r="O322" s="10" t="s">
        <v>1388</v>
      </c>
    </row>
    <row r="323" spans="15:15" x14ac:dyDescent="0.25">
      <c r="O323" s="11">
        <v>45059</v>
      </c>
    </row>
    <row r="324" spans="15:15" x14ac:dyDescent="0.25">
      <c r="O324" s="10" t="s">
        <v>1389</v>
      </c>
    </row>
    <row r="325" spans="15:15" x14ac:dyDescent="0.25">
      <c r="O325" s="11">
        <v>45060</v>
      </c>
    </row>
    <row r="326" spans="15:15" x14ac:dyDescent="0.25">
      <c r="O326" s="10" t="s">
        <v>1390</v>
      </c>
    </row>
    <row r="327" spans="15:15" x14ac:dyDescent="0.25">
      <c r="O327" s="11">
        <v>45061</v>
      </c>
    </row>
    <row r="328" spans="15:15" x14ac:dyDescent="0.25">
      <c r="O328" s="10" t="s">
        <v>1391</v>
      </c>
    </row>
    <row r="329" spans="15:15" x14ac:dyDescent="0.25">
      <c r="O329" s="11">
        <v>45062</v>
      </c>
    </row>
    <row r="330" spans="15:15" x14ac:dyDescent="0.25">
      <c r="O330" s="10" t="s">
        <v>1392</v>
      </c>
    </row>
    <row r="331" spans="15:15" x14ac:dyDescent="0.25">
      <c r="O331" s="11">
        <v>45063</v>
      </c>
    </row>
    <row r="332" spans="15:15" x14ac:dyDescent="0.25">
      <c r="O332" s="10" t="s">
        <v>1393</v>
      </c>
    </row>
    <row r="333" spans="15:15" x14ac:dyDescent="0.25">
      <c r="O333" s="11">
        <v>45064</v>
      </c>
    </row>
    <row r="334" spans="15:15" x14ac:dyDescent="0.25">
      <c r="O334" s="10" t="s">
        <v>1394</v>
      </c>
    </row>
    <row r="335" spans="15:15" x14ac:dyDescent="0.25">
      <c r="O335" s="11">
        <v>45065</v>
      </c>
    </row>
    <row r="336" spans="15:15" x14ac:dyDescent="0.25">
      <c r="O336" s="10" t="s">
        <v>1395</v>
      </c>
    </row>
    <row r="337" spans="15:15" x14ac:dyDescent="0.25">
      <c r="O337" s="11">
        <v>45066</v>
      </c>
    </row>
    <row r="338" spans="15:15" x14ac:dyDescent="0.25">
      <c r="O338" s="10" t="s">
        <v>1396</v>
      </c>
    </row>
    <row r="339" spans="15:15" x14ac:dyDescent="0.25">
      <c r="O339" s="11">
        <v>45067</v>
      </c>
    </row>
    <row r="340" spans="15:15" x14ac:dyDescent="0.25">
      <c r="O340" s="10" t="s">
        <v>1397</v>
      </c>
    </row>
    <row r="341" spans="15:15" x14ac:dyDescent="0.25">
      <c r="O341" s="11">
        <v>45068</v>
      </c>
    </row>
    <row r="342" spans="15:15" x14ac:dyDescent="0.25">
      <c r="O342" s="10" t="s">
        <v>1398</v>
      </c>
    </row>
    <row r="343" spans="15:15" x14ac:dyDescent="0.25">
      <c r="O343" s="11">
        <v>45069</v>
      </c>
    </row>
    <row r="344" spans="15:15" x14ac:dyDescent="0.25">
      <c r="O344" s="10" t="s">
        <v>1399</v>
      </c>
    </row>
    <row r="345" spans="15:15" x14ac:dyDescent="0.25">
      <c r="O345" s="11">
        <v>45070</v>
      </c>
    </row>
    <row r="346" spans="15:15" x14ac:dyDescent="0.25">
      <c r="O346" s="10" t="s">
        <v>1400</v>
      </c>
    </row>
    <row r="347" spans="15:15" x14ac:dyDescent="0.25">
      <c r="O347" s="11">
        <v>45071</v>
      </c>
    </row>
    <row r="348" spans="15:15" x14ac:dyDescent="0.25">
      <c r="O348" s="10" t="s">
        <v>1401</v>
      </c>
    </row>
    <row r="349" spans="15:15" x14ac:dyDescent="0.25">
      <c r="O349" s="11">
        <v>45072</v>
      </c>
    </row>
    <row r="350" spans="15:15" x14ac:dyDescent="0.25">
      <c r="O350" s="10" t="s">
        <v>1402</v>
      </c>
    </row>
    <row r="351" spans="15:15" x14ac:dyDescent="0.25">
      <c r="O351" s="11">
        <v>45073</v>
      </c>
    </row>
    <row r="352" spans="15:15" x14ac:dyDescent="0.25">
      <c r="O352" s="10" t="s">
        <v>1403</v>
      </c>
    </row>
    <row r="353" spans="15:15" x14ac:dyDescent="0.25">
      <c r="O353" s="11">
        <v>45074</v>
      </c>
    </row>
    <row r="354" spans="15:15" x14ac:dyDescent="0.25">
      <c r="O354" s="10" t="s">
        <v>1404</v>
      </c>
    </row>
    <row r="355" spans="15:15" x14ac:dyDescent="0.25">
      <c r="O355" s="11">
        <v>45075</v>
      </c>
    </row>
    <row r="356" spans="15:15" x14ac:dyDescent="0.25">
      <c r="O356" s="10" t="s">
        <v>1405</v>
      </c>
    </row>
    <row r="357" spans="15:15" x14ac:dyDescent="0.25">
      <c r="O357" s="11">
        <v>45077</v>
      </c>
    </row>
    <row r="358" spans="15:15" x14ac:dyDescent="0.25">
      <c r="O358" s="4" t="s">
        <v>646</v>
      </c>
    </row>
    <row r="359" spans="15:15" x14ac:dyDescent="0.25">
      <c r="O359" s="10" t="s">
        <v>1406</v>
      </c>
    </row>
    <row r="360" spans="15:15" x14ac:dyDescent="0.25">
      <c r="O360" s="11">
        <v>45078</v>
      </c>
    </row>
    <row r="361" spans="15:15" x14ac:dyDescent="0.25">
      <c r="O361" s="10" t="s">
        <v>1407</v>
      </c>
    </row>
    <row r="362" spans="15:15" x14ac:dyDescent="0.25">
      <c r="O362" s="11">
        <v>45079</v>
      </c>
    </row>
    <row r="363" spans="15:15" x14ac:dyDescent="0.25">
      <c r="O363" s="10" t="s">
        <v>1408</v>
      </c>
    </row>
    <row r="364" spans="15:15" x14ac:dyDescent="0.25">
      <c r="O364" s="11">
        <v>45080</v>
      </c>
    </row>
    <row r="365" spans="15:15" x14ac:dyDescent="0.25">
      <c r="O365" s="10" t="s">
        <v>1409</v>
      </c>
    </row>
    <row r="366" spans="15:15" x14ac:dyDescent="0.25">
      <c r="O366" s="11">
        <v>45081</v>
      </c>
    </row>
    <row r="367" spans="15:15" x14ac:dyDescent="0.25">
      <c r="O367" s="10" t="s">
        <v>1410</v>
      </c>
    </row>
    <row r="368" spans="15:15" x14ac:dyDescent="0.25">
      <c r="O368" s="11">
        <v>45082</v>
      </c>
    </row>
    <row r="369" spans="15:15" x14ac:dyDescent="0.25">
      <c r="O369" s="10" t="s">
        <v>1411</v>
      </c>
    </row>
    <row r="370" spans="15:15" x14ac:dyDescent="0.25">
      <c r="O370" s="11">
        <v>45083</v>
      </c>
    </row>
    <row r="371" spans="15:15" x14ac:dyDescent="0.25">
      <c r="O371" s="10" t="s">
        <v>1412</v>
      </c>
    </row>
    <row r="372" spans="15:15" x14ac:dyDescent="0.25">
      <c r="O372" s="11">
        <v>45084</v>
      </c>
    </row>
    <row r="373" spans="15:15" x14ac:dyDescent="0.25">
      <c r="O373" s="10" t="s">
        <v>1413</v>
      </c>
    </row>
    <row r="374" spans="15:15" x14ac:dyDescent="0.25">
      <c r="O374" s="11">
        <v>45085</v>
      </c>
    </row>
    <row r="375" spans="15:15" x14ac:dyDescent="0.25">
      <c r="O375" s="10" t="s">
        <v>1414</v>
      </c>
    </row>
    <row r="376" spans="15:15" x14ac:dyDescent="0.25">
      <c r="O376" s="11">
        <v>45088</v>
      </c>
    </row>
    <row r="377" spans="15:15" x14ac:dyDescent="0.25">
      <c r="O377" s="10" t="s">
        <v>1415</v>
      </c>
    </row>
    <row r="378" spans="15:15" x14ac:dyDescent="0.25">
      <c r="O378" s="11">
        <v>45089</v>
      </c>
    </row>
    <row r="379" spans="15:15" x14ac:dyDescent="0.25">
      <c r="O379" s="10" t="s">
        <v>1416</v>
      </c>
    </row>
    <row r="380" spans="15:15" x14ac:dyDescent="0.25">
      <c r="O380" s="11">
        <v>45090</v>
      </c>
    </row>
    <row r="381" spans="15:15" x14ac:dyDescent="0.25">
      <c r="O381" s="10" t="s">
        <v>1417</v>
      </c>
    </row>
    <row r="382" spans="15:15" x14ac:dyDescent="0.25">
      <c r="O382" s="11">
        <v>45091</v>
      </c>
    </row>
    <row r="383" spans="15:15" x14ac:dyDescent="0.25">
      <c r="O383" s="10" t="s">
        <v>1418</v>
      </c>
    </row>
    <row r="384" spans="15:15" x14ac:dyDescent="0.25">
      <c r="O384" s="11">
        <v>45092</v>
      </c>
    </row>
    <row r="385" spans="15:15" x14ac:dyDescent="0.25">
      <c r="O385" s="10" t="s">
        <v>1419</v>
      </c>
    </row>
    <row r="386" spans="15:15" x14ac:dyDescent="0.25">
      <c r="O386" s="11">
        <v>45093</v>
      </c>
    </row>
    <row r="387" spans="15:15" x14ac:dyDescent="0.25">
      <c r="O387" s="10" t="s">
        <v>1420</v>
      </c>
    </row>
    <row r="388" spans="15:15" x14ac:dyDescent="0.25">
      <c r="O388" s="11">
        <v>45094</v>
      </c>
    </row>
    <row r="389" spans="15:15" x14ac:dyDescent="0.25">
      <c r="O389" s="10" t="s">
        <v>1421</v>
      </c>
    </row>
    <row r="390" spans="15:15" x14ac:dyDescent="0.25">
      <c r="O390" s="11">
        <v>45095</v>
      </c>
    </row>
    <row r="391" spans="15:15" x14ac:dyDescent="0.25">
      <c r="O391" s="10" t="s">
        <v>1422</v>
      </c>
    </row>
    <row r="392" spans="15:15" x14ac:dyDescent="0.25">
      <c r="O392" s="11">
        <v>45096</v>
      </c>
    </row>
    <row r="393" spans="15:15" x14ac:dyDescent="0.25">
      <c r="O393" s="10" t="s">
        <v>1423</v>
      </c>
    </row>
    <row r="394" spans="15:15" x14ac:dyDescent="0.25">
      <c r="O394" s="11">
        <v>45097</v>
      </c>
    </row>
    <row r="395" spans="15:15" x14ac:dyDescent="0.25">
      <c r="O395" s="10" t="s">
        <v>1424</v>
      </c>
    </row>
    <row r="396" spans="15:15" x14ac:dyDescent="0.25">
      <c r="O396" s="11">
        <v>45098</v>
      </c>
    </row>
    <row r="397" spans="15:15" x14ac:dyDescent="0.25">
      <c r="O397" s="10" t="s">
        <v>1425</v>
      </c>
    </row>
    <row r="398" spans="15:15" x14ac:dyDescent="0.25">
      <c r="O398" s="11">
        <v>45099</v>
      </c>
    </row>
    <row r="399" spans="15:15" x14ac:dyDescent="0.25">
      <c r="O399" s="10" t="s">
        <v>1426</v>
      </c>
    </row>
    <row r="400" spans="15:15" x14ac:dyDescent="0.25">
      <c r="O400" s="11">
        <v>45100</v>
      </c>
    </row>
    <row r="401" spans="15:15" x14ac:dyDescent="0.25">
      <c r="O401" s="10" t="s">
        <v>1427</v>
      </c>
    </row>
    <row r="402" spans="15:15" x14ac:dyDescent="0.25">
      <c r="O402" s="11">
        <v>45101</v>
      </c>
    </row>
    <row r="403" spans="15:15" x14ac:dyDescent="0.25">
      <c r="O403" s="10" t="s">
        <v>1428</v>
      </c>
    </row>
    <row r="404" spans="15:15" x14ac:dyDescent="0.25">
      <c r="O404" s="11">
        <v>45102</v>
      </c>
    </row>
    <row r="405" spans="15:15" x14ac:dyDescent="0.25">
      <c r="O405" s="10" t="s">
        <v>1429</v>
      </c>
    </row>
    <row r="406" spans="15:15" x14ac:dyDescent="0.25">
      <c r="O406" s="11">
        <v>45103</v>
      </c>
    </row>
    <row r="407" spans="15:15" x14ac:dyDescent="0.25">
      <c r="O407" s="10" t="s">
        <v>1430</v>
      </c>
    </row>
    <row r="408" spans="15:15" x14ac:dyDescent="0.25">
      <c r="O408" s="11">
        <v>45104</v>
      </c>
    </row>
    <row r="409" spans="15:15" x14ac:dyDescent="0.25">
      <c r="O409" s="10" t="s">
        <v>1431</v>
      </c>
    </row>
    <row r="410" spans="15:15" x14ac:dyDescent="0.25">
      <c r="O410" s="11">
        <v>45105</v>
      </c>
    </row>
    <row r="411" spans="15:15" x14ac:dyDescent="0.25">
      <c r="O411" s="10" t="s">
        <v>1432</v>
      </c>
    </row>
    <row r="412" spans="15:15" x14ac:dyDescent="0.25">
      <c r="O412" s="11">
        <v>45106</v>
      </c>
    </row>
    <row r="413" spans="15:15" x14ac:dyDescent="0.25">
      <c r="O413" s="10" t="s">
        <v>1433</v>
      </c>
    </row>
    <row r="414" spans="15:15" x14ac:dyDescent="0.25">
      <c r="O414" s="11">
        <v>45107</v>
      </c>
    </row>
    <row r="415" spans="15:15" x14ac:dyDescent="0.25">
      <c r="O415" s="4" t="s">
        <v>741</v>
      </c>
    </row>
    <row r="416" spans="15:15" x14ac:dyDescent="0.25">
      <c r="O416" s="10" t="s">
        <v>1434</v>
      </c>
    </row>
    <row r="417" spans="15:15" x14ac:dyDescent="0.25">
      <c r="O417" s="11">
        <v>45108</v>
      </c>
    </row>
    <row r="418" spans="15:15" x14ac:dyDescent="0.25">
      <c r="O418" s="10" t="s">
        <v>1435</v>
      </c>
    </row>
    <row r="419" spans="15:15" x14ac:dyDescent="0.25">
      <c r="O419" s="11">
        <v>45109</v>
      </c>
    </row>
    <row r="420" spans="15:15" x14ac:dyDescent="0.25">
      <c r="O420" s="10" t="s">
        <v>1436</v>
      </c>
    </row>
    <row r="421" spans="15:15" x14ac:dyDescent="0.25">
      <c r="O421" s="11">
        <v>45110</v>
      </c>
    </row>
    <row r="422" spans="15:15" x14ac:dyDescent="0.25">
      <c r="O422" s="10" t="s">
        <v>1437</v>
      </c>
    </row>
    <row r="423" spans="15:15" x14ac:dyDescent="0.25">
      <c r="O423" s="11">
        <v>45111</v>
      </c>
    </row>
    <row r="424" spans="15:15" x14ac:dyDescent="0.25">
      <c r="O424" s="10" t="s">
        <v>1438</v>
      </c>
    </row>
    <row r="425" spans="15:15" x14ac:dyDescent="0.25">
      <c r="O425" s="11">
        <v>45112</v>
      </c>
    </row>
    <row r="426" spans="15:15" x14ac:dyDescent="0.25">
      <c r="O426" s="10" t="s">
        <v>1439</v>
      </c>
    </row>
    <row r="427" spans="15:15" x14ac:dyDescent="0.25">
      <c r="O427" s="11">
        <v>45113</v>
      </c>
    </row>
    <row r="428" spans="15:15" x14ac:dyDescent="0.25">
      <c r="O428" s="10" t="s">
        <v>1440</v>
      </c>
    </row>
    <row r="429" spans="15:15" x14ac:dyDescent="0.25">
      <c r="O429" s="11">
        <v>45115</v>
      </c>
    </row>
    <row r="430" spans="15:15" x14ac:dyDescent="0.25">
      <c r="O430" s="10" t="s">
        <v>1441</v>
      </c>
    </row>
    <row r="431" spans="15:15" x14ac:dyDescent="0.25">
      <c r="O431" s="11">
        <v>45116</v>
      </c>
    </row>
    <row r="432" spans="15:15" x14ac:dyDescent="0.25">
      <c r="O432" s="10" t="s">
        <v>1442</v>
      </c>
    </row>
    <row r="433" spans="15:15" x14ac:dyDescent="0.25">
      <c r="O433" s="11">
        <v>45117</v>
      </c>
    </row>
    <row r="434" spans="15:15" x14ac:dyDescent="0.25">
      <c r="O434" s="10" t="s">
        <v>1443</v>
      </c>
    </row>
    <row r="435" spans="15:15" x14ac:dyDescent="0.25">
      <c r="O435" s="11">
        <v>45118</v>
      </c>
    </row>
    <row r="436" spans="15:15" x14ac:dyDescent="0.25">
      <c r="O436" s="10" t="s">
        <v>1444</v>
      </c>
    </row>
    <row r="437" spans="15:15" x14ac:dyDescent="0.25">
      <c r="O437" s="11">
        <v>45119</v>
      </c>
    </row>
    <row r="438" spans="15:15" x14ac:dyDescent="0.25">
      <c r="O438" s="10" t="s">
        <v>1445</v>
      </c>
    </row>
    <row r="439" spans="15:15" x14ac:dyDescent="0.25">
      <c r="O439" s="11">
        <v>45120</v>
      </c>
    </row>
    <row r="440" spans="15:15" x14ac:dyDescent="0.25">
      <c r="O440" s="10" t="s">
        <v>1446</v>
      </c>
    </row>
    <row r="441" spans="15:15" x14ac:dyDescent="0.25">
      <c r="O441" s="11">
        <v>45121</v>
      </c>
    </row>
    <row r="442" spans="15:15" x14ac:dyDescent="0.25">
      <c r="O442" s="10" t="s">
        <v>1447</v>
      </c>
    </row>
    <row r="443" spans="15:15" x14ac:dyDescent="0.25">
      <c r="O443" s="11">
        <v>45122</v>
      </c>
    </row>
    <row r="444" spans="15:15" x14ac:dyDescent="0.25">
      <c r="O444" s="10" t="s">
        <v>1448</v>
      </c>
    </row>
    <row r="445" spans="15:15" x14ac:dyDescent="0.25">
      <c r="O445" s="11">
        <v>45123</v>
      </c>
    </row>
    <row r="446" spans="15:15" x14ac:dyDescent="0.25">
      <c r="O446" s="10" t="s">
        <v>1449</v>
      </c>
    </row>
    <row r="447" spans="15:15" x14ac:dyDescent="0.25">
      <c r="O447" s="11">
        <v>45124</v>
      </c>
    </row>
    <row r="448" spans="15:15" x14ac:dyDescent="0.25">
      <c r="O448" s="10" t="s">
        <v>1450</v>
      </c>
    </row>
    <row r="449" spans="15:15" x14ac:dyDescent="0.25">
      <c r="O449" s="11">
        <v>45125</v>
      </c>
    </row>
    <row r="450" spans="15:15" x14ac:dyDescent="0.25">
      <c r="O450" s="10" t="s">
        <v>1451</v>
      </c>
    </row>
    <row r="451" spans="15:15" x14ac:dyDescent="0.25">
      <c r="O451" s="11">
        <v>45126</v>
      </c>
    </row>
    <row r="452" spans="15:15" x14ac:dyDescent="0.25">
      <c r="O452" s="10" t="s">
        <v>1452</v>
      </c>
    </row>
    <row r="453" spans="15:15" x14ac:dyDescent="0.25">
      <c r="O453" s="11">
        <v>45127</v>
      </c>
    </row>
    <row r="454" spans="15:15" x14ac:dyDescent="0.25">
      <c r="O454" s="10" t="s">
        <v>1453</v>
      </c>
    </row>
    <row r="455" spans="15:15" x14ac:dyDescent="0.25">
      <c r="O455" s="11">
        <v>45128</v>
      </c>
    </row>
    <row r="456" spans="15:15" x14ac:dyDescent="0.25">
      <c r="O456" s="10" t="s">
        <v>1454</v>
      </c>
    </row>
    <row r="457" spans="15:15" x14ac:dyDescent="0.25">
      <c r="O457" s="11">
        <v>45129</v>
      </c>
    </row>
    <row r="458" spans="15:15" x14ac:dyDescent="0.25">
      <c r="O458" s="10" t="s">
        <v>1455</v>
      </c>
    </row>
    <row r="459" spans="15:15" x14ac:dyDescent="0.25">
      <c r="O459" s="11">
        <v>45130</v>
      </c>
    </row>
    <row r="460" spans="15:15" x14ac:dyDescent="0.25">
      <c r="O460" s="10" t="s">
        <v>1456</v>
      </c>
    </row>
    <row r="461" spans="15:15" x14ac:dyDescent="0.25">
      <c r="O461" s="11">
        <v>45131</v>
      </c>
    </row>
    <row r="462" spans="15:15" x14ac:dyDescent="0.25">
      <c r="O462" s="10" t="s">
        <v>1457</v>
      </c>
    </row>
    <row r="463" spans="15:15" x14ac:dyDescent="0.25">
      <c r="O463" s="11">
        <v>45132</v>
      </c>
    </row>
    <row r="464" spans="15:15" x14ac:dyDescent="0.25">
      <c r="O464" s="10" t="s">
        <v>1458</v>
      </c>
    </row>
    <row r="465" spans="15:15" x14ac:dyDescent="0.25">
      <c r="O465" s="11">
        <v>45133</v>
      </c>
    </row>
    <row r="466" spans="15:15" x14ac:dyDescent="0.25">
      <c r="O466" s="10" t="s">
        <v>1459</v>
      </c>
    </row>
    <row r="467" spans="15:15" x14ac:dyDescent="0.25">
      <c r="O467" s="11">
        <v>45134</v>
      </c>
    </row>
    <row r="468" spans="15:15" x14ac:dyDescent="0.25">
      <c r="O468" s="10" t="s">
        <v>1460</v>
      </c>
    </row>
    <row r="469" spans="15:15" x14ac:dyDescent="0.25">
      <c r="O469" s="11">
        <v>45135</v>
      </c>
    </row>
    <row r="470" spans="15:15" x14ac:dyDescent="0.25">
      <c r="O470" s="10" t="s">
        <v>1461</v>
      </c>
    </row>
    <row r="471" spans="15:15" x14ac:dyDescent="0.25">
      <c r="O471" s="11">
        <v>45136</v>
      </c>
    </row>
    <row r="472" spans="15:15" x14ac:dyDescent="0.25">
      <c r="O472" s="10" t="s">
        <v>1462</v>
      </c>
    </row>
    <row r="473" spans="15:15" x14ac:dyDescent="0.25">
      <c r="O473" s="11">
        <v>45137</v>
      </c>
    </row>
    <row r="474" spans="15:15" x14ac:dyDescent="0.25">
      <c r="O474" s="10" t="s">
        <v>1463</v>
      </c>
    </row>
    <row r="475" spans="15:15" x14ac:dyDescent="0.25">
      <c r="O475" s="11">
        <v>45138</v>
      </c>
    </row>
    <row r="476" spans="15:15" x14ac:dyDescent="0.25">
      <c r="O476" s="4" t="s">
        <v>813</v>
      </c>
    </row>
    <row r="477" spans="15:15" x14ac:dyDescent="0.25">
      <c r="O477" s="10" t="s">
        <v>1464</v>
      </c>
    </row>
    <row r="478" spans="15:15" x14ac:dyDescent="0.25">
      <c r="O478" s="11">
        <v>45139</v>
      </c>
    </row>
    <row r="479" spans="15:15" x14ac:dyDescent="0.25">
      <c r="O479" s="10" t="s">
        <v>1465</v>
      </c>
    </row>
    <row r="480" spans="15:15" x14ac:dyDescent="0.25">
      <c r="O480" s="11">
        <v>45140</v>
      </c>
    </row>
    <row r="481" spans="15:15" x14ac:dyDescent="0.25">
      <c r="O481" s="10" t="s">
        <v>1466</v>
      </c>
    </row>
    <row r="482" spans="15:15" x14ac:dyDescent="0.25">
      <c r="O482" s="11">
        <v>45142</v>
      </c>
    </row>
    <row r="483" spans="15:15" x14ac:dyDescent="0.25">
      <c r="O483" s="10" t="s">
        <v>1467</v>
      </c>
    </row>
    <row r="484" spans="15:15" x14ac:dyDescent="0.25">
      <c r="O484" s="11">
        <v>45144</v>
      </c>
    </row>
    <row r="485" spans="15:15" x14ac:dyDescent="0.25">
      <c r="O485" s="10" t="s">
        <v>1468</v>
      </c>
    </row>
    <row r="486" spans="15:15" x14ac:dyDescent="0.25">
      <c r="O486" s="11">
        <v>45145</v>
      </c>
    </row>
    <row r="487" spans="15:15" x14ac:dyDescent="0.25">
      <c r="O487" s="10" t="s">
        <v>1469</v>
      </c>
    </row>
    <row r="488" spans="15:15" x14ac:dyDescent="0.25">
      <c r="O488" s="11">
        <v>45146</v>
      </c>
    </row>
    <row r="489" spans="15:15" x14ac:dyDescent="0.25">
      <c r="O489" s="10" t="s">
        <v>1470</v>
      </c>
    </row>
    <row r="490" spans="15:15" x14ac:dyDescent="0.25">
      <c r="O490" s="11">
        <v>45147</v>
      </c>
    </row>
    <row r="491" spans="15:15" x14ac:dyDescent="0.25">
      <c r="O491" s="10" t="s">
        <v>1471</v>
      </c>
    </row>
    <row r="492" spans="15:15" x14ac:dyDescent="0.25">
      <c r="O492" s="11">
        <v>45148</v>
      </c>
    </row>
    <row r="493" spans="15:15" x14ac:dyDescent="0.25">
      <c r="O493" s="10" t="s">
        <v>1472</v>
      </c>
    </row>
    <row r="494" spans="15:15" x14ac:dyDescent="0.25">
      <c r="O494" s="11">
        <v>45149</v>
      </c>
    </row>
    <row r="495" spans="15:15" x14ac:dyDescent="0.25">
      <c r="O495" s="10" t="s">
        <v>1473</v>
      </c>
    </row>
    <row r="496" spans="15:15" x14ac:dyDescent="0.25">
      <c r="O496" s="11">
        <v>45150</v>
      </c>
    </row>
    <row r="497" spans="15:15" x14ac:dyDescent="0.25">
      <c r="O497" s="10" t="s">
        <v>1474</v>
      </c>
    </row>
    <row r="498" spans="15:15" x14ac:dyDescent="0.25">
      <c r="O498" s="11">
        <v>45151</v>
      </c>
    </row>
    <row r="499" spans="15:15" x14ac:dyDescent="0.25">
      <c r="O499" s="10" t="s">
        <v>1475</v>
      </c>
    </row>
    <row r="500" spans="15:15" x14ac:dyDescent="0.25">
      <c r="O500" s="11">
        <v>45152</v>
      </c>
    </row>
    <row r="501" spans="15:15" x14ac:dyDescent="0.25">
      <c r="O501" s="10" t="s">
        <v>1476</v>
      </c>
    </row>
    <row r="502" spans="15:15" x14ac:dyDescent="0.25">
      <c r="O502" s="11">
        <v>45153</v>
      </c>
    </row>
    <row r="503" spans="15:15" x14ac:dyDescent="0.25">
      <c r="O503" s="10" t="s">
        <v>1477</v>
      </c>
    </row>
    <row r="504" spans="15:15" x14ac:dyDescent="0.25">
      <c r="O504" s="11">
        <v>45154</v>
      </c>
    </row>
    <row r="505" spans="15:15" x14ac:dyDescent="0.25">
      <c r="O505" s="10" t="s">
        <v>1478</v>
      </c>
    </row>
    <row r="506" spans="15:15" x14ac:dyDescent="0.25">
      <c r="O506" s="11">
        <v>45155</v>
      </c>
    </row>
    <row r="507" spans="15:15" x14ac:dyDescent="0.25">
      <c r="O507" s="10" t="s">
        <v>1479</v>
      </c>
    </row>
    <row r="508" spans="15:15" x14ac:dyDescent="0.25">
      <c r="O508" s="11">
        <v>45156</v>
      </c>
    </row>
    <row r="509" spans="15:15" x14ac:dyDescent="0.25">
      <c r="O509" s="10" t="s">
        <v>1480</v>
      </c>
    </row>
    <row r="510" spans="15:15" x14ac:dyDescent="0.25">
      <c r="O510" s="11">
        <v>45157</v>
      </c>
    </row>
    <row r="511" spans="15:15" x14ac:dyDescent="0.25">
      <c r="O511" s="10" t="s">
        <v>1481</v>
      </c>
    </row>
    <row r="512" spans="15:15" x14ac:dyDescent="0.25">
      <c r="O512" s="11">
        <v>45158</v>
      </c>
    </row>
    <row r="513" spans="15:15" x14ac:dyDescent="0.25">
      <c r="O513" s="10" t="s">
        <v>1482</v>
      </c>
    </row>
    <row r="514" spans="15:15" x14ac:dyDescent="0.25">
      <c r="O514" s="11">
        <v>45159</v>
      </c>
    </row>
    <row r="515" spans="15:15" x14ac:dyDescent="0.25">
      <c r="O515" s="10" t="s">
        <v>1483</v>
      </c>
    </row>
    <row r="516" spans="15:15" x14ac:dyDescent="0.25">
      <c r="O516" s="11">
        <v>45160</v>
      </c>
    </row>
    <row r="517" spans="15:15" x14ac:dyDescent="0.25">
      <c r="O517" s="10" t="s">
        <v>1484</v>
      </c>
    </row>
    <row r="518" spans="15:15" x14ac:dyDescent="0.25">
      <c r="O518" s="11">
        <v>45161</v>
      </c>
    </row>
    <row r="519" spans="15:15" x14ac:dyDescent="0.25">
      <c r="O519" s="10" t="s">
        <v>1485</v>
      </c>
    </row>
    <row r="520" spans="15:15" x14ac:dyDescent="0.25">
      <c r="O520" s="11">
        <v>45162</v>
      </c>
    </row>
    <row r="521" spans="15:15" x14ac:dyDescent="0.25">
      <c r="O521" s="10" t="s">
        <v>1486</v>
      </c>
    </row>
    <row r="522" spans="15:15" x14ac:dyDescent="0.25">
      <c r="O522" s="11">
        <v>45164</v>
      </c>
    </row>
    <row r="523" spans="15:15" x14ac:dyDescent="0.25">
      <c r="O523" s="10" t="s">
        <v>1487</v>
      </c>
    </row>
    <row r="524" spans="15:15" x14ac:dyDescent="0.25">
      <c r="O524" s="11">
        <v>45165</v>
      </c>
    </row>
    <row r="525" spans="15:15" x14ac:dyDescent="0.25">
      <c r="O525" s="10" t="s">
        <v>1488</v>
      </c>
    </row>
    <row r="526" spans="15:15" x14ac:dyDescent="0.25">
      <c r="O526" s="11">
        <v>45166</v>
      </c>
    </row>
    <row r="527" spans="15:15" x14ac:dyDescent="0.25">
      <c r="O527" s="10" t="s">
        <v>1489</v>
      </c>
    </row>
    <row r="528" spans="15:15" x14ac:dyDescent="0.25">
      <c r="O528" s="11">
        <v>45167</v>
      </c>
    </row>
    <row r="529" spans="15:15" x14ac:dyDescent="0.25">
      <c r="O529" s="10" t="s">
        <v>1490</v>
      </c>
    </row>
    <row r="530" spans="15:15" x14ac:dyDescent="0.25">
      <c r="O530" s="11">
        <v>45168</v>
      </c>
    </row>
    <row r="531" spans="15:15" x14ac:dyDescent="0.25">
      <c r="O531" s="10" t="s">
        <v>1491</v>
      </c>
    </row>
    <row r="532" spans="15:15" x14ac:dyDescent="0.25">
      <c r="O532" s="11">
        <v>45169</v>
      </c>
    </row>
    <row r="533" spans="15:15" x14ac:dyDescent="0.25">
      <c r="O533" s="4" t="s">
        <v>910</v>
      </c>
    </row>
    <row r="534" spans="15:15" x14ac:dyDescent="0.25">
      <c r="O534" s="10" t="s">
        <v>1492</v>
      </c>
    </row>
    <row r="535" spans="15:15" x14ac:dyDescent="0.25">
      <c r="O535" s="11">
        <v>45170</v>
      </c>
    </row>
    <row r="536" spans="15:15" x14ac:dyDescent="0.25">
      <c r="O536" s="10" t="s">
        <v>1493</v>
      </c>
    </row>
    <row r="537" spans="15:15" x14ac:dyDescent="0.25">
      <c r="O537" s="11">
        <v>45171</v>
      </c>
    </row>
    <row r="538" spans="15:15" x14ac:dyDescent="0.25">
      <c r="O538" s="10" t="s">
        <v>1494</v>
      </c>
    </row>
    <row r="539" spans="15:15" x14ac:dyDescent="0.25">
      <c r="O539" s="11">
        <v>45172</v>
      </c>
    </row>
    <row r="540" spans="15:15" x14ac:dyDescent="0.25">
      <c r="O540" s="10" t="s">
        <v>1495</v>
      </c>
    </row>
    <row r="541" spans="15:15" x14ac:dyDescent="0.25">
      <c r="O541" s="11">
        <v>45173</v>
      </c>
    </row>
    <row r="542" spans="15:15" x14ac:dyDescent="0.25">
      <c r="O542" s="10" t="s">
        <v>1496</v>
      </c>
    </row>
    <row r="543" spans="15:15" x14ac:dyDescent="0.25">
      <c r="O543" s="11">
        <v>45174</v>
      </c>
    </row>
    <row r="544" spans="15:15" x14ac:dyDescent="0.25">
      <c r="O544" s="10" t="s">
        <v>1497</v>
      </c>
    </row>
    <row r="545" spans="15:15" x14ac:dyDescent="0.25">
      <c r="O545" s="11">
        <v>45175</v>
      </c>
    </row>
    <row r="546" spans="15:15" x14ac:dyDescent="0.25">
      <c r="O546" s="10" t="s">
        <v>1498</v>
      </c>
    </row>
    <row r="547" spans="15:15" x14ac:dyDescent="0.25">
      <c r="O547" s="11">
        <v>45176</v>
      </c>
    </row>
    <row r="548" spans="15:15" x14ac:dyDescent="0.25">
      <c r="O548" s="10" t="s">
        <v>1499</v>
      </c>
    </row>
    <row r="549" spans="15:15" x14ac:dyDescent="0.25">
      <c r="O549" s="11">
        <v>45177</v>
      </c>
    </row>
    <row r="550" spans="15:15" x14ac:dyDescent="0.25">
      <c r="O550" s="10" t="s">
        <v>1500</v>
      </c>
    </row>
    <row r="551" spans="15:15" x14ac:dyDescent="0.25">
      <c r="O551" s="11">
        <v>45178</v>
      </c>
    </row>
    <row r="552" spans="15:15" x14ac:dyDescent="0.25">
      <c r="O552" s="10" t="s">
        <v>1501</v>
      </c>
    </row>
    <row r="553" spans="15:15" x14ac:dyDescent="0.25">
      <c r="O553" s="11">
        <v>45179</v>
      </c>
    </row>
    <row r="554" spans="15:15" x14ac:dyDescent="0.25">
      <c r="O554" s="10" t="s">
        <v>1502</v>
      </c>
    </row>
    <row r="555" spans="15:15" x14ac:dyDescent="0.25">
      <c r="O555" s="11">
        <v>45180</v>
      </c>
    </row>
    <row r="556" spans="15:15" x14ac:dyDescent="0.25">
      <c r="O556" s="10" t="s">
        <v>1503</v>
      </c>
    </row>
    <row r="557" spans="15:15" x14ac:dyDescent="0.25">
      <c r="O557" s="11">
        <v>45181</v>
      </c>
    </row>
    <row r="558" spans="15:15" x14ac:dyDescent="0.25">
      <c r="O558" s="10" t="s">
        <v>1504</v>
      </c>
    </row>
    <row r="559" spans="15:15" x14ac:dyDescent="0.25">
      <c r="O559" s="11">
        <v>45182</v>
      </c>
    </row>
    <row r="560" spans="15:15" x14ac:dyDescent="0.25">
      <c r="O560" s="10" t="s">
        <v>1505</v>
      </c>
    </row>
    <row r="561" spans="15:15" x14ac:dyDescent="0.25">
      <c r="O561" s="11">
        <v>45183</v>
      </c>
    </row>
    <row r="562" spans="15:15" x14ac:dyDescent="0.25">
      <c r="O562" s="10" t="s">
        <v>1506</v>
      </c>
    </row>
    <row r="563" spans="15:15" x14ac:dyDescent="0.25">
      <c r="O563" s="11">
        <v>45184</v>
      </c>
    </row>
    <row r="564" spans="15:15" x14ac:dyDescent="0.25">
      <c r="O564" s="10" t="s">
        <v>1507</v>
      </c>
    </row>
    <row r="565" spans="15:15" x14ac:dyDescent="0.25">
      <c r="O565" s="11">
        <v>45185</v>
      </c>
    </row>
    <row r="566" spans="15:15" x14ac:dyDescent="0.25">
      <c r="O566" s="10" t="s">
        <v>1508</v>
      </c>
    </row>
    <row r="567" spans="15:15" x14ac:dyDescent="0.25">
      <c r="O567" s="11">
        <v>45187</v>
      </c>
    </row>
    <row r="568" spans="15:15" x14ac:dyDescent="0.25">
      <c r="O568" s="10" t="s">
        <v>1509</v>
      </c>
    </row>
    <row r="569" spans="15:15" x14ac:dyDescent="0.25">
      <c r="O569" s="11">
        <v>45188</v>
      </c>
    </row>
    <row r="570" spans="15:15" x14ac:dyDescent="0.25">
      <c r="O570" s="10" t="s">
        <v>1510</v>
      </c>
    </row>
    <row r="571" spans="15:15" x14ac:dyDescent="0.25">
      <c r="O571" s="11">
        <v>45189</v>
      </c>
    </row>
    <row r="572" spans="15:15" x14ac:dyDescent="0.25">
      <c r="O572" s="10" t="s">
        <v>1511</v>
      </c>
    </row>
    <row r="573" spans="15:15" x14ac:dyDescent="0.25">
      <c r="O573" s="11">
        <v>45190</v>
      </c>
    </row>
    <row r="574" spans="15:15" x14ac:dyDescent="0.25">
      <c r="O574" s="10" t="s">
        <v>1512</v>
      </c>
    </row>
    <row r="575" spans="15:15" x14ac:dyDescent="0.25">
      <c r="O575" s="11">
        <v>45191</v>
      </c>
    </row>
    <row r="576" spans="15:15" x14ac:dyDescent="0.25">
      <c r="O576" s="10" t="s">
        <v>1513</v>
      </c>
    </row>
    <row r="577" spans="15:15" x14ac:dyDescent="0.25">
      <c r="O577" s="11">
        <v>45193</v>
      </c>
    </row>
    <row r="578" spans="15:15" x14ac:dyDescent="0.25">
      <c r="O578" s="10" t="s">
        <v>1514</v>
      </c>
    </row>
    <row r="579" spans="15:15" x14ac:dyDescent="0.25">
      <c r="O579" s="11">
        <v>45194</v>
      </c>
    </row>
    <row r="580" spans="15:15" x14ac:dyDescent="0.25">
      <c r="O580" s="10" t="s">
        <v>1515</v>
      </c>
    </row>
    <row r="581" spans="15:15" x14ac:dyDescent="0.25">
      <c r="O581" s="11">
        <v>45195</v>
      </c>
    </row>
    <row r="582" spans="15:15" x14ac:dyDescent="0.25">
      <c r="O582" s="10" t="s">
        <v>1516</v>
      </c>
    </row>
    <row r="583" spans="15:15" x14ac:dyDescent="0.25">
      <c r="O583" s="11">
        <v>45197</v>
      </c>
    </row>
    <row r="584" spans="15:15" x14ac:dyDescent="0.25">
      <c r="O584" s="10" t="s">
        <v>1517</v>
      </c>
    </row>
    <row r="585" spans="15:15" x14ac:dyDescent="0.25">
      <c r="O585" s="11">
        <v>45198</v>
      </c>
    </row>
    <row r="586" spans="15:15" x14ac:dyDescent="0.25">
      <c r="O586" s="10" t="s">
        <v>1518</v>
      </c>
    </row>
    <row r="587" spans="15:15" x14ac:dyDescent="0.25">
      <c r="O587" s="11">
        <v>45199</v>
      </c>
    </row>
    <row r="588" spans="15:15" x14ac:dyDescent="0.25">
      <c r="O588" s="4" t="s">
        <v>1005</v>
      </c>
    </row>
    <row r="589" spans="15:15" x14ac:dyDescent="0.25">
      <c r="O589" s="10" t="s">
        <v>1519</v>
      </c>
    </row>
    <row r="590" spans="15:15" x14ac:dyDescent="0.25">
      <c r="O590" s="11">
        <v>45200</v>
      </c>
    </row>
    <row r="591" spans="15:15" x14ac:dyDescent="0.25">
      <c r="O591" s="10" t="s">
        <v>1520</v>
      </c>
    </row>
    <row r="592" spans="15:15" x14ac:dyDescent="0.25">
      <c r="O592" s="11">
        <v>45201</v>
      </c>
    </row>
    <row r="593" spans="15:15" x14ac:dyDescent="0.25">
      <c r="O593" s="10" t="s">
        <v>1521</v>
      </c>
    </row>
    <row r="594" spans="15:15" x14ac:dyDescent="0.25">
      <c r="O594" s="11">
        <v>45203</v>
      </c>
    </row>
    <row r="595" spans="15:15" x14ac:dyDescent="0.25">
      <c r="O595" s="10" t="s">
        <v>1522</v>
      </c>
    </row>
    <row r="596" spans="15:15" x14ac:dyDescent="0.25">
      <c r="O596" s="11">
        <v>45204</v>
      </c>
    </row>
    <row r="597" spans="15:15" x14ac:dyDescent="0.25">
      <c r="O597" s="10" t="s">
        <v>1523</v>
      </c>
    </row>
    <row r="598" spans="15:15" x14ac:dyDescent="0.25">
      <c r="O598" s="11">
        <v>45205</v>
      </c>
    </row>
    <row r="599" spans="15:15" x14ac:dyDescent="0.25">
      <c r="O599" s="10" t="s">
        <v>1524</v>
      </c>
    </row>
    <row r="600" spans="15:15" x14ac:dyDescent="0.25">
      <c r="O600" s="11">
        <v>45206</v>
      </c>
    </row>
    <row r="601" spans="15:15" x14ac:dyDescent="0.25">
      <c r="O601" s="10" t="s">
        <v>1525</v>
      </c>
    </row>
    <row r="602" spans="15:15" x14ac:dyDescent="0.25">
      <c r="O602" s="11">
        <v>45207</v>
      </c>
    </row>
    <row r="603" spans="15:15" x14ac:dyDescent="0.25">
      <c r="O603" s="10" t="s">
        <v>1526</v>
      </c>
    </row>
    <row r="604" spans="15:15" x14ac:dyDescent="0.25">
      <c r="O604" s="11">
        <v>45208</v>
      </c>
    </row>
    <row r="605" spans="15:15" x14ac:dyDescent="0.25">
      <c r="O605" s="10" t="s">
        <v>1527</v>
      </c>
    </row>
    <row r="606" spans="15:15" x14ac:dyDescent="0.25">
      <c r="O606" s="11">
        <v>45209</v>
      </c>
    </row>
    <row r="607" spans="15:15" x14ac:dyDescent="0.25">
      <c r="O607" s="10" t="s">
        <v>1528</v>
      </c>
    </row>
    <row r="608" spans="15:15" x14ac:dyDescent="0.25">
      <c r="O608" s="11">
        <v>45210</v>
      </c>
    </row>
    <row r="609" spans="15:15" x14ac:dyDescent="0.25">
      <c r="O609" s="10" t="s">
        <v>1529</v>
      </c>
    </row>
    <row r="610" spans="15:15" x14ac:dyDescent="0.25">
      <c r="O610" s="11">
        <v>45211</v>
      </c>
    </row>
    <row r="611" spans="15:15" x14ac:dyDescent="0.25">
      <c r="O611" s="10" t="s">
        <v>1530</v>
      </c>
    </row>
    <row r="612" spans="15:15" x14ac:dyDescent="0.25">
      <c r="O612" s="11">
        <v>45212</v>
      </c>
    </row>
    <row r="613" spans="15:15" x14ac:dyDescent="0.25">
      <c r="O613" s="10" t="s">
        <v>1531</v>
      </c>
    </row>
    <row r="614" spans="15:15" x14ac:dyDescent="0.25">
      <c r="O614" s="11">
        <v>45214</v>
      </c>
    </row>
    <row r="615" spans="15:15" x14ac:dyDescent="0.25">
      <c r="O615" s="10" t="s">
        <v>1532</v>
      </c>
    </row>
    <row r="616" spans="15:15" x14ac:dyDescent="0.25">
      <c r="O616" s="11">
        <v>45215</v>
      </c>
    </row>
    <row r="617" spans="15:15" x14ac:dyDescent="0.25">
      <c r="O617" s="10" t="s">
        <v>1533</v>
      </c>
    </row>
    <row r="618" spans="15:15" x14ac:dyDescent="0.25">
      <c r="O618" s="11">
        <v>45216</v>
      </c>
    </row>
    <row r="619" spans="15:15" x14ac:dyDescent="0.25">
      <c r="O619" s="10" t="s">
        <v>1534</v>
      </c>
    </row>
    <row r="620" spans="15:15" x14ac:dyDescent="0.25">
      <c r="O620" s="11">
        <v>45217</v>
      </c>
    </row>
    <row r="621" spans="15:15" x14ac:dyDescent="0.25">
      <c r="O621" s="10" t="s">
        <v>1535</v>
      </c>
    </row>
    <row r="622" spans="15:15" x14ac:dyDescent="0.25">
      <c r="O622" s="11">
        <v>45219</v>
      </c>
    </row>
    <row r="623" spans="15:15" x14ac:dyDescent="0.25">
      <c r="O623" s="10" t="s">
        <v>1536</v>
      </c>
    </row>
    <row r="624" spans="15:15" x14ac:dyDescent="0.25">
      <c r="O624" s="11">
        <v>45220</v>
      </c>
    </row>
    <row r="625" spans="15:15" x14ac:dyDescent="0.25">
      <c r="O625" s="10" t="s">
        <v>1537</v>
      </c>
    </row>
    <row r="626" spans="15:15" x14ac:dyDescent="0.25">
      <c r="O626" s="11">
        <v>45221</v>
      </c>
    </row>
    <row r="627" spans="15:15" x14ac:dyDescent="0.25">
      <c r="O627" s="10" t="s">
        <v>1538</v>
      </c>
    </row>
    <row r="628" spans="15:15" x14ac:dyDescent="0.25">
      <c r="O628" s="11">
        <v>45222</v>
      </c>
    </row>
    <row r="629" spans="15:15" x14ac:dyDescent="0.25">
      <c r="O629" s="10" t="s">
        <v>1539</v>
      </c>
    </row>
    <row r="630" spans="15:15" x14ac:dyDescent="0.25">
      <c r="O630" s="11">
        <v>45223</v>
      </c>
    </row>
    <row r="631" spans="15:15" x14ac:dyDescent="0.25">
      <c r="O631" s="10" t="s">
        <v>1540</v>
      </c>
    </row>
    <row r="632" spans="15:15" x14ac:dyDescent="0.25">
      <c r="O632" s="11">
        <v>45225</v>
      </c>
    </row>
    <row r="633" spans="15:15" x14ac:dyDescent="0.25">
      <c r="O633" s="10" t="s">
        <v>1541</v>
      </c>
    </row>
    <row r="634" spans="15:15" x14ac:dyDescent="0.25">
      <c r="O634" s="11">
        <v>45227</v>
      </c>
    </row>
    <row r="635" spans="15:15" x14ac:dyDescent="0.25">
      <c r="O635" s="10" t="s">
        <v>1542</v>
      </c>
    </row>
    <row r="636" spans="15:15" x14ac:dyDescent="0.25">
      <c r="O636" s="11">
        <v>45228</v>
      </c>
    </row>
    <row r="637" spans="15:15" x14ac:dyDescent="0.25">
      <c r="O637" s="10" t="s">
        <v>1543</v>
      </c>
    </row>
    <row r="638" spans="15:15" x14ac:dyDescent="0.25">
      <c r="O638" s="11">
        <v>45229</v>
      </c>
    </row>
    <row r="639" spans="15:15" x14ac:dyDescent="0.25">
      <c r="O639" s="10" t="s">
        <v>1544</v>
      </c>
    </row>
    <row r="640" spans="15:15" x14ac:dyDescent="0.25">
      <c r="O640" s="11">
        <v>45230</v>
      </c>
    </row>
    <row r="641" spans="15:15" x14ac:dyDescent="0.25">
      <c r="O641" s="4" t="s">
        <v>1097</v>
      </c>
    </row>
    <row r="642" spans="15:15" x14ac:dyDescent="0.25">
      <c r="O642" s="10" t="s">
        <v>1545</v>
      </c>
    </row>
    <row r="643" spans="15:15" x14ac:dyDescent="0.25">
      <c r="O643" s="11">
        <v>45232</v>
      </c>
    </row>
    <row r="644" spans="15:15" x14ac:dyDescent="0.25">
      <c r="O644" s="10" t="s">
        <v>1546</v>
      </c>
    </row>
    <row r="645" spans="15:15" x14ac:dyDescent="0.25">
      <c r="O645" s="11">
        <v>45235</v>
      </c>
    </row>
    <row r="646" spans="15:15" x14ac:dyDescent="0.25">
      <c r="O646" s="10" t="s">
        <v>1547</v>
      </c>
    </row>
    <row r="647" spans="15:15" x14ac:dyDescent="0.25">
      <c r="O647" s="11">
        <v>45236</v>
      </c>
    </row>
    <row r="648" spans="15:15" x14ac:dyDescent="0.25">
      <c r="O648" s="10" t="s">
        <v>1548</v>
      </c>
    </row>
    <row r="649" spans="15:15" x14ac:dyDescent="0.25">
      <c r="O649" s="11">
        <v>45237</v>
      </c>
    </row>
    <row r="650" spans="15:15" x14ac:dyDescent="0.25">
      <c r="O650" s="10" t="s">
        <v>1549</v>
      </c>
    </row>
    <row r="651" spans="15:15" x14ac:dyDescent="0.25">
      <c r="O651" s="11">
        <v>45238</v>
      </c>
    </row>
    <row r="652" spans="15:15" x14ac:dyDescent="0.25">
      <c r="O652" s="10" t="s">
        <v>1550</v>
      </c>
    </row>
    <row r="653" spans="15:15" x14ac:dyDescent="0.25">
      <c r="O653" s="11">
        <v>45239</v>
      </c>
    </row>
    <row r="654" spans="15:15" x14ac:dyDescent="0.25">
      <c r="O654" s="10" t="s">
        <v>1551</v>
      </c>
    </row>
    <row r="655" spans="15:15" x14ac:dyDescent="0.25">
      <c r="O655" s="11">
        <v>45240</v>
      </c>
    </row>
    <row r="656" spans="15:15" x14ac:dyDescent="0.25">
      <c r="O656" s="10" t="s">
        <v>1552</v>
      </c>
    </row>
    <row r="657" spans="15:15" x14ac:dyDescent="0.25">
      <c r="O657" s="11">
        <v>45241</v>
      </c>
    </row>
    <row r="658" spans="15:15" x14ac:dyDescent="0.25">
      <c r="O658" s="10" t="s">
        <v>1553</v>
      </c>
    </row>
    <row r="659" spans="15:15" x14ac:dyDescent="0.25">
      <c r="O659" s="11">
        <v>45242</v>
      </c>
    </row>
    <row r="660" spans="15:15" x14ac:dyDescent="0.25">
      <c r="O660" s="10" t="s">
        <v>1554</v>
      </c>
    </row>
    <row r="661" spans="15:15" x14ac:dyDescent="0.25">
      <c r="O661" s="11">
        <v>45244</v>
      </c>
    </row>
    <row r="662" spans="15:15" x14ac:dyDescent="0.25">
      <c r="O662" s="10" t="s">
        <v>1555</v>
      </c>
    </row>
    <row r="663" spans="15:15" x14ac:dyDescent="0.25">
      <c r="O663" s="11">
        <v>45245</v>
      </c>
    </row>
    <row r="664" spans="15:15" x14ac:dyDescent="0.25">
      <c r="O664" s="10" t="s">
        <v>1556</v>
      </c>
    </row>
    <row r="665" spans="15:15" x14ac:dyDescent="0.25">
      <c r="O665" s="11">
        <v>45246</v>
      </c>
    </row>
    <row r="666" spans="15:15" x14ac:dyDescent="0.25">
      <c r="O666" s="10" t="s">
        <v>1557</v>
      </c>
    </row>
    <row r="667" spans="15:15" x14ac:dyDescent="0.25">
      <c r="O667" s="11">
        <v>45247</v>
      </c>
    </row>
    <row r="668" spans="15:15" x14ac:dyDescent="0.25">
      <c r="O668" s="10" t="s">
        <v>1558</v>
      </c>
    </row>
    <row r="669" spans="15:15" x14ac:dyDescent="0.25">
      <c r="O669" s="11">
        <v>45248</v>
      </c>
    </row>
    <row r="670" spans="15:15" x14ac:dyDescent="0.25">
      <c r="O670" s="10" t="s">
        <v>1559</v>
      </c>
    </row>
    <row r="671" spans="15:15" x14ac:dyDescent="0.25">
      <c r="O671" s="11">
        <v>45249</v>
      </c>
    </row>
    <row r="672" spans="15:15" x14ac:dyDescent="0.25">
      <c r="O672" s="10" t="s">
        <v>1560</v>
      </c>
    </row>
    <row r="673" spans="15:15" x14ac:dyDescent="0.25">
      <c r="O673" s="11">
        <v>45250</v>
      </c>
    </row>
    <row r="674" spans="15:15" x14ac:dyDescent="0.25">
      <c r="O674" s="10" t="s">
        <v>1561</v>
      </c>
    </row>
    <row r="675" spans="15:15" x14ac:dyDescent="0.25">
      <c r="O675" s="11">
        <v>45251</v>
      </c>
    </row>
    <row r="676" spans="15:15" x14ac:dyDescent="0.25">
      <c r="O676" s="10" t="s">
        <v>1562</v>
      </c>
    </row>
    <row r="677" spans="15:15" x14ac:dyDescent="0.25">
      <c r="O677" s="11">
        <v>45252</v>
      </c>
    </row>
    <row r="678" spans="15:15" x14ac:dyDescent="0.25">
      <c r="O678" s="10" t="s">
        <v>1563</v>
      </c>
    </row>
    <row r="679" spans="15:15" x14ac:dyDescent="0.25">
      <c r="O679" s="11">
        <v>45253</v>
      </c>
    </row>
    <row r="680" spans="15:15" x14ac:dyDescent="0.25">
      <c r="O680" s="10" t="s">
        <v>1564</v>
      </c>
    </row>
    <row r="681" spans="15:15" x14ac:dyDescent="0.25">
      <c r="O681" s="11">
        <v>45254</v>
      </c>
    </row>
    <row r="682" spans="15:15" x14ac:dyDescent="0.25">
      <c r="O682" s="10" t="s">
        <v>1565</v>
      </c>
    </row>
    <row r="683" spans="15:15" x14ac:dyDescent="0.25">
      <c r="O683" s="11">
        <v>45255</v>
      </c>
    </row>
    <row r="684" spans="15:15" x14ac:dyDescent="0.25">
      <c r="O684" s="10" t="s">
        <v>1566</v>
      </c>
    </row>
    <row r="685" spans="15:15" x14ac:dyDescent="0.25">
      <c r="O685" s="11">
        <v>45256</v>
      </c>
    </row>
    <row r="686" spans="15:15" x14ac:dyDescent="0.25">
      <c r="O686" s="10" t="s">
        <v>1567</v>
      </c>
    </row>
    <row r="687" spans="15:15" x14ac:dyDescent="0.25">
      <c r="O687" s="11">
        <v>45259</v>
      </c>
    </row>
    <row r="688" spans="15:15" x14ac:dyDescent="0.25">
      <c r="O688" s="10" t="s">
        <v>1568</v>
      </c>
    </row>
    <row r="689" spans="15:15" x14ac:dyDescent="0.25">
      <c r="O689" s="11">
        <v>45260</v>
      </c>
    </row>
    <row r="690" spans="15:15" x14ac:dyDescent="0.25">
      <c r="O690" s="4" t="s">
        <v>1155</v>
      </c>
    </row>
    <row r="691" spans="15:15" x14ac:dyDescent="0.25">
      <c r="O691" s="10" t="s">
        <v>1569</v>
      </c>
    </row>
    <row r="692" spans="15:15" x14ac:dyDescent="0.25">
      <c r="O692" s="11">
        <v>45261</v>
      </c>
    </row>
    <row r="693" spans="15:15" x14ac:dyDescent="0.25">
      <c r="O693" s="10" t="s">
        <v>1570</v>
      </c>
    </row>
    <row r="694" spans="15:15" x14ac:dyDescent="0.25">
      <c r="O694" s="11">
        <v>45262</v>
      </c>
    </row>
    <row r="695" spans="15:15" x14ac:dyDescent="0.25">
      <c r="O695" s="10" t="s">
        <v>1571</v>
      </c>
    </row>
    <row r="696" spans="15:15" x14ac:dyDescent="0.25">
      <c r="O696" s="11">
        <v>45263</v>
      </c>
    </row>
    <row r="697" spans="15:15" x14ac:dyDescent="0.25">
      <c r="O697" s="10" t="s">
        <v>1572</v>
      </c>
    </row>
    <row r="698" spans="15:15" x14ac:dyDescent="0.25">
      <c r="O698" s="11">
        <v>45264</v>
      </c>
    </row>
    <row r="699" spans="15:15" x14ac:dyDescent="0.25">
      <c r="O699" s="10" t="s">
        <v>1573</v>
      </c>
    </row>
    <row r="700" spans="15:15" x14ac:dyDescent="0.25">
      <c r="O700" s="11">
        <v>45265</v>
      </c>
    </row>
    <row r="701" spans="15:15" x14ac:dyDescent="0.25">
      <c r="O701" s="10" t="s">
        <v>1574</v>
      </c>
    </row>
    <row r="702" spans="15:15" x14ac:dyDescent="0.25">
      <c r="O702" s="11">
        <v>45266</v>
      </c>
    </row>
    <row r="703" spans="15:15" x14ac:dyDescent="0.25">
      <c r="O703" s="10" t="s">
        <v>1575</v>
      </c>
    </row>
    <row r="704" spans="15:15" x14ac:dyDescent="0.25">
      <c r="O704" s="11">
        <v>45267</v>
      </c>
    </row>
    <row r="705" spans="15:15" x14ac:dyDescent="0.25">
      <c r="O705" s="10" t="s">
        <v>1576</v>
      </c>
    </row>
    <row r="706" spans="15:15" x14ac:dyDescent="0.25">
      <c r="O706" s="11">
        <v>45268</v>
      </c>
    </row>
    <row r="707" spans="15:15" x14ac:dyDescent="0.25">
      <c r="O707" s="10" t="s">
        <v>1577</v>
      </c>
    </row>
    <row r="708" spans="15:15" x14ac:dyDescent="0.25">
      <c r="O708" s="11">
        <v>45269</v>
      </c>
    </row>
    <row r="709" spans="15:15" x14ac:dyDescent="0.25">
      <c r="O709" s="10" t="s">
        <v>1578</v>
      </c>
    </row>
    <row r="710" spans="15:15" x14ac:dyDescent="0.25">
      <c r="O710" s="11">
        <v>45270</v>
      </c>
    </row>
    <row r="711" spans="15:15" x14ac:dyDescent="0.25">
      <c r="O711" s="10" t="s">
        <v>1579</v>
      </c>
    </row>
    <row r="712" spans="15:15" x14ac:dyDescent="0.25">
      <c r="O712" s="11">
        <v>45271</v>
      </c>
    </row>
    <row r="713" spans="15:15" x14ac:dyDescent="0.25">
      <c r="O713" s="10" t="s">
        <v>1580</v>
      </c>
    </row>
    <row r="714" spans="15:15" x14ac:dyDescent="0.25">
      <c r="O714" s="11">
        <v>45272</v>
      </c>
    </row>
    <row r="715" spans="15:15" x14ac:dyDescent="0.25">
      <c r="O715" s="10" t="s">
        <v>1581</v>
      </c>
    </row>
    <row r="716" spans="15:15" x14ac:dyDescent="0.25">
      <c r="O716" s="11">
        <v>45273</v>
      </c>
    </row>
    <row r="717" spans="15:15" x14ac:dyDescent="0.25">
      <c r="O717" s="10" t="s">
        <v>1582</v>
      </c>
    </row>
    <row r="718" spans="15:15" x14ac:dyDescent="0.25">
      <c r="O718" s="11">
        <v>45274</v>
      </c>
    </row>
    <row r="719" spans="15:15" x14ac:dyDescent="0.25">
      <c r="O719" s="10" t="s">
        <v>1583</v>
      </c>
    </row>
    <row r="720" spans="15:15" x14ac:dyDescent="0.25">
      <c r="O720" s="11">
        <v>45275</v>
      </c>
    </row>
    <row r="721" spans="15:15" x14ac:dyDescent="0.25">
      <c r="O721" s="10" t="s">
        <v>1584</v>
      </c>
    </row>
    <row r="722" spans="15:15" x14ac:dyDescent="0.25">
      <c r="O722" s="11">
        <v>45276</v>
      </c>
    </row>
    <row r="723" spans="15:15" x14ac:dyDescent="0.25">
      <c r="O723" s="10" t="s">
        <v>1585</v>
      </c>
    </row>
    <row r="724" spans="15:15" x14ac:dyDescent="0.25">
      <c r="O724" s="11">
        <v>45278</v>
      </c>
    </row>
    <row r="725" spans="15:15" x14ac:dyDescent="0.25">
      <c r="O725" s="10" t="s">
        <v>1586</v>
      </c>
    </row>
    <row r="726" spans="15:15" x14ac:dyDescent="0.25">
      <c r="O726" s="11">
        <v>45280</v>
      </c>
    </row>
    <row r="727" spans="15:15" x14ac:dyDescent="0.25">
      <c r="O727" s="10" t="s">
        <v>1587</v>
      </c>
    </row>
    <row r="728" spans="15:15" x14ac:dyDescent="0.25">
      <c r="O728" s="11">
        <v>45281</v>
      </c>
    </row>
    <row r="729" spans="15:15" x14ac:dyDescent="0.25">
      <c r="O729" s="10" t="s">
        <v>1588</v>
      </c>
    </row>
    <row r="730" spans="15:15" x14ac:dyDescent="0.25">
      <c r="O730" s="11">
        <v>45282</v>
      </c>
    </row>
    <row r="731" spans="15:15" x14ac:dyDescent="0.25">
      <c r="O731" s="10" t="s">
        <v>1589</v>
      </c>
    </row>
    <row r="732" spans="15:15" x14ac:dyDescent="0.25">
      <c r="O732" s="11">
        <v>45283</v>
      </c>
    </row>
    <row r="733" spans="15:15" x14ac:dyDescent="0.25">
      <c r="O733" s="10" t="s">
        <v>1590</v>
      </c>
    </row>
    <row r="734" spans="15:15" x14ac:dyDescent="0.25">
      <c r="O734" s="11">
        <v>45284</v>
      </c>
    </row>
    <row r="735" spans="15:15" x14ac:dyDescent="0.25">
      <c r="O735" s="10" t="s">
        <v>1591</v>
      </c>
    </row>
    <row r="736" spans="15:15" x14ac:dyDescent="0.25">
      <c r="O736" s="11">
        <v>45285</v>
      </c>
    </row>
    <row r="737" spans="15:15" x14ac:dyDescent="0.25">
      <c r="O737" s="10" t="s">
        <v>1592</v>
      </c>
    </row>
    <row r="738" spans="15:15" x14ac:dyDescent="0.25">
      <c r="O738" s="11">
        <v>45286</v>
      </c>
    </row>
    <row r="739" spans="15:15" x14ac:dyDescent="0.25">
      <c r="O739" s="10" t="s">
        <v>1593</v>
      </c>
    </row>
    <row r="740" spans="15:15" x14ac:dyDescent="0.25">
      <c r="O740" s="11">
        <v>45287</v>
      </c>
    </row>
    <row r="741" spans="15:15" x14ac:dyDescent="0.25">
      <c r="O741" s="10" t="s">
        <v>1594</v>
      </c>
    </row>
    <row r="742" spans="15:15" x14ac:dyDescent="0.25">
      <c r="O742" s="11">
        <v>45288</v>
      </c>
    </row>
    <row r="743" spans="15:15" x14ac:dyDescent="0.25">
      <c r="O743" s="10" t="s">
        <v>1595</v>
      </c>
    </row>
    <row r="744" spans="15:15" x14ac:dyDescent="0.25">
      <c r="O744" s="11">
        <v>45289</v>
      </c>
    </row>
    <row r="745" spans="15:15" x14ac:dyDescent="0.25">
      <c r="O745" s="4" t="s">
        <v>1240</v>
      </c>
    </row>
  </sheetData>
  <pageMargins left="0.7" right="0.7" top="0.75" bottom="0.75" header="0.3" footer="0.3"/>
  <drawing r:id="rId23"/>
  <extLst>
    <ext xmlns:x14="http://schemas.microsoft.com/office/spreadsheetml/2009/9/main" uri="{A8765BA9-456A-4dab-B4F3-ACF838C121DE}">
      <x14:slicerList>
        <x14:slicer r:id="rId2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F10-A843-4AAB-8A7F-E8953C734D0F}">
  <sheetPr>
    <tabColor rgb="FFFF0000"/>
  </sheetPr>
  <dimension ref="A1:T1052"/>
  <sheetViews>
    <sheetView workbookViewId="0"/>
  </sheetViews>
  <sheetFormatPr baseColWidth="10" defaultRowHeight="15" x14ac:dyDescent="0.25"/>
  <cols>
    <col min="7" max="7" width="17.28515625" customWidth="1"/>
    <col min="8" max="8" width="40.28515625" bestFit="1" customWidth="1"/>
    <col min="9" max="9" width="20.7109375" bestFit="1" customWidth="1"/>
    <col min="11" max="11" width="20.85546875" customWidth="1"/>
    <col min="13" max="13" width="17.28515625" customWidth="1"/>
    <col min="15" max="16" width="12.7109375" customWidth="1"/>
    <col min="17" max="17" width="21.7109375" customWidth="1"/>
    <col min="18" max="18" width="18.7109375" customWidth="1"/>
    <col min="19" max="19" width="17.42578125" customWidth="1"/>
    <col min="20" max="20" width="22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44927</v>
      </c>
      <c r="C2" t="s">
        <v>21</v>
      </c>
      <c r="D2">
        <v>1</v>
      </c>
      <c r="E2" t="str">
        <f>+CONCATENATE("T",ROUNDUP(MONTH(Datos[[#This Row],[Fecha]])/3,0))</f>
        <v>T1</v>
      </c>
      <c r="F2" t="str">
        <f>+CONCATENATE("Sem"," ",ROUNDUP(MONTH(Datos[[#This Row],[Fecha]])/6,0))</f>
        <v>Sem 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0</v>
      </c>
      <c r="N2" s="1">
        <v>44927</v>
      </c>
      <c r="O2" s="1">
        <v>44946</v>
      </c>
      <c r="P2" t="s">
        <v>28</v>
      </c>
      <c r="Q2">
        <f>+IF(OR(Datos[[#This Row],[Diagnostico]]="Inservible",Datos[[#This Row],[Estatus]]="Preventivo"),0,Datos[[#This Row],[Fecha_Final]]-Datos[[#This Row],[Día_Inicio]])</f>
        <v>0</v>
      </c>
      <c r="R2" s="2">
        <v>0</v>
      </c>
      <c r="S2" s="2">
        <v>0</v>
      </c>
      <c r="T2" t="s">
        <v>29</v>
      </c>
    </row>
    <row r="3" spans="1:20" x14ac:dyDescent="0.25">
      <c r="A3" t="s">
        <v>30</v>
      </c>
      <c r="B3" s="1">
        <v>44927</v>
      </c>
      <c r="C3" t="s">
        <v>21</v>
      </c>
      <c r="D3">
        <v>1</v>
      </c>
      <c r="E3" t="str">
        <f>+CONCATENATE("T",ROUNDUP(MONTH(Datos[[#This Row],[Fecha]])/3,0))</f>
        <v>T1</v>
      </c>
      <c r="F3" t="str">
        <f>+CONCATENATE("Sem"," ",ROUNDUP(MONTH(Datos[[#This Row],[Fecha]])/6,0))</f>
        <v>Sem 1</v>
      </c>
      <c r="G3" t="s">
        <v>31</v>
      </c>
      <c r="H3" t="s">
        <v>32</v>
      </c>
      <c r="I3" t="s">
        <v>24</v>
      </c>
      <c r="J3" t="s">
        <v>33</v>
      </c>
      <c r="K3" t="s">
        <v>34</v>
      </c>
      <c r="L3" t="s">
        <v>27</v>
      </c>
      <c r="M3">
        <v>0</v>
      </c>
      <c r="N3" s="1">
        <v>44927</v>
      </c>
      <c r="O3" s="1">
        <v>44937</v>
      </c>
      <c r="P3" t="s">
        <v>28</v>
      </c>
      <c r="Q3">
        <f>+IF(OR(Datos[[#This Row],[Diagnostico]]="Inservible",Datos[[#This Row],[Estatus]]="Preventivo"),0,Datos[[#This Row],[Fecha_Final]]-Datos[[#This Row],[Día_Inicio]])</f>
        <v>0</v>
      </c>
      <c r="R3" s="2">
        <v>0</v>
      </c>
      <c r="S3" s="2">
        <v>0</v>
      </c>
      <c r="T3" t="s">
        <v>29</v>
      </c>
    </row>
    <row r="4" spans="1:20" x14ac:dyDescent="0.25">
      <c r="A4" t="s">
        <v>35</v>
      </c>
      <c r="B4" s="1">
        <v>44927</v>
      </c>
      <c r="C4" t="s">
        <v>21</v>
      </c>
      <c r="D4">
        <v>1</v>
      </c>
      <c r="E4" t="str">
        <f>+CONCATENATE("T",ROUNDUP(MONTH(Datos[[#This Row],[Fecha]])/3,0))</f>
        <v>T1</v>
      </c>
      <c r="F4" t="str">
        <f>+CONCATENATE("Sem"," ",ROUNDUP(MONTH(Datos[[#This Row],[Fecha]])/6,0))</f>
        <v>Sem 1</v>
      </c>
      <c r="G4" t="s">
        <v>36</v>
      </c>
      <c r="H4" t="s">
        <v>37</v>
      </c>
      <c r="I4" t="s">
        <v>24</v>
      </c>
      <c r="J4" t="s">
        <v>38</v>
      </c>
      <c r="K4" t="s">
        <v>39</v>
      </c>
      <c r="L4" t="s">
        <v>40</v>
      </c>
      <c r="M4" t="s">
        <v>41</v>
      </c>
      <c r="N4" s="1">
        <v>44927</v>
      </c>
      <c r="O4" s="1">
        <v>45017</v>
      </c>
      <c r="P4" t="s">
        <v>29</v>
      </c>
      <c r="Q4">
        <f>+IF(OR(Datos[[#This Row],[Diagnostico]]="Inservible",Datos[[#This Row],[Estatus]]="Preventivo"),0,Datos[[#This Row],[Fecha_Final]]-Datos[[#This Row],[Día_Inicio]])</f>
        <v>0</v>
      </c>
      <c r="R4" s="2">
        <v>210</v>
      </c>
      <c r="S4" s="2">
        <v>778</v>
      </c>
      <c r="T4" t="s">
        <v>42</v>
      </c>
    </row>
    <row r="5" spans="1:20" x14ac:dyDescent="0.25">
      <c r="A5" t="s">
        <v>43</v>
      </c>
      <c r="B5" s="1">
        <v>44928</v>
      </c>
      <c r="C5" t="s">
        <v>21</v>
      </c>
      <c r="D5">
        <v>1</v>
      </c>
      <c r="E5" t="str">
        <f>+CONCATENATE("T",ROUNDUP(MONTH(Datos[[#This Row],[Fecha]])/3,0))</f>
        <v>T1</v>
      </c>
      <c r="F5" t="str">
        <f>+CONCATENATE("Sem"," ",ROUNDUP(MONTH(Datos[[#This Row],[Fecha]])/6,0))</f>
        <v>Sem 1</v>
      </c>
      <c r="G5" t="s">
        <v>44</v>
      </c>
      <c r="H5" t="s">
        <v>45</v>
      </c>
      <c r="I5" t="s">
        <v>24</v>
      </c>
      <c r="J5" t="s">
        <v>46</v>
      </c>
      <c r="K5" t="s">
        <v>47</v>
      </c>
      <c r="L5" t="s">
        <v>27</v>
      </c>
      <c r="M5">
        <v>0</v>
      </c>
      <c r="N5" s="1">
        <v>44928</v>
      </c>
      <c r="O5" s="1">
        <v>44941</v>
      </c>
      <c r="P5" t="s">
        <v>28</v>
      </c>
      <c r="Q5">
        <f>+IF(OR(Datos[[#This Row],[Diagnostico]]="Inservible",Datos[[#This Row],[Estatus]]="Preventivo"),0,Datos[[#This Row],[Fecha_Final]]-Datos[[#This Row],[Día_Inicio]])</f>
        <v>0</v>
      </c>
      <c r="R5" s="2">
        <v>0</v>
      </c>
      <c r="S5" s="2">
        <v>0</v>
      </c>
      <c r="T5" t="s">
        <v>29</v>
      </c>
    </row>
    <row r="6" spans="1:20" x14ac:dyDescent="0.25">
      <c r="A6" t="s">
        <v>48</v>
      </c>
      <c r="B6" s="1">
        <v>44928</v>
      </c>
      <c r="C6" t="s">
        <v>21</v>
      </c>
      <c r="D6">
        <v>1</v>
      </c>
      <c r="E6" t="str">
        <f>+CONCATENATE("T",ROUNDUP(MONTH(Datos[[#This Row],[Fecha]])/3,0))</f>
        <v>T1</v>
      </c>
      <c r="F6" t="str">
        <f>+CONCATENATE("Sem"," ",ROUNDUP(MONTH(Datos[[#This Row],[Fecha]])/6,0))</f>
        <v>Sem 1</v>
      </c>
      <c r="G6" t="s">
        <v>49</v>
      </c>
      <c r="H6" t="s">
        <v>23</v>
      </c>
      <c r="I6" t="s">
        <v>24</v>
      </c>
      <c r="J6" t="s">
        <v>50</v>
      </c>
      <c r="K6" t="s">
        <v>39</v>
      </c>
      <c r="L6" t="s">
        <v>40</v>
      </c>
      <c r="M6" t="s">
        <v>51</v>
      </c>
      <c r="N6" s="1">
        <v>44928</v>
      </c>
      <c r="O6" s="1">
        <v>44988</v>
      </c>
      <c r="P6" t="s">
        <v>29</v>
      </c>
      <c r="Q6">
        <f>+IF(OR(Datos[[#This Row],[Diagnostico]]="Inservible",Datos[[#This Row],[Estatus]]="Preventivo"),0,Datos[[#This Row],[Fecha_Final]]-Datos[[#This Row],[Día_Inicio]])</f>
        <v>0</v>
      </c>
      <c r="R6" s="2">
        <v>899</v>
      </c>
      <c r="S6" s="2">
        <v>130</v>
      </c>
      <c r="T6" t="s">
        <v>42</v>
      </c>
    </row>
    <row r="7" spans="1:20" x14ac:dyDescent="0.25">
      <c r="A7" t="s">
        <v>52</v>
      </c>
      <c r="B7" s="1">
        <v>44928</v>
      </c>
      <c r="C7" t="s">
        <v>21</v>
      </c>
      <c r="D7">
        <v>1</v>
      </c>
      <c r="E7" t="str">
        <f>+CONCATENATE("T",ROUNDUP(MONTH(Datos[[#This Row],[Fecha]])/3,0))</f>
        <v>T1</v>
      </c>
      <c r="F7" t="str">
        <f>+CONCATENATE("Sem"," ",ROUNDUP(MONTH(Datos[[#This Row],[Fecha]])/6,0))</f>
        <v>Sem 1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27</v>
      </c>
      <c r="M7">
        <v>0</v>
      </c>
      <c r="N7" s="1">
        <v>44928</v>
      </c>
      <c r="O7" s="1">
        <v>44950</v>
      </c>
      <c r="P7" t="s">
        <v>58</v>
      </c>
      <c r="Q7">
        <f>+IF(OR(Datos[[#This Row],[Diagnostico]]="Inservible",Datos[[#This Row],[Estatus]]="Preventivo"),0,Datos[[#This Row],[Fecha_Final]]-Datos[[#This Row],[Día_Inicio]])</f>
        <v>22</v>
      </c>
      <c r="R7" s="2">
        <v>332</v>
      </c>
      <c r="S7" s="2">
        <v>121</v>
      </c>
      <c r="T7" t="s">
        <v>59</v>
      </c>
    </row>
    <row r="8" spans="1:20" x14ac:dyDescent="0.25">
      <c r="A8" t="s">
        <v>60</v>
      </c>
      <c r="B8" s="1">
        <v>44929</v>
      </c>
      <c r="C8" t="s">
        <v>21</v>
      </c>
      <c r="D8">
        <v>1</v>
      </c>
      <c r="E8" t="str">
        <f>+CONCATENATE("T",ROUNDUP(MONTH(Datos[[#This Row],[Fecha]])/3,0))</f>
        <v>T1</v>
      </c>
      <c r="F8" t="str">
        <f>+CONCATENATE("Sem"," ",ROUNDUP(MONTH(Datos[[#This Row],[Fecha]])/6,0))</f>
        <v>Sem 1</v>
      </c>
      <c r="G8" t="s">
        <v>61</v>
      </c>
      <c r="H8" t="s">
        <v>62</v>
      </c>
      <c r="I8" t="s">
        <v>24</v>
      </c>
      <c r="J8" t="s">
        <v>46</v>
      </c>
      <c r="K8" t="s">
        <v>63</v>
      </c>
      <c r="L8" t="s">
        <v>27</v>
      </c>
      <c r="M8">
        <v>0</v>
      </c>
      <c r="N8" s="1">
        <v>44929</v>
      </c>
      <c r="O8" s="1">
        <v>44954</v>
      </c>
      <c r="P8" t="s">
        <v>58</v>
      </c>
      <c r="Q8">
        <f>+IF(OR(Datos[[#This Row],[Diagnostico]]="Inservible",Datos[[#This Row],[Estatus]]="Preventivo"),0,Datos[[#This Row],[Fecha_Final]]-Datos[[#This Row],[Día_Inicio]])</f>
        <v>25</v>
      </c>
      <c r="R8" s="2">
        <v>932</v>
      </c>
      <c r="S8" s="2">
        <v>439</v>
      </c>
      <c r="T8" t="s">
        <v>64</v>
      </c>
    </row>
    <row r="9" spans="1:20" x14ac:dyDescent="0.25">
      <c r="A9" t="s">
        <v>65</v>
      </c>
      <c r="B9" s="1">
        <v>44929</v>
      </c>
      <c r="C9" t="s">
        <v>21</v>
      </c>
      <c r="D9">
        <v>1</v>
      </c>
      <c r="E9" t="str">
        <f>+CONCATENATE("T",ROUNDUP(MONTH(Datos[[#This Row],[Fecha]])/3,0))</f>
        <v>T1</v>
      </c>
      <c r="F9" t="str">
        <f>+CONCATENATE("Sem"," ",ROUNDUP(MONTH(Datos[[#This Row],[Fecha]])/6,0))</f>
        <v>Sem 1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27</v>
      </c>
      <c r="M9">
        <v>0</v>
      </c>
      <c r="N9" s="1">
        <v>44929</v>
      </c>
      <c r="O9" s="1">
        <v>44957</v>
      </c>
      <c r="P9" t="s">
        <v>58</v>
      </c>
      <c r="Q9">
        <f>+IF(OR(Datos[[#This Row],[Diagnostico]]="Inservible",Datos[[#This Row],[Estatus]]="Preventivo"),0,Datos[[#This Row],[Fecha_Final]]-Datos[[#This Row],[Día_Inicio]])</f>
        <v>28</v>
      </c>
      <c r="R9" s="2">
        <v>928</v>
      </c>
      <c r="S9" s="2">
        <v>995</v>
      </c>
      <c r="T9" t="s">
        <v>42</v>
      </c>
    </row>
    <row r="10" spans="1:20" x14ac:dyDescent="0.25">
      <c r="A10" t="s">
        <v>71</v>
      </c>
      <c r="B10" s="1">
        <v>44929</v>
      </c>
      <c r="C10" t="s">
        <v>21</v>
      </c>
      <c r="D10">
        <v>1</v>
      </c>
      <c r="E10" t="str">
        <f>+CONCATENATE("T",ROUNDUP(MONTH(Datos[[#This Row],[Fecha]])/3,0))</f>
        <v>T1</v>
      </c>
      <c r="F10" t="str">
        <f>+CONCATENATE("Sem"," ",ROUNDUP(MONTH(Datos[[#This Row],[Fecha]])/6,0))</f>
        <v>Sem 1</v>
      </c>
      <c r="G10" t="s">
        <v>72</v>
      </c>
      <c r="H10" t="s">
        <v>73</v>
      </c>
      <c r="I10" t="s">
        <v>24</v>
      </c>
      <c r="J10" t="s">
        <v>74</v>
      </c>
      <c r="K10" t="s">
        <v>39</v>
      </c>
      <c r="L10" t="s">
        <v>40</v>
      </c>
      <c r="M10" t="s">
        <v>75</v>
      </c>
      <c r="N10" s="1">
        <v>44929</v>
      </c>
      <c r="O10" s="1">
        <v>45289</v>
      </c>
      <c r="P10" t="s">
        <v>29</v>
      </c>
      <c r="Q10">
        <f>+IF(OR(Datos[[#This Row],[Diagnostico]]="Inservible",Datos[[#This Row],[Estatus]]="Preventivo"),0,Datos[[#This Row],[Fecha_Final]]-Datos[[#This Row],[Día_Inicio]])</f>
        <v>0</v>
      </c>
      <c r="R10" s="2">
        <v>296</v>
      </c>
      <c r="S10" s="2">
        <v>193</v>
      </c>
      <c r="T10" t="s">
        <v>42</v>
      </c>
    </row>
    <row r="11" spans="1:20" x14ac:dyDescent="0.25">
      <c r="A11" t="s">
        <v>76</v>
      </c>
      <c r="B11" s="1">
        <v>44929</v>
      </c>
      <c r="C11" t="s">
        <v>21</v>
      </c>
      <c r="D11">
        <v>1</v>
      </c>
      <c r="E11" t="str">
        <f>+CONCATENATE("T",ROUNDUP(MONTH(Datos[[#This Row],[Fecha]])/3,0))</f>
        <v>T1</v>
      </c>
      <c r="F11" t="str">
        <f>+CONCATENATE("Sem"," ",ROUNDUP(MONTH(Datos[[#This Row],[Fecha]])/6,0))</f>
        <v>Sem 1</v>
      </c>
      <c r="G11" t="s">
        <v>77</v>
      </c>
      <c r="H11" t="s">
        <v>78</v>
      </c>
      <c r="I11" t="s">
        <v>24</v>
      </c>
      <c r="J11" t="s">
        <v>79</v>
      </c>
      <c r="K11" t="s">
        <v>80</v>
      </c>
      <c r="L11" t="s">
        <v>27</v>
      </c>
      <c r="M11">
        <v>0</v>
      </c>
      <c r="N11" s="1">
        <v>44929</v>
      </c>
      <c r="O11" s="1">
        <v>44946</v>
      </c>
      <c r="P11" t="s">
        <v>28</v>
      </c>
      <c r="Q11">
        <f>+IF(OR(Datos[[#This Row],[Diagnostico]]="Inservible",Datos[[#This Row],[Estatus]]="Preventivo"),0,Datos[[#This Row],[Fecha_Final]]-Datos[[#This Row],[Día_Inicio]])</f>
        <v>0</v>
      </c>
      <c r="R11" s="2">
        <v>0</v>
      </c>
      <c r="S11" s="2">
        <v>0</v>
      </c>
      <c r="T11" t="s">
        <v>29</v>
      </c>
    </row>
    <row r="12" spans="1:20" x14ac:dyDescent="0.25">
      <c r="A12" t="s">
        <v>81</v>
      </c>
      <c r="B12" s="1">
        <v>44929</v>
      </c>
      <c r="C12" t="s">
        <v>21</v>
      </c>
      <c r="D12">
        <v>1</v>
      </c>
      <c r="E12" t="str">
        <f>+CONCATENATE("T",ROUNDUP(MONTH(Datos[[#This Row],[Fecha]])/3,0))</f>
        <v>T1</v>
      </c>
      <c r="F12" t="str">
        <f>+CONCATENATE("Sem"," ",ROUNDUP(MONTH(Datos[[#This Row],[Fecha]])/6,0))</f>
        <v>Sem 1</v>
      </c>
      <c r="G12" t="s">
        <v>82</v>
      </c>
      <c r="H12" t="s">
        <v>83</v>
      </c>
      <c r="I12" t="s">
        <v>24</v>
      </c>
      <c r="J12" t="s">
        <v>84</v>
      </c>
      <c r="K12" t="s">
        <v>85</v>
      </c>
      <c r="L12" t="s">
        <v>27</v>
      </c>
      <c r="M12">
        <v>0</v>
      </c>
      <c r="N12" s="1">
        <v>44929</v>
      </c>
      <c r="O12" s="1">
        <v>44934</v>
      </c>
      <c r="P12" t="s">
        <v>28</v>
      </c>
      <c r="Q12">
        <f>+IF(OR(Datos[[#This Row],[Diagnostico]]="Inservible",Datos[[#This Row],[Estatus]]="Preventivo"),0,Datos[[#This Row],[Fecha_Final]]-Datos[[#This Row],[Día_Inicio]])</f>
        <v>0</v>
      </c>
      <c r="R12" s="2">
        <v>0</v>
      </c>
      <c r="S12" s="2">
        <v>0</v>
      </c>
      <c r="T12" t="s">
        <v>29</v>
      </c>
    </row>
    <row r="13" spans="1:20" x14ac:dyDescent="0.25">
      <c r="A13" t="s">
        <v>86</v>
      </c>
      <c r="B13" s="1">
        <v>44929</v>
      </c>
      <c r="C13" t="s">
        <v>21</v>
      </c>
      <c r="D13">
        <v>1</v>
      </c>
      <c r="E13" t="str">
        <f>+CONCATENATE("T",ROUNDUP(MONTH(Datos[[#This Row],[Fecha]])/3,0))</f>
        <v>T1</v>
      </c>
      <c r="F13" t="str">
        <f>+CONCATENATE("Sem"," ",ROUNDUP(MONTH(Datos[[#This Row],[Fecha]])/6,0))</f>
        <v>Sem 1</v>
      </c>
      <c r="G13" t="s">
        <v>87</v>
      </c>
      <c r="H13" t="s">
        <v>88</v>
      </c>
      <c r="I13" t="s">
        <v>68</v>
      </c>
      <c r="J13" t="s">
        <v>89</v>
      </c>
      <c r="K13" t="s">
        <v>90</v>
      </c>
      <c r="L13" t="s">
        <v>27</v>
      </c>
      <c r="M13">
        <v>0</v>
      </c>
      <c r="N13" s="1">
        <v>44929</v>
      </c>
      <c r="O13" s="1">
        <v>44936</v>
      </c>
      <c r="P13" t="s">
        <v>58</v>
      </c>
      <c r="Q13">
        <f>+IF(OR(Datos[[#This Row],[Diagnostico]]="Inservible",Datos[[#This Row],[Estatus]]="Preventivo"),0,Datos[[#This Row],[Fecha_Final]]-Datos[[#This Row],[Día_Inicio]])</f>
        <v>7</v>
      </c>
      <c r="R13" s="2">
        <v>610</v>
      </c>
      <c r="S13" s="2">
        <v>481</v>
      </c>
      <c r="T13" t="s">
        <v>91</v>
      </c>
    </row>
    <row r="14" spans="1:20" x14ac:dyDescent="0.25">
      <c r="A14" t="s">
        <v>92</v>
      </c>
      <c r="B14" s="1">
        <v>44930</v>
      </c>
      <c r="C14" t="s">
        <v>21</v>
      </c>
      <c r="D14">
        <v>1</v>
      </c>
      <c r="E14" t="str">
        <f>+CONCATENATE("T",ROUNDUP(MONTH(Datos[[#This Row],[Fecha]])/3,0))</f>
        <v>T1</v>
      </c>
      <c r="F14" t="str">
        <f>+CONCATENATE("Sem"," ",ROUNDUP(MONTH(Datos[[#This Row],[Fecha]])/6,0))</f>
        <v>Sem 1</v>
      </c>
      <c r="G14" t="s">
        <v>77</v>
      </c>
      <c r="H14" t="s">
        <v>78</v>
      </c>
      <c r="I14" t="s">
        <v>24</v>
      </c>
      <c r="J14" t="s">
        <v>79</v>
      </c>
      <c r="K14" t="s">
        <v>39</v>
      </c>
      <c r="L14" t="s">
        <v>40</v>
      </c>
      <c r="M14" t="s">
        <v>51</v>
      </c>
      <c r="N14" s="1">
        <v>44930</v>
      </c>
      <c r="O14" s="1">
        <v>44990</v>
      </c>
      <c r="P14" t="s">
        <v>29</v>
      </c>
      <c r="Q14">
        <f>+IF(OR(Datos[[#This Row],[Diagnostico]]="Inservible",Datos[[#This Row],[Estatus]]="Preventivo"),0,Datos[[#This Row],[Fecha_Final]]-Datos[[#This Row],[Día_Inicio]])</f>
        <v>0</v>
      </c>
      <c r="R14" s="2">
        <v>561</v>
      </c>
      <c r="S14" s="2">
        <v>151</v>
      </c>
      <c r="T14" t="s">
        <v>42</v>
      </c>
    </row>
    <row r="15" spans="1:20" x14ac:dyDescent="0.25">
      <c r="A15" t="s">
        <v>93</v>
      </c>
      <c r="B15" s="1">
        <v>44930</v>
      </c>
      <c r="C15" t="s">
        <v>21</v>
      </c>
      <c r="D15">
        <v>1</v>
      </c>
      <c r="E15" t="str">
        <f>+CONCATENATE("T",ROUNDUP(MONTH(Datos[[#This Row],[Fecha]])/3,0))</f>
        <v>T1</v>
      </c>
      <c r="F15" t="str">
        <f>+CONCATENATE("Sem"," ",ROUNDUP(MONTH(Datos[[#This Row],[Fecha]])/6,0))</f>
        <v>Sem 1</v>
      </c>
      <c r="G15" t="s">
        <v>94</v>
      </c>
      <c r="H15" t="s">
        <v>95</v>
      </c>
      <c r="I15" t="s">
        <v>68</v>
      </c>
      <c r="J15" t="s">
        <v>96</v>
      </c>
      <c r="K15" t="s">
        <v>97</v>
      </c>
      <c r="L15" t="s">
        <v>27</v>
      </c>
      <c r="M15">
        <v>0</v>
      </c>
      <c r="N15" s="1">
        <v>44930</v>
      </c>
      <c r="O15" s="1">
        <v>44944</v>
      </c>
      <c r="P15" t="s">
        <v>28</v>
      </c>
      <c r="Q15">
        <f>+IF(OR(Datos[[#This Row],[Diagnostico]]="Inservible",Datos[[#This Row],[Estatus]]="Preventivo"),0,Datos[[#This Row],[Fecha_Final]]-Datos[[#This Row],[Día_Inicio]])</f>
        <v>0</v>
      </c>
      <c r="R15" s="2">
        <v>0</v>
      </c>
      <c r="S15" s="2">
        <v>0</v>
      </c>
      <c r="T15" t="s">
        <v>29</v>
      </c>
    </row>
    <row r="16" spans="1:20" x14ac:dyDescent="0.25">
      <c r="A16" t="s">
        <v>98</v>
      </c>
      <c r="B16" s="1">
        <v>44930</v>
      </c>
      <c r="C16" t="s">
        <v>21</v>
      </c>
      <c r="D16">
        <v>1</v>
      </c>
      <c r="E16" t="str">
        <f>+CONCATENATE("T",ROUNDUP(MONTH(Datos[[#This Row],[Fecha]])/3,0))</f>
        <v>T1</v>
      </c>
      <c r="F16" t="str">
        <f>+CONCATENATE("Sem"," ",ROUNDUP(MONTH(Datos[[#This Row],[Fecha]])/6,0))</f>
        <v>Sem 1</v>
      </c>
      <c r="G16" t="s">
        <v>99</v>
      </c>
      <c r="H16" t="s">
        <v>100</v>
      </c>
      <c r="I16" t="s">
        <v>101</v>
      </c>
      <c r="J16" t="s">
        <v>102</v>
      </c>
      <c r="K16" t="s">
        <v>39</v>
      </c>
      <c r="L16" t="s">
        <v>40</v>
      </c>
      <c r="M16" t="s">
        <v>103</v>
      </c>
      <c r="N16" s="1">
        <v>44930</v>
      </c>
      <c r="O16" s="1">
        <v>44945</v>
      </c>
      <c r="P16" t="s">
        <v>29</v>
      </c>
      <c r="Q16">
        <f>+IF(OR(Datos[[#This Row],[Diagnostico]]="Inservible",Datos[[#This Row],[Estatus]]="Preventivo"),0,Datos[[#This Row],[Fecha_Final]]-Datos[[#This Row],[Día_Inicio]])</f>
        <v>0</v>
      </c>
      <c r="R16" s="2">
        <v>423</v>
      </c>
      <c r="S16" s="2">
        <v>816</v>
      </c>
      <c r="T16" t="s">
        <v>42</v>
      </c>
    </row>
    <row r="17" spans="1:20" x14ac:dyDescent="0.25">
      <c r="A17" t="s">
        <v>104</v>
      </c>
      <c r="B17" s="1">
        <v>44931</v>
      </c>
      <c r="C17" t="s">
        <v>21</v>
      </c>
      <c r="D17">
        <v>1</v>
      </c>
      <c r="E17" t="str">
        <f>+CONCATENATE("T",ROUNDUP(MONTH(Datos[[#This Row],[Fecha]])/3,0))</f>
        <v>T1</v>
      </c>
      <c r="F17" t="str">
        <f>+CONCATENATE("Sem"," ",ROUNDUP(MONTH(Datos[[#This Row],[Fecha]])/6,0))</f>
        <v>Sem 1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 t="s">
        <v>27</v>
      </c>
      <c r="M17">
        <v>0</v>
      </c>
      <c r="N17" s="1">
        <v>44931</v>
      </c>
      <c r="O17" s="1">
        <v>44949</v>
      </c>
      <c r="P17" t="s">
        <v>58</v>
      </c>
      <c r="Q17">
        <f>+IF(OR(Datos[[#This Row],[Diagnostico]]="Inservible",Datos[[#This Row],[Estatus]]="Preventivo"),0,Datos[[#This Row],[Fecha_Final]]-Datos[[#This Row],[Día_Inicio]])</f>
        <v>18</v>
      </c>
      <c r="R17" s="2">
        <v>1011</v>
      </c>
      <c r="S17" s="2">
        <v>548</v>
      </c>
      <c r="T17" t="s">
        <v>64</v>
      </c>
    </row>
    <row r="18" spans="1:20" x14ac:dyDescent="0.25">
      <c r="A18" t="s">
        <v>109</v>
      </c>
      <c r="B18" s="1">
        <v>44931</v>
      </c>
      <c r="C18" t="s">
        <v>21</v>
      </c>
      <c r="D18">
        <v>1</v>
      </c>
      <c r="E18" t="str">
        <f>+CONCATENATE("T",ROUNDUP(MONTH(Datos[[#This Row],[Fecha]])/3,0))</f>
        <v>T1</v>
      </c>
      <c r="F18" t="str">
        <f>+CONCATENATE("Sem"," ",ROUNDUP(MONTH(Datos[[#This Row],[Fecha]])/6,0))</f>
        <v>Sem 1</v>
      </c>
      <c r="G18" t="s">
        <v>31</v>
      </c>
      <c r="H18" t="s">
        <v>32</v>
      </c>
      <c r="I18" t="s">
        <v>24</v>
      </c>
      <c r="J18" t="s">
        <v>33</v>
      </c>
      <c r="K18" t="s">
        <v>110</v>
      </c>
      <c r="L18" t="s">
        <v>27</v>
      </c>
      <c r="M18">
        <v>0</v>
      </c>
      <c r="N18" s="1">
        <v>44931</v>
      </c>
      <c r="O18" s="1">
        <v>44957</v>
      </c>
      <c r="P18" t="s">
        <v>58</v>
      </c>
      <c r="Q18">
        <f>+IF(OR(Datos[[#This Row],[Diagnostico]]="Inservible",Datos[[#This Row],[Estatus]]="Preventivo"),0,Datos[[#This Row],[Fecha_Final]]-Datos[[#This Row],[Día_Inicio]])</f>
        <v>26</v>
      </c>
      <c r="R18" s="2">
        <v>276</v>
      </c>
      <c r="S18" s="2">
        <v>969</v>
      </c>
      <c r="T18" t="s">
        <v>91</v>
      </c>
    </row>
    <row r="19" spans="1:20" x14ac:dyDescent="0.25">
      <c r="A19" t="s">
        <v>111</v>
      </c>
      <c r="B19" s="1">
        <v>44931</v>
      </c>
      <c r="C19" t="s">
        <v>21</v>
      </c>
      <c r="D19">
        <v>1</v>
      </c>
      <c r="E19" t="str">
        <f>+CONCATENATE("T",ROUNDUP(MONTH(Datos[[#This Row],[Fecha]])/3,0))</f>
        <v>T1</v>
      </c>
      <c r="F19" t="str">
        <f>+CONCATENATE("Sem"," ",ROUNDUP(MONTH(Datos[[#This Row],[Fecha]])/6,0))</f>
        <v>Sem 1</v>
      </c>
      <c r="G19" t="s">
        <v>112</v>
      </c>
      <c r="H19" t="s">
        <v>113</v>
      </c>
      <c r="I19" t="s">
        <v>24</v>
      </c>
      <c r="J19" t="s">
        <v>79</v>
      </c>
      <c r="K19" t="s">
        <v>114</v>
      </c>
      <c r="L19" t="s">
        <v>27</v>
      </c>
      <c r="M19">
        <v>0</v>
      </c>
      <c r="N19" s="1">
        <v>44931</v>
      </c>
      <c r="O19" s="1">
        <v>44947</v>
      </c>
      <c r="P19" t="s">
        <v>58</v>
      </c>
      <c r="Q19">
        <f>+IF(OR(Datos[[#This Row],[Diagnostico]]="Inservible",Datos[[#This Row],[Estatus]]="Preventivo"),0,Datos[[#This Row],[Fecha_Final]]-Datos[[#This Row],[Día_Inicio]])</f>
        <v>16</v>
      </c>
      <c r="R19" s="2">
        <v>788</v>
      </c>
      <c r="S19" s="2">
        <v>565</v>
      </c>
      <c r="T19" t="s">
        <v>42</v>
      </c>
    </row>
    <row r="20" spans="1:20" x14ac:dyDescent="0.25">
      <c r="A20" t="s">
        <v>115</v>
      </c>
      <c r="B20" s="1">
        <v>44931</v>
      </c>
      <c r="C20" t="s">
        <v>21</v>
      </c>
      <c r="D20">
        <v>1</v>
      </c>
      <c r="E20" t="str">
        <f>+CONCATENATE("T",ROUNDUP(MONTH(Datos[[#This Row],[Fecha]])/3,0))</f>
        <v>T1</v>
      </c>
      <c r="F20" t="str">
        <f>+CONCATENATE("Sem"," ",ROUNDUP(MONTH(Datos[[#This Row],[Fecha]])/6,0))</f>
        <v>Sem 1</v>
      </c>
      <c r="G20" t="s">
        <v>116</v>
      </c>
      <c r="H20" t="s">
        <v>117</v>
      </c>
      <c r="I20" t="s">
        <v>24</v>
      </c>
      <c r="J20" t="s">
        <v>118</v>
      </c>
      <c r="K20" t="s">
        <v>119</v>
      </c>
      <c r="L20" t="s">
        <v>27</v>
      </c>
      <c r="M20">
        <v>0</v>
      </c>
      <c r="N20" s="1">
        <v>44931</v>
      </c>
      <c r="O20" s="1">
        <v>44959</v>
      </c>
      <c r="P20" t="s">
        <v>28</v>
      </c>
      <c r="Q20">
        <f>+IF(OR(Datos[[#This Row],[Diagnostico]]="Inservible",Datos[[#This Row],[Estatus]]="Preventivo"),0,Datos[[#This Row],[Fecha_Final]]-Datos[[#This Row],[Día_Inicio]])</f>
        <v>0</v>
      </c>
      <c r="R20" s="2">
        <v>0</v>
      </c>
      <c r="S20" s="2">
        <v>0</v>
      </c>
      <c r="T20" t="s">
        <v>29</v>
      </c>
    </row>
    <row r="21" spans="1:20" x14ac:dyDescent="0.25">
      <c r="A21" t="s">
        <v>120</v>
      </c>
      <c r="B21" s="1">
        <v>44931</v>
      </c>
      <c r="C21" t="s">
        <v>21</v>
      </c>
      <c r="D21">
        <v>1</v>
      </c>
      <c r="E21" t="str">
        <f>+CONCATENATE("T",ROUNDUP(MONTH(Datos[[#This Row],[Fecha]])/3,0))</f>
        <v>T1</v>
      </c>
      <c r="F21" t="str">
        <f>+CONCATENATE("Sem"," ",ROUNDUP(MONTH(Datos[[#This Row],[Fecha]])/6,0))</f>
        <v>Sem 1</v>
      </c>
      <c r="G21" t="s">
        <v>121</v>
      </c>
      <c r="H21" t="s">
        <v>122</v>
      </c>
      <c r="I21" t="s">
        <v>24</v>
      </c>
      <c r="J21" t="s">
        <v>102</v>
      </c>
      <c r="K21" t="s">
        <v>123</v>
      </c>
      <c r="L21" t="s">
        <v>27</v>
      </c>
      <c r="M21">
        <v>0</v>
      </c>
      <c r="N21" s="1">
        <v>44931</v>
      </c>
      <c r="O21" s="1">
        <v>44944</v>
      </c>
      <c r="P21" t="s">
        <v>28</v>
      </c>
      <c r="Q21">
        <f>+IF(OR(Datos[[#This Row],[Diagnostico]]="Inservible",Datos[[#This Row],[Estatus]]="Preventivo"),0,Datos[[#This Row],[Fecha_Final]]-Datos[[#This Row],[Día_Inicio]])</f>
        <v>0</v>
      </c>
      <c r="R21" s="2">
        <v>0</v>
      </c>
      <c r="S21" s="2">
        <v>0</v>
      </c>
      <c r="T21" t="s">
        <v>29</v>
      </c>
    </row>
    <row r="22" spans="1:20" x14ac:dyDescent="0.25">
      <c r="A22" t="s">
        <v>124</v>
      </c>
      <c r="B22" s="1">
        <v>44931</v>
      </c>
      <c r="C22" t="s">
        <v>21</v>
      </c>
      <c r="D22">
        <v>1</v>
      </c>
      <c r="E22" t="str">
        <f>+CONCATENATE("T",ROUNDUP(MONTH(Datos[[#This Row],[Fecha]])/3,0))</f>
        <v>T1</v>
      </c>
      <c r="F22" t="str">
        <f>+CONCATENATE("Sem"," ",ROUNDUP(MONTH(Datos[[#This Row],[Fecha]])/6,0))</f>
        <v>Sem 1</v>
      </c>
      <c r="G22" t="s">
        <v>125</v>
      </c>
      <c r="H22" t="s">
        <v>126</v>
      </c>
      <c r="I22" t="s">
        <v>24</v>
      </c>
      <c r="J22" t="s">
        <v>127</v>
      </c>
      <c r="K22" t="s">
        <v>128</v>
      </c>
      <c r="L22" t="s">
        <v>27</v>
      </c>
      <c r="M22">
        <v>0</v>
      </c>
      <c r="N22" s="1">
        <v>44931</v>
      </c>
      <c r="O22" s="1">
        <v>44955</v>
      </c>
      <c r="P22" t="s">
        <v>28</v>
      </c>
      <c r="Q22">
        <f>+IF(OR(Datos[[#This Row],[Diagnostico]]="Inservible",Datos[[#This Row],[Estatus]]="Preventivo"),0,Datos[[#This Row],[Fecha_Final]]-Datos[[#This Row],[Día_Inicio]])</f>
        <v>0</v>
      </c>
      <c r="R22" s="2">
        <v>0</v>
      </c>
      <c r="S22" s="2">
        <v>0</v>
      </c>
      <c r="T22" t="s">
        <v>29</v>
      </c>
    </row>
    <row r="23" spans="1:20" x14ac:dyDescent="0.25">
      <c r="A23" t="s">
        <v>129</v>
      </c>
      <c r="B23" s="1">
        <v>44931</v>
      </c>
      <c r="C23" t="s">
        <v>21</v>
      </c>
      <c r="D23">
        <v>1</v>
      </c>
      <c r="E23" t="str">
        <f>+CONCATENATE("T",ROUNDUP(MONTH(Datos[[#This Row],[Fecha]])/3,0))</f>
        <v>T1</v>
      </c>
      <c r="F23" t="str">
        <f>+CONCATENATE("Sem"," ",ROUNDUP(MONTH(Datos[[#This Row],[Fecha]])/6,0))</f>
        <v>Sem 1</v>
      </c>
      <c r="G23" t="s">
        <v>116</v>
      </c>
      <c r="H23" t="s">
        <v>117</v>
      </c>
      <c r="I23" t="s">
        <v>24</v>
      </c>
      <c r="J23" t="s">
        <v>118</v>
      </c>
      <c r="K23" t="s">
        <v>130</v>
      </c>
      <c r="L23" t="s">
        <v>27</v>
      </c>
      <c r="M23">
        <v>0</v>
      </c>
      <c r="N23" s="1">
        <v>44931</v>
      </c>
      <c r="O23" s="1">
        <v>44936</v>
      </c>
      <c r="P23" t="s">
        <v>28</v>
      </c>
      <c r="Q23">
        <f>+IF(OR(Datos[[#This Row],[Diagnostico]]="Inservible",Datos[[#This Row],[Estatus]]="Preventivo"),0,Datos[[#This Row],[Fecha_Final]]-Datos[[#This Row],[Día_Inicio]])</f>
        <v>0</v>
      </c>
      <c r="R23" s="2">
        <v>0</v>
      </c>
      <c r="S23" s="2">
        <v>0</v>
      </c>
      <c r="T23" t="s">
        <v>29</v>
      </c>
    </row>
    <row r="24" spans="1:20" x14ac:dyDescent="0.25">
      <c r="A24" t="s">
        <v>131</v>
      </c>
      <c r="B24" s="1">
        <v>44931</v>
      </c>
      <c r="C24" t="s">
        <v>21</v>
      </c>
      <c r="D24">
        <v>1</v>
      </c>
      <c r="E24" t="str">
        <f>+CONCATENATE("T",ROUNDUP(MONTH(Datos[[#This Row],[Fecha]])/3,0))</f>
        <v>T1</v>
      </c>
      <c r="F24" t="str">
        <f>+CONCATENATE("Sem"," ",ROUNDUP(MONTH(Datos[[#This Row],[Fecha]])/6,0))</f>
        <v>Sem 1</v>
      </c>
      <c r="G24" t="s">
        <v>132</v>
      </c>
      <c r="H24" t="s">
        <v>133</v>
      </c>
      <c r="I24" t="s">
        <v>24</v>
      </c>
      <c r="J24" t="s">
        <v>134</v>
      </c>
      <c r="K24" t="s">
        <v>135</v>
      </c>
      <c r="L24" t="s">
        <v>27</v>
      </c>
      <c r="M24">
        <v>0</v>
      </c>
      <c r="N24" s="1">
        <v>44931</v>
      </c>
      <c r="O24" s="1">
        <v>44939</v>
      </c>
      <c r="P24" t="s">
        <v>58</v>
      </c>
      <c r="Q24">
        <f>+IF(OR(Datos[[#This Row],[Diagnostico]]="Inservible",Datos[[#This Row],[Estatus]]="Preventivo"),0,Datos[[#This Row],[Fecha_Final]]-Datos[[#This Row],[Día_Inicio]])</f>
        <v>8</v>
      </c>
      <c r="R24" s="2">
        <v>1086</v>
      </c>
      <c r="S24" s="2">
        <v>468</v>
      </c>
      <c r="T24" t="s">
        <v>91</v>
      </c>
    </row>
    <row r="25" spans="1:20" x14ac:dyDescent="0.25">
      <c r="A25" t="s">
        <v>136</v>
      </c>
      <c r="B25" s="1">
        <v>44931</v>
      </c>
      <c r="C25" t="s">
        <v>21</v>
      </c>
      <c r="D25">
        <v>1</v>
      </c>
      <c r="E25" t="str">
        <f>+CONCATENATE("T",ROUNDUP(MONTH(Datos[[#This Row],[Fecha]])/3,0))</f>
        <v>T1</v>
      </c>
      <c r="F25" t="str">
        <f>+CONCATENATE("Sem"," ",ROUNDUP(MONTH(Datos[[#This Row],[Fecha]])/6,0))</f>
        <v>Sem 1</v>
      </c>
      <c r="G25" t="s">
        <v>137</v>
      </c>
      <c r="H25" t="s">
        <v>138</v>
      </c>
      <c r="I25" t="s">
        <v>68</v>
      </c>
      <c r="J25" t="s">
        <v>139</v>
      </c>
      <c r="K25" t="s">
        <v>26</v>
      </c>
      <c r="L25" t="s">
        <v>27</v>
      </c>
      <c r="M25">
        <v>0</v>
      </c>
      <c r="N25" s="1">
        <v>44931</v>
      </c>
      <c r="O25" s="1">
        <v>44951</v>
      </c>
      <c r="P25" t="s">
        <v>28</v>
      </c>
      <c r="Q25">
        <f>+IF(OR(Datos[[#This Row],[Diagnostico]]="Inservible",Datos[[#This Row],[Estatus]]="Preventivo"),0,Datos[[#This Row],[Fecha_Final]]-Datos[[#This Row],[Día_Inicio]])</f>
        <v>0</v>
      </c>
      <c r="R25" s="2">
        <v>0</v>
      </c>
      <c r="S25" s="2">
        <v>0</v>
      </c>
      <c r="T25" t="s">
        <v>29</v>
      </c>
    </row>
    <row r="26" spans="1:20" x14ac:dyDescent="0.25">
      <c r="A26" t="s">
        <v>140</v>
      </c>
      <c r="B26" s="1">
        <v>44932</v>
      </c>
      <c r="C26" t="s">
        <v>21</v>
      </c>
      <c r="D26">
        <v>1</v>
      </c>
      <c r="E26" t="str">
        <f>+CONCATENATE("T",ROUNDUP(MONTH(Datos[[#This Row],[Fecha]])/3,0))</f>
        <v>T1</v>
      </c>
      <c r="F26" t="str">
        <f>+CONCATENATE("Sem"," ",ROUNDUP(MONTH(Datos[[#This Row],[Fecha]])/6,0))</f>
        <v>Sem 1</v>
      </c>
      <c r="G26" t="s">
        <v>141</v>
      </c>
      <c r="H26" t="s">
        <v>142</v>
      </c>
      <c r="I26" t="s">
        <v>24</v>
      </c>
      <c r="J26" t="s">
        <v>143</v>
      </c>
      <c r="K26" t="s">
        <v>39</v>
      </c>
      <c r="L26" t="s">
        <v>40</v>
      </c>
      <c r="M26" t="s">
        <v>103</v>
      </c>
      <c r="N26" s="1">
        <v>44932</v>
      </c>
      <c r="O26" s="1">
        <v>44947</v>
      </c>
      <c r="P26" t="s">
        <v>29</v>
      </c>
      <c r="Q26">
        <f>+IF(OR(Datos[[#This Row],[Diagnostico]]="Inservible",Datos[[#This Row],[Estatus]]="Preventivo"),0,Datos[[#This Row],[Fecha_Final]]-Datos[[#This Row],[Día_Inicio]])</f>
        <v>0</v>
      </c>
      <c r="R26" s="2">
        <v>701</v>
      </c>
      <c r="S26" s="2">
        <v>992</v>
      </c>
      <c r="T26" t="s">
        <v>42</v>
      </c>
    </row>
    <row r="27" spans="1:20" x14ac:dyDescent="0.25">
      <c r="A27" t="s">
        <v>144</v>
      </c>
      <c r="B27" s="1">
        <v>44932</v>
      </c>
      <c r="C27" t="s">
        <v>21</v>
      </c>
      <c r="D27">
        <v>1</v>
      </c>
      <c r="E27" t="str">
        <f>+CONCATENATE("T",ROUNDUP(MONTH(Datos[[#This Row],[Fecha]])/3,0))</f>
        <v>T1</v>
      </c>
      <c r="F27" t="str">
        <f>+CONCATENATE("Sem"," ",ROUNDUP(MONTH(Datos[[#This Row],[Fecha]])/6,0))</f>
        <v>Sem 1</v>
      </c>
      <c r="G27" t="s">
        <v>82</v>
      </c>
      <c r="H27" t="s">
        <v>83</v>
      </c>
      <c r="I27" t="s">
        <v>24</v>
      </c>
      <c r="J27" t="s">
        <v>84</v>
      </c>
      <c r="K27" t="s">
        <v>39</v>
      </c>
      <c r="L27" t="s">
        <v>27</v>
      </c>
      <c r="M27">
        <v>0</v>
      </c>
      <c r="N27" s="1">
        <v>44932</v>
      </c>
      <c r="O27" s="1">
        <v>44937</v>
      </c>
      <c r="P27" t="s">
        <v>58</v>
      </c>
      <c r="Q27">
        <f>+IF(OR(Datos[[#This Row],[Diagnostico]]="Inservible",Datos[[#This Row],[Estatus]]="Preventivo"),0,Datos[[#This Row],[Fecha_Final]]-Datos[[#This Row],[Día_Inicio]])</f>
        <v>5</v>
      </c>
      <c r="R27" s="2">
        <v>431</v>
      </c>
      <c r="S27" s="2">
        <v>176</v>
      </c>
      <c r="T27" t="s">
        <v>91</v>
      </c>
    </row>
    <row r="28" spans="1:20" x14ac:dyDescent="0.25">
      <c r="A28" t="s">
        <v>145</v>
      </c>
      <c r="B28" s="1">
        <v>44932</v>
      </c>
      <c r="C28" t="s">
        <v>21</v>
      </c>
      <c r="D28">
        <v>1</v>
      </c>
      <c r="E28" t="str">
        <f>+CONCATENATE("T",ROUNDUP(MONTH(Datos[[#This Row],[Fecha]])/3,0))</f>
        <v>T1</v>
      </c>
      <c r="F28" t="str">
        <f>+CONCATENATE("Sem"," ",ROUNDUP(MONTH(Datos[[#This Row],[Fecha]])/6,0))</f>
        <v>Sem 1</v>
      </c>
      <c r="G28" t="s">
        <v>82</v>
      </c>
      <c r="H28" t="s">
        <v>83</v>
      </c>
      <c r="I28" t="s">
        <v>24</v>
      </c>
      <c r="J28" t="s">
        <v>84</v>
      </c>
      <c r="K28" t="s">
        <v>47</v>
      </c>
      <c r="L28" t="s">
        <v>27</v>
      </c>
      <c r="M28">
        <v>0</v>
      </c>
      <c r="N28" s="1">
        <v>44932</v>
      </c>
      <c r="O28" s="1">
        <v>44955</v>
      </c>
      <c r="P28" t="s">
        <v>58</v>
      </c>
      <c r="Q28">
        <f>+IF(OR(Datos[[#This Row],[Diagnostico]]="Inservible",Datos[[#This Row],[Estatus]]="Preventivo"),0,Datos[[#This Row],[Fecha_Final]]-Datos[[#This Row],[Día_Inicio]])</f>
        <v>23</v>
      </c>
      <c r="R28" s="2">
        <v>800</v>
      </c>
      <c r="S28" s="2">
        <v>613</v>
      </c>
      <c r="T28" t="s">
        <v>42</v>
      </c>
    </row>
    <row r="29" spans="1:20" x14ac:dyDescent="0.25">
      <c r="A29" t="s">
        <v>146</v>
      </c>
      <c r="B29" s="1">
        <v>44932</v>
      </c>
      <c r="C29" t="s">
        <v>21</v>
      </c>
      <c r="D29">
        <v>1</v>
      </c>
      <c r="E29" t="str">
        <f>+CONCATENATE("T",ROUNDUP(MONTH(Datos[[#This Row],[Fecha]])/3,0))</f>
        <v>T1</v>
      </c>
      <c r="F29" t="str">
        <f>+CONCATENATE("Sem"," ",ROUNDUP(MONTH(Datos[[#This Row],[Fecha]])/6,0))</f>
        <v>Sem 1</v>
      </c>
      <c r="G29" t="s">
        <v>61</v>
      </c>
      <c r="H29" t="s">
        <v>62</v>
      </c>
      <c r="I29" t="s">
        <v>24</v>
      </c>
      <c r="J29" t="s">
        <v>46</v>
      </c>
      <c r="K29" t="s">
        <v>147</v>
      </c>
      <c r="L29" t="s">
        <v>27</v>
      </c>
      <c r="M29">
        <v>0</v>
      </c>
      <c r="N29" s="1">
        <v>44932</v>
      </c>
      <c r="O29" s="1">
        <v>44961</v>
      </c>
      <c r="P29" t="s">
        <v>28</v>
      </c>
      <c r="Q29">
        <f>+IF(OR(Datos[[#This Row],[Diagnostico]]="Inservible",Datos[[#This Row],[Estatus]]="Preventivo"),0,Datos[[#This Row],[Fecha_Final]]-Datos[[#This Row],[Día_Inicio]])</f>
        <v>0</v>
      </c>
      <c r="R29" s="2">
        <v>0</v>
      </c>
      <c r="S29" s="2">
        <v>0</v>
      </c>
      <c r="T29" t="s">
        <v>29</v>
      </c>
    </row>
    <row r="30" spans="1:20" x14ac:dyDescent="0.25">
      <c r="A30" t="s">
        <v>148</v>
      </c>
      <c r="B30" s="1">
        <v>44933</v>
      </c>
      <c r="C30" t="s">
        <v>21</v>
      </c>
      <c r="D30">
        <v>1</v>
      </c>
      <c r="E30" t="str">
        <f>+CONCATENATE("T",ROUNDUP(MONTH(Datos[[#This Row],[Fecha]])/3,0))</f>
        <v>T1</v>
      </c>
      <c r="F30" t="str">
        <f>+CONCATENATE("Sem"," ",ROUNDUP(MONTH(Datos[[#This Row],[Fecha]])/6,0))</f>
        <v>Sem 1</v>
      </c>
      <c r="G30" t="s">
        <v>149</v>
      </c>
      <c r="H30" t="s">
        <v>150</v>
      </c>
      <c r="I30" t="s">
        <v>68</v>
      </c>
      <c r="J30" t="s">
        <v>151</v>
      </c>
      <c r="K30" t="s">
        <v>57</v>
      </c>
      <c r="L30" t="s">
        <v>27</v>
      </c>
      <c r="M30">
        <v>0</v>
      </c>
      <c r="N30" s="1">
        <v>44933</v>
      </c>
      <c r="O30" s="1">
        <v>44957</v>
      </c>
      <c r="P30" t="s">
        <v>28</v>
      </c>
      <c r="Q30">
        <f>+IF(OR(Datos[[#This Row],[Diagnostico]]="Inservible",Datos[[#This Row],[Estatus]]="Preventivo"),0,Datos[[#This Row],[Fecha_Final]]-Datos[[#This Row],[Día_Inicio]])</f>
        <v>0</v>
      </c>
      <c r="R30" s="2">
        <v>0</v>
      </c>
      <c r="S30" s="2">
        <v>0</v>
      </c>
      <c r="T30" t="s">
        <v>29</v>
      </c>
    </row>
    <row r="31" spans="1:20" x14ac:dyDescent="0.25">
      <c r="A31" t="s">
        <v>152</v>
      </c>
      <c r="B31" s="1">
        <v>44933</v>
      </c>
      <c r="C31" t="s">
        <v>21</v>
      </c>
      <c r="D31">
        <v>1</v>
      </c>
      <c r="E31" t="str">
        <f>+CONCATENATE("T",ROUNDUP(MONTH(Datos[[#This Row],[Fecha]])/3,0))</f>
        <v>T1</v>
      </c>
      <c r="F31" t="str">
        <f>+CONCATENATE("Sem"," ",ROUNDUP(MONTH(Datos[[#This Row],[Fecha]])/6,0))</f>
        <v>Sem 1</v>
      </c>
      <c r="G31" t="s">
        <v>121</v>
      </c>
      <c r="H31" t="s">
        <v>122</v>
      </c>
      <c r="I31" t="s">
        <v>24</v>
      </c>
      <c r="J31" t="s">
        <v>102</v>
      </c>
      <c r="K31" t="s">
        <v>63</v>
      </c>
      <c r="L31" t="s">
        <v>27</v>
      </c>
      <c r="M31">
        <v>0</v>
      </c>
      <c r="N31" s="1">
        <v>44933</v>
      </c>
      <c r="O31" s="1">
        <v>44958</v>
      </c>
      <c r="P31" t="s">
        <v>28</v>
      </c>
      <c r="Q31">
        <f>+IF(OR(Datos[[#This Row],[Diagnostico]]="Inservible",Datos[[#This Row],[Estatus]]="Preventivo"),0,Datos[[#This Row],[Fecha_Final]]-Datos[[#This Row],[Día_Inicio]])</f>
        <v>0</v>
      </c>
      <c r="R31" s="2">
        <v>0</v>
      </c>
      <c r="S31" s="2">
        <v>0</v>
      </c>
      <c r="T31" t="s">
        <v>29</v>
      </c>
    </row>
    <row r="32" spans="1:20" x14ac:dyDescent="0.25">
      <c r="A32" t="s">
        <v>153</v>
      </c>
      <c r="B32" s="1">
        <v>44934</v>
      </c>
      <c r="C32" t="s">
        <v>21</v>
      </c>
      <c r="D32">
        <v>1</v>
      </c>
      <c r="E32" t="str">
        <f>+CONCATENATE("T",ROUNDUP(MONTH(Datos[[#This Row],[Fecha]])/3,0))</f>
        <v>T1</v>
      </c>
      <c r="F32" t="str">
        <f>+CONCATENATE("Sem"," ",ROUNDUP(MONTH(Datos[[#This Row],[Fecha]])/6,0))</f>
        <v>Sem 1</v>
      </c>
      <c r="G32" t="s">
        <v>154</v>
      </c>
      <c r="H32" t="s">
        <v>155</v>
      </c>
      <c r="I32" t="s">
        <v>68</v>
      </c>
      <c r="J32" t="s">
        <v>156</v>
      </c>
      <c r="K32" t="s">
        <v>70</v>
      </c>
      <c r="L32" t="s">
        <v>27</v>
      </c>
      <c r="M32">
        <v>0</v>
      </c>
      <c r="N32" s="1">
        <v>44934</v>
      </c>
      <c r="O32" s="1">
        <v>44963</v>
      </c>
      <c r="P32" t="s">
        <v>28</v>
      </c>
      <c r="Q32">
        <f>+IF(OR(Datos[[#This Row],[Diagnostico]]="Inservible",Datos[[#This Row],[Estatus]]="Preventivo"),0,Datos[[#This Row],[Fecha_Final]]-Datos[[#This Row],[Día_Inicio]])</f>
        <v>0</v>
      </c>
      <c r="R32" s="2">
        <v>0</v>
      </c>
      <c r="S32" s="2">
        <v>0</v>
      </c>
      <c r="T32" t="s">
        <v>29</v>
      </c>
    </row>
    <row r="33" spans="1:20" x14ac:dyDescent="0.25">
      <c r="A33" t="s">
        <v>157</v>
      </c>
      <c r="B33" s="1">
        <v>44934</v>
      </c>
      <c r="C33" t="s">
        <v>21</v>
      </c>
      <c r="D33">
        <v>1</v>
      </c>
      <c r="E33" t="str">
        <f>+CONCATENATE("T",ROUNDUP(MONTH(Datos[[#This Row],[Fecha]])/3,0))</f>
        <v>T1</v>
      </c>
      <c r="F33" t="str">
        <f>+CONCATENATE("Sem"," ",ROUNDUP(MONTH(Datos[[#This Row],[Fecha]])/6,0))</f>
        <v>Sem 1</v>
      </c>
      <c r="G33" t="s">
        <v>158</v>
      </c>
      <c r="H33" t="s">
        <v>159</v>
      </c>
      <c r="I33" t="s">
        <v>101</v>
      </c>
      <c r="J33" t="s">
        <v>160</v>
      </c>
      <c r="K33" t="s">
        <v>161</v>
      </c>
      <c r="L33" t="s">
        <v>27</v>
      </c>
      <c r="M33">
        <v>0</v>
      </c>
      <c r="N33" s="1">
        <v>44934</v>
      </c>
      <c r="O33" s="1">
        <v>44937</v>
      </c>
      <c r="P33" t="s">
        <v>58</v>
      </c>
      <c r="Q33">
        <f>+IF(OR(Datos[[#This Row],[Diagnostico]]="Inservible",Datos[[#This Row],[Estatus]]="Preventivo"),0,Datos[[#This Row],[Fecha_Final]]-Datos[[#This Row],[Día_Inicio]])</f>
        <v>3</v>
      </c>
      <c r="R33" s="2">
        <v>555</v>
      </c>
      <c r="S33" s="2">
        <v>886</v>
      </c>
      <c r="T33" t="s">
        <v>91</v>
      </c>
    </row>
    <row r="34" spans="1:20" x14ac:dyDescent="0.25">
      <c r="A34" t="s">
        <v>162</v>
      </c>
      <c r="B34" s="1">
        <v>44934</v>
      </c>
      <c r="C34" t="s">
        <v>21</v>
      </c>
      <c r="D34">
        <v>1</v>
      </c>
      <c r="E34" t="str">
        <f>+CONCATENATE("T",ROUNDUP(MONTH(Datos[[#This Row],[Fecha]])/3,0))</f>
        <v>T1</v>
      </c>
      <c r="F34" t="str">
        <f>+CONCATENATE("Sem"," ",ROUNDUP(MONTH(Datos[[#This Row],[Fecha]])/6,0))</f>
        <v>Sem 1</v>
      </c>
      <c r="G34" t="s">
        <v>66</v>
      </c>
      <c r="H34" t="s">
        <v>67</v>
      </c>
      <c r="I34" t="s">
        <v>68</v>
      </c>
      <c r="J34" t="s">
        <v>69</v>
      </c>
      <c r="K34" t="s">
        <v>39</v>
      </c>
      <c r="L34" t="s">
        <v>40</v>
      </c>
      <c r="M34" t="s">
        <v>103</v>
      </c>
      <c r="N34" s="1">
        <v>44934</v>
      </c>
      <c r="O34" s="1">
        <v>44949</v>
      </c>
      <c r="P34" t="s">
        <v>29</v>
      </c>
      <c r="Q34">
        <f>+IF(OR(Datos[[#This Row],[Diagnostico]]="Inservible",Datos[[#This Row],[Estatus]]="Preventivo"),0,Datos[[#This Row],[Fecha_Final]]-Datos[[#This Row],[Día_Inicio]])</f>
        <v>0</v>
      </c>
      <c r="R34" s="2">
        <v>207</v>
      </c>
      <c r="S34" s="2">
        <v>805</v>
      </c>
      <c r="T34" t="s">
        <v>42</v>
      </c>
    </row>
    <row r="35" spans="1:20" x14ac:dyDescent="0.25">
      <c r="A35" t="s">
        <v>163</v>
      </c>
      <c r="B35" s="1">
        <v>44935</v>
      </c>
      <c r="C35" t="s">
        <v>21</v>
      </c>
      <c r="D35">
        <v>1</v>
      </c>
      <c r="E35" t="str">
        <f>+CONCATENATE("T",ROUNDUP(MONTH(Datos[[#This Row],[Fecha]])/3,0))</f>
        <v>T1</v>
      </c>
      <c r="F35" t="str">
        <f>+CONCATENATE("Sem"," ",ROUNDUP(MONTH(Datos[[#This Row],[Fecha]])/6,0))</f>
        <v>Sem 1</v>
      </c>
      <c r="G35" t="s">
        <v>164</v>
      </c>
      <c r="H35" t="s">
        <v>165</v>
      </c>
      <c r="I35" t="s">
        <v>24</v>
      </c>
      <c r="J35" t="s">
        <v>166</v>
      </c>
      <c r="K35" t="s">
        <v>85</v>
      </c>
      <c r="L35" t="s">
        <v>27</v>
      </c>
      <c r="M35">
        <v>0</v>
      </c>
      <c r="N35" s="1">
        <v>44935</v>
      </c>
      <c r="O35" s="1">
        <v>44958</v>
      </c>
      <c r="P35" t="s">
        <v>58</v>
      </c>
      <c r="Q35">
        <f>+IF(OR(Datos[[#This Row],[Diagnostico]]="Inservible",Datos[[#This Row],[Estatus]]="Preventivo"),0,Datos[[#This Row],[Fecha_Final]]-Datos[[#This Row],[Día_Inicio]])</f>
        <v>23</v>
      </c>
      <c r="R35" s="2">
        <v>454</v>
      </c>
      <c r="S35" s="2">
        <v>782</v>
      </c>
      <c r="T35" t="s">
        <v>91</v>
      </c>
    </row>
    <row r="36" spans="1:20" x14ac:dyDescent="0.25">
      <c r="A36" t="s">
        <v>167</v>
      </c>
      <c r="B36" s="1">
        <v>44935</v>
      </c>
      <c r="C36" t="s">
        <v>21</v>
      </c>
      <c r="D36">
        <v>1</v>
      </c>
      <c r="E36" t="str">
        <f>+CONCATENATE("T",ROUNDUP(MONTH(Datos[[#This Row],[Fecha]])/3,0))</f>
        <v>T1</v>
      </c>
      <c r="F36" t="str">
        <f>+CONCATENATE("Sem"," ",ROUNDUP(MONTH(Datos[[#This Row],[Fecha]])/6,0))</f>
        <v>Sem 1</v>
      </c>
      <c r="G36" t="s">
        <v>137</v>
      </c>
      <c r="H36" t="s">
        <v>138</v>
      </c>
      <c r="I36" t="s">
        <v>68</v>
      </c>
      <c r="J36" t="s">
        <v>139</v>
      </c>
      <c r="K36" t="s">
        <v>90</v>
      </c>
      <c r="L36" t="s">
        <v>27</v>
      </c>
      <c r="M36">
        <v>0</v>
      </c>
      <c r="N36" s="1">
        <v>44935</v>
      </c>
      <c r="O36" s="1">
        <v>44945</v>
      </c>
      <c r="P36" t="s">
        <v>28</v>
      </c>
      <c r="Q36">
        <f>+IF(OR(Datos[[#This Row],[Diagnostico]]="Inservible",Datos[[#This Row],[Estatus]]="Preventivo"),0,Datos[[#This Row],[Fecha_Final]]-Datos[[#This Row],[Día_Inicio]])</f>
        <v>0</v>
      </c>
      <c r="R36" s="2">
        <v>0</v>
      </c>
      <c r="S36" s="2">
        <v>0</v>
      </c>
      <c r="T36" t="s">
        <v>29</v>
      </c>
    </row>
    <row r="37" spans="1:20" x14ac:dyDescent="0.25">
      <c r="A37" t="s">
        <v>168</v>
      </c>
      <c r="B37" s="1">
        <v>44935</v>
      </c>
      <c r="C37" t="s">
        <v>21</v>
      </c>
      <c r="D37">
        <v>1</v>
      </c>
      <c r="E37" t="str">
        <f>+CONCATENATE("T",ROUNDUP(MONTH(Datos[[#This Row],[Fecha]])/3,0))</f>
        <v>T1</v>
      </c>
      <c r="F37" t="str">
        <f>+CONCATENATE("Sem"," ",ROUNDUP(MONTH(Datos[[#This Row],[Fecha]])/6,0))</f>
        <v>Sem 1</v>
      </c>
      <c r="G37" t="s">
        <v>169</v>
      </c>
      <c r="H37" t="s">
        <v>170</v>
      </c>
      <c r="I37" t="s">
        <v>68</v>
      </c>
      <c r="J37" t="s">
        <v>171</v>
      </c>
      <c r="K37" t="s">
        <v>172</v>
      </c>
      <c r="L37" t="s">
        <v>27</v>
      </c>
      <c r="M37">
        <v>0</v>
      </c>
      <c r="N37" s="1">
        <v>44935</v>
      </c>
      <c r="O37" s="1">
        <v>44941</v>
      </c>
      <c r="P37" t="s">
        <v>58</v>
      </c>
      <c r="Q37">
        <f>+IF(OR(Datos[[#This Row],[Diagnostico]]="Inservible",Datos[[#This Row],[Estatus]]="Preventivo"),0,Datos[[#This Row],[Fecha_Final]]-Datos[[#This Row],[Día_Inicio]])</f>
        <v>6</v>
      </c>
      <c r="R37" s="2">
        <v>605</v>
      </c>
      <c r="S37" s="2">
        <v>902</v>
      </c>
      <c r="T37" t="s">
        <v>64</v>
      </c>
    </row>
    <row r="38" spans="1:20" x14ac:dyDescent="0.25">
      <c r="A38" t="s">
        <v>173</v>
      </c>
      <c r="B38" s="1">
        <v>44935</v>
      </c>
      <c r="C38" t="s">
        <v>21</v>
      </c>
      <c r="D38">
        <v>1</v>
      </c>
      <c r="E38" t="str">
        <f>+CONCATENATE("T",ROUNDUP(MONTH(Datos[[#This Row],[Fecha]])/3,0))</f>
        <v>T1</v>
      </c>
      <c r="F38" t="str">
        <f>+CONCATENATE("Sem"," ",ROUNDUP(MONTH(Datos[[#This Row],[Fecha]])/6,0))</f>
        <v>Sem 1</v>
      </c>
      <c r="G38" t="s">
        <v>132</v>
      </c>
      <c r="H38" t="s">
        <v>133</v>
      </c>
      <c r="I38" t="s">
        <v>24</v>
      </c>
      <c r="J38" t="s">
        <v>134</v>
      </c>
      <c r="K38" t="s">
        <v>97</v>
      </c>
      <c r="L38" t="s">
        <v>27</v>
      </c>
      <c r="M38">
        <v>0</v>
      </c>
      <c r="N38" s="1">
        <v>44935</v>
      </c>
      <c r="O38" s="1">
        <v>44957</v>
      </c>
      <c r="P38" t="s">
        <v>58</v>
      </c>
      <c r="Q38">
        <f>+IF(OR(Datos[[#This Row],[Diagnostico]]="Inservible",Datos[[#This Row],[Estatus]]="Preventivo"),0,Datos[[#This Row],[Fecha_Final]]-Datos[[#This Row],[Día_Inicio]])</f>
        <v>22</v>
      </c>
      <c r="R38" s="2">
        <v>774</v>
      </c>
      <c r="S38" s="2">
        <v>538</v>
      </c>
      <c r="T38" t="s">
        <v>42</v>
      </c>
    </row>
    <row r="39" spans="1:20" x14ac:dyDescent="0.25">
      <c r="A39" t="s">
        <v>174</v>
      </c>
      <c r="B39" s="1">
        <v>44936</v>
      </c>
      <c r="C39" t="s">
        <v>21</v>
      </c>
      <c r="D39">
        <v>1</v>
      </c>
      <c r="E39" t="str">
        <f>+CONCATENATE("T",ROUNDUP(MONTH(Datos[[#This Row],[Fecha]])/3,0))</f>
        <v>T1</v>
      </c>
      <c r="F39" t="str">
        <f>+CONCATENATE("Sem"," ",ROUNDUP(MONTH(Datos[[#This Row],[Fecha]])/6,0))</f>
        <v>Sem 1</v>
      </c>
      <c r="G39" t="s">
        <v>175</v>
      </c>
      <c r="H39" t="s">
        <v>176</v>
      </c>
      <c r="I39" t="s">
        <v>24</v>
      </c>
      <c r="J39" t="s">
        <v>177</v>
      </c>
      <c r="K39" t="s">
        <v>178</v>
      </c>
      <c r="L39" t="s">
        <v>27</v>
      </c>
      <c r="M39">
        <v>0</v>
      </c>
      <c r="N39" s="1">
        <v>44936</v>
      </c>
      <c r="O39" s="1">
        <v>44966</v>
      </c>
      <c r="P39" t="s">
        <v>28</v>
      </c>
      <c r="Q39">
        <f>+IF(OR(Datos[[#This Row],[Diagnostico]]="Inservible",Datos[[#This Row],[Estatus]]="Preventivo"),0,Datos[[#This Row],[Fecha_Final]]-Datos[[#This Row],[Día_Inicio]])</f>
        <v>0</v>
      </c>
      <c r="R39" s="2">
        <v>0</v>
      </c>
      <c r="S39" s="2">
        <v>0</v>
      </c>
      <c r="T39" t="s">
        <v>29</v>
      </c>
    </row>
    <row r="40" spans="1:20" x14ac:dyDescent="0.25">
      <c r="A40" t="s">
        <v>179</v>
      </c>
      <c r="B40" s="1">
        <v>44936</v>
      </c>
      <c r="C40" t="s">
        <v>21</v>
      </c>
      <c r="D40">
        <v>1</v>
      </c>
      <c r="E40" t="str">
        <f>+CONCATENATE("T",ROUNDUP(MONTH(Datos[[#This Row],[Fecha]])/3,0))</f>
        <v>T1</v>
      </c>
      <c r="F40" t="str">
        <f>+CONCATENATE("Sem"," ",ROUNDUP(MONTH(Datos[[#This Row],[Fecha]])/6,0))</f>
        <v>Sem 1</v>
      </c>
      <c r="G40" t="s">
        <v>180</v>
      </c>
      <c r="H40" t="s">
        <v>181</v>
      </c>
      <c r="I40" t="s">
        <v>24</v>
      </c>
      <c r="J40" t="s">
        <v>127</v>
      </c>
      <c r="K40" t="s">
        <v>39</v>
      </c>
      <c r="L40" t="s">
        <v>40</v>
      </c>
      <c r="M40" t="s">
        <v>103</v>
      </c>
      <c r="N40" s="1">
        <v>44936</v>
      </c>
      <c r="O40" s="1">
        <v>44951</v>
      </c>
      <c r="P40" t="s">
        <v>29</v>
      </c>
      <c r="Q40">
        <f>+IF(OR(Datos[[#This Row],[Diagnostico]]="Inservible",Datos[[#This Row],[Estatus]]="Preventivo"),0,Datos[[#This Row],[Fecha_Final]]-Datos[[#This Row],[Día_Inicio]])</f>
        <v>0</v>
      </c>
      <c r="R40" s="2">
        <v>1119</v>
      </c>
      <c r="S40" s="2">
        <v>698</v>
      </c>
      <c r="T40" t="s">
        <v>42</v>
      </c>
    </row>
    <row r="41" spans="1:20" x14ac:dyDescent="0.25">
      <c r="A41" t="s">
        <v>182</v>
      </c>
      <c r="B41" s="1">
        <v>44936</v>
      </c>
      <c r="C41" t="s">
        <v>21</v>
      </c>
      <c r="D41">
        <v>1</v>
      </c>
      <c r="E41" t="str">
        <f>+CONCATENATE("T",ROUNDUP(MONTH(Datos[[#This Row],[Fecha]])/3,0))</f>
        <v>T1</v>
      </c>
      <c r="F41" t="str">
        <f>+CONCATENATE("Sem"," ",ROUNDUP(MONTH(Datos[[#This Row],[Fecha]])/6,0))</f>
        <v>Sem 1</v>
      </c>
      <c r="G41" t="s">
        <v>183</v>
      </c>
      <c r="H41" t="s">
        <v>184</v>
      </c>
      <c r="I41" t="s">
        <v>24</v>
      </c>
      <c r="J41" t="s">
        <v>139</v>
      </c>
      <c r="K41" t="s">
        <v>110</v>
      </c>
      <c r="L41" t="s">
        <v>27</v>
      </c>
      <c r="M41">
        <v>0</v>
      </c>
      <c r="N41" s="1">
        <v>44936</v>
      </c>
      <c r="O41" s="1">
        <v>44958</v>
      </c>
      <c r="P41" t="s">
        <v>58</v>
      </c>
      <c r="Q41">
        <f>+IF(OR(Datos[[#This Row],[Diagnostico]]="Inservible",Datos[[#This Row],[Estatus]]="Preventivo"),0,Datos[[#This Row],[Fecha_Final]]-Datos[[#This Row],[Día_Inicio]])</f>
        <v>22</v>
      </c>
      <c r="R41" s="2">
        <v>847</v>
      </c>
      <c r="S41" s="2">
        <v>728</v>
      </c>
      <c r="T41" t="s">
        <v>42</v>
      </c>
    </row>
    <row r="42" spans="1:20" x14ac:dyDescent="0.25">
      <c r="A42" t="s">
        <v>185</v>
      </c>
      <c r="B42" s="1">
        <v>44936</v>
      </c>
      <c r="C42" t="s">
        <v>21</v>
      </c>
      <c r="D42">
        <v>1</v>
      </c>
      <c r="E42" t="str">
        <f>+CONCATENATE("T",ROUNDUP(MONTH(Datos[[#This Row],[Fecha]])/3,0))</f>
        <v>T1</v>
      </c>
      <c r="F42" t="str">
        <f>+CONCATENATE("Sem"," ",ROUNDUP(MONTH(Datos[[#This Row],[Fecha]])/6,0))</f>
        <v>Sem 1</v>
      </c>
      <c r="G42" t="s">
        <v>158</v>
      </c>
      <c r="H42" t="s">
        <v>159</v>
      </c>
      <c r="I42" t="s">
        <v>101</v>
      </c>
      <c r="J42" t="s">
        <v>160</v>
      </c>
      <c r="K42" t="s">
        <v>39</v>
      </c>
      <c r="L42" t="s">
        <v>40</v>
      </c>
      <c r="M42" t="s">
        <v>75</v>
      </c>
      <c r="N42" s="1">
        <v>44936</v>
      </c>
      <c r="O42" s="1">
        <v>45296</v>
      </c>
      <c r="P42" t="s">
        <v>29</v>
      </c>
      <c r="Q42">
        <f>+IF(OR(Datos[[#This Row],[Diagnostico]]="Inservible",Datos[[#This Row],[Estatus]]="Preventivo"),0,Datos[[#This Row],[Fecha_Final]]-Datos[[#This Row],[Día_Inicio]])</f>
        <v>0</v>
      </c>
      <c r="R42" s="2">
        <v>407</v>
      </c>
      <c r="S42" s="2">
        <v>724</v>
      </c>
      <c r="T42" t="s">
        <v>42</v>
      </c>
    </row>
    <row r="43" spans="1:20" x14ac:dyDescent="0.25">
      <c r="A43" t="s">
        <v>186</v>
      </c>
      <c r="B43" s="1">
        <v>44936</v>
      </c>
      <c r="C43" t="s">
        <v>21</v>
      </c>
      <c r="D43">
        <v>1</v>
      </c>
      <c r="E43" t="str">
        <f>+CONCATENATE("T",ROUNDUP(MONTH(Datos[[#This Row],[Fecha]])/3,0))</f>
        <v>T1</v>
      </c>
      <c r="F43" t="str">
        <f>+CONCATENATE("Sem"," ",ROUNDUP(MONTH(Datos[[#This Row],[Fecha]])/6,0))</f>
        <v>Sem 1</v>
      </c>
      <c r="G43" t="s">
        <v>53</v>
      </c>
      <c r="H43" t="s">
        <v>54</v>
      </c>
      <c r="I43" t="s">
        <v>55</v>
      </c>
      <c r="J43" t="s">
        <v>56</v>
      </c>
      <c r="K43" t="s">
        <v>119</v>
      </c>
      <c r="L43" t="s">
        <v>27</v>
      </c>
      <c r="M43">
        <v>0</v>
      </c>
      <c r="N43" s="1">
        <v>44936</v>
      </c>
      <c r="O43" s="1">
        <v>44956</v>
      </c>
      <c r="P43" t="s">
        <v>28</v>
      </c>
      <c r="Q43">
        <f>+IF(OR(Datos[[#This Row],[Diagnostico]]="Inservible",Datos[[#This Row],[Estatus]]="Preventivo"),0,Datos[[#This Row],[Fecha_Final]]-Datos[[#This Row],[Día_Inicio]])</f>
        <v>0</v>
      </c>
      <c r="R43" s="2">
        <v>0</v>
      </c>
      <c r="S43" s="2">
        <v>0</v>
      </c>
      <c r="T43" t="s">
        <v>29</v>
      </c>
    </row>
    <row r="44" spans="1:20" x14ac:dyDescent="0.25">
      <c r="A44" t="s">
        <v>187</v>
      </c>
      <c r="B44" s="1">
        <v>44937</v>
      </c>
      <c r="C44" t="s">
        <v>21</v>
      </c>
      <c r="D44">
        <v>1</v>
      </c>
      <c r="E44" t="str">
        <f>+CONCATENATE("T",ROUNDUP(MONTH(Datos[[#This Row],[Fecha]])/3,0))</f>
        <v>T1</v>
      </c>
      <c r="F44" t="str">
        <f>+CONCATENATE("Sem"," ",ROUNDUP(MONTH(Datos[[#This Row],[Fecha]])/6,0))</f>
        <v>Sem 1</v>
      </c>
      <c r="G44" t="s">
        <v>99</v>
      </c>
      <c r="H44" t="s">
        <v>100</v>
      </c>
      <c r="I44" t="s">
        <v>101</v>
      </c>
      <c r="J44" t="s">
        <v>102</v>
      </c>
      <c r="K44" t="s">
        <v>39</v>
      </c>
      <c r="L44" t="s">
        <v>40</v>
      </c>
      <c r="M44" t="s">
        <v>188</v>
      </c>
      <c r="N44" s="1">
        <v>44937</v>
      </c>
      <c r="O44" s="1">
        <v>45117</v>
      </c>
      <c r="P44" t="s">
        <v>29</v>
      </c>
      <c r="Q44">
        <f>+IF(OR(Datos[[#This Row],[Diagnostico]]="Inservible",Datos[[#This Row],[Estatus]]="Preventivo"),0,Datos[[#This Row],[Fecha_Final]]-Datos[[#This Row],[Día_Inicio]])</f>
        <v>0</v>
      </c>
      <c r="R44" s="2">
        <v>1024</v>
      </c>
      <c r="S44" s="2">
        <v>475</v>
      </c>
      <c r="T44" t="s">
        <v>42</v>
      </c>
    </row>
    <row r="45" spans="1:20" x14ac:dyDescent="0.25">
      <c r="A45" t="s">
        <v>189</v>
      </c>
      <c r="B45" s="1">
        <v>44937</v>
      </c>
      <c r="C45" t="s">
        <v>21</v>
      </c>
      <c r="D45">
        <v>1</v>
      </c>
      <c r="E45" t="str">
        <f>+CONCATENATE("T",ROUNDUP(MONTH(Datos[[#This Row],[Fecha]])/3,0))</f>
        <v>T1</v>
      </c>
      <c r="F45" t="str">
        <f>+CONCATENATE("Sem"," ",ROUNDUP(MONTH(Datos[[#This Row],[Fecha]])/6,0))</f>
        <v>Sem 1</v>
      </c>
      <c r="G45" t="s">
        <v>190</v>
      </c>
      <c r="H45" t="s">
        <v>191</v>
      </c>
      <c r="I45" t="s">
        <v>24</v>
      </c>
      <c r="J45" t="s">
        <v>192</v>
      </c>
      <c r="K45" t="s">
        <v>128</v>
      </c>
      <c r="L45" t="s">
        <v>27</v>
      </c>
      <c r="M45">
        <v>0</v>
      </c>
      <c r="N45" s="1">
        <v>44937</v>
      </c>
      <c r="O45" s="1">
        <v>44958</v>
      </c>
      <c r="P45" t="s">
        <v>28</v>
      </c>
      <c r="Q45">
        <f>+IF(OR(Datos[[#This Row],[Diagnostico]]="Inservible",Datos[[#This Row],[Estatus]]="Preventivo"),0,Datos[[#This Row],[Fecha_Final]]-Datos[[#This Row],[Día_Inicio]])</f>
        <v>0</v>
      </c>
      <c r="R45" s="2">
        <v>0</v>
      </c>
      <c r="S45" s="2">
        <v>0</v>
      </c>
      <c r="T45" t="s">
        <v>29</v>
      </c>
    </row>
    <row r="46" spans="1:20" x14ac:dyDescent="0.25">
      <c r="A46" t="s">
        <v>193</v>
      </c>
      <c r="B46" s="1">
        <v>44937</v>
      </c>
      <c r="C46" t="s">
        <v>21</v>
      </c>
      <c r="D46">
        <v>1</v>
      </c>
      <c r="E46" t="str">
        <f>+CONCATENATE("T",ROUNDUP(MONTH(Datos[[#This Row],[Fecha]])/3,0))</f>
        <v>T1</v>
      </c>
      <c r="F46" t="str">
        <f>+CONCATENATE("Sem"," ",ROUNDUP(MONTH(Datos[[#This Row],[Fecha]])/6,0))</f>
        <v>Sem 1</v>
      </c>
      <c r="G46" t="s">
        <v>31</v>
      </c>
      <c r="H46" t="s">
        <v>32</v>
      </c>
      <c r="I46" t="s">
        <v>24</v>
      </c>
      <c r="J46" t="s">
        <v>33</v>
      </c>
      <c r="K46" t="s">
        <v>39</v>
      </c>
      <c r="L46" t="s">
        <v>40</v>
      </c>
      <c r="M46" t="s">
        <v>103</v>
      </c>
      <c r="N46" s="1">
        <v>44937</v>
      </c>
      <c r="O46" s="1">
        <v>44952</v>
      </c>
      <c r="P46" t="s">
        <v>29</v>
      </c>
      <c r="Q46">
        <f>+IF(OR(Datos[[#This Row],[Diagnostico]]="Inservible",Datos[[#This Row],[Estatus]]="Preventivo"),0,Datos[[#This Row],[Fecha_Final]]-Datos[[#This Row],[Día_Inicio]])</f>
        <v>0</v>
      </c>
      <c r="R46" s="2">
        <v>793</v>
      </c>
      <c r="S46" s="2">
        <v>803</v>
      </c>
      <c r="T46" t="s">
        <v>42</v>
      </c>
    </row>
    <row r="47" spans="1:20" x14ac:dyDescent="0.25">
      <c r="A47" t="s">
        <v>194</v>
      </c>
      <c r="B47" s="1">
        <v>44937</v>
      </c>
      <c r="C47" t="s">
        <v>21</v>
      </c>
      <c r="D47">
        <v>1</v>
      </c>
      <c r="E47" t="str">
        <f>+CONCATENATE("T",ROUNDUP(MONTH(Datos[[#This Row],[Fecha]])/3,0))</f>
        <v>T1</v>
      </c>
      <c r="F47" t="str">
        <f>+CONCATENATE("Sem"," ",ROUNDUP(MONTH(Datos[[#This Row],[Fecha]])/6,0))</f>
        <v>Sem 1</v>
      </c>
      <c r="G47" t="s">
        <v>53</v>
      </c>
      <c r="H47" t="s">
        <v>54</v>
      </c>
      <c r="I47" t="s">
        <v>55</v>
      </c>
      <c r="J47" t="s">
        <v>56</v>
      </c>
      <c r="K47" t="s">
        <v>135</v>
      </c>
      <c r="L47" t="s">
        <v>27</v>
      </c>
      <c r="M47">
        <v>0</v>
      </c>
      <c r="N47" s="1">
        <v>44937</v>
      </c>
      <c r="O47" s="1">
        <v>44949</v>
      </c>
      <c r="P47" t="s">
        <v>58</v>
      </c>
      <c r="Q47">
        <f>+IF(OR(Datos[[#This Row],[Diagnostico]]="Inservible",Datos[[#This Row],[Estatus]]="Preventivo"),0,Datos[[#This Row],[Fecha_Final]]-Datos[[#This Row],[Día_Inicio]])</f>
        <v>12</v>
      </c>
      <c r="R47" s="2">
        <v>556</v>
      </c>
      <c r="S47" s="2">
        <v>734</v>
      </c>
      <c r="T47" t="s">
        <v>59</v>
      </c>
    </row>
    <row r="48" spans="1:20" x14ac:dyDescent="0.25">
      <c r="A48" t="s">
        <v>195</v>
      </c>
      <c r="B48" s="1">
        <v>44938</v>
      </c>
      <c r="C48" t="s">
        <v>21</v>
      </c>
      <c r="D48">
        <v>1</v>
      </c>
      <c r="E48" t="str">
        <f>+CONCATENATE("T",ROUNDUP(MONTH(Datos[[#This Row],[Fecha]])/3,0))</f>
        <v>T1</v>
      </c>
      <c r="F48" t="str">
        <f>+CONCATENATE("Sem"," ",ROUNDUP(MONTH(Datos[[#This Row],[Fecha]])/6,0))</f>
        <v>Sem 1</v>
      </c>
      <c r="G48" t="s">
        <v>31</v>
      </c>
      <c r="H48" t="s">
        <v>32</v>
      </c>
      <c r="I48" t="s">
        <v>24</v>
      </c>
      <c r="J48" t="s">
        <v>33</v>
      </c>
      <c r="K48" t="s">
        <v>39</v>
      </c>
      <c r="L48" t="s">
        <v>40</v>
      </c>
      <c r="M48" t="s">
        <v>196</v>
      </c>
      <c r="N48" s="1">
        <v>44938</v>
      </c>
      <c r="O48" s="1">
        <v>44968</v>
      </c>
      <c r="P48" t="s">
        <v>29</v>
      </c>
      <c r="Q48">
        <f>+IF(OR(Datos[[#This Row],[Diagnostico]]="Inservible",Datos[[#This Row],[Estatus]]="Preventivo"),0,Datos[[#This Row],[Fecha_Final]]-Datos[[#This Row],[Día_Inicio]])</f>
        <v>0</v>
      </c>
      <c r="R48" s="2">
        <v>835</v>
      </c>
      <c r="S48" s="2">
        <v>480</v>
      </c>
      <c r="T48" t="s">
        <v>42</v>
      </c>
    </row>
    <row r="49" spans="1:20" x14ac:dyDescent="0.25">
      <c r="A49" t="s">
        <v>197</v>
      </c>
      <c r="B49" s="1">
        <v>44938</v>
      </c>
      <c r="C49" t="s">
        <v>21</v>
      </c>
      <c r="D49">
        <v>1</v>
      </c>
      <c r="E49" t="str">
        <f>+CONCATENATE("T",ROUNDUP(MONTH(Datos[[#This Row],[Fecha]])/3,0))</f>
        <v>T1</v>
      </c>
      <c r="F49" t="str">
        <f>+CONCATENATE("Sem"," ",ROUNDUP(MONTH(Datos[[#This Row],[Fecha]])/6,0))</f>
        <v>Sem 1</v>
      </c>
      <c r="G49" t="s">
        <v>132</v>
      </c>
      <c r="H49" t="s">
        <v>133</v>
      </c>
      <c r="I49" t="s">
        <v>24</v>
      </c>
      <c r="J49" t="s">
        <v>134</v>
      </c>
      <c r="K49" t="s">
        <v>34</v>
      </c>
      <c r="L49" t="s">
        <v>27</v>
      </c>
      <c r="M49">
        <v>0</v>
      </c>
      <c r="N49" s="1">
        <v>44938</v>
      </c>
      <c r="O49" s="1">
        <v>44947</v>
      </c>
      <c r="P49" t="s">
        <v>28</v>
      </c>
      <c r="Q49">
        <f>+IF(OR(Datos[[#This Row],[Diagnostico]]="Inservible",Datos[[#This Row],[Estatus]]="Preventivo"),0,Datos[[#This Row],[Fecha_Final]]-Datos[[#This Row],[Día_Inicio]])</f>
        <v>0</v>
      </c>
      <c r="R49" s="2">
        <v>0</v>
      </c>
      <c r="S49" s="2">
        <v>0</v>
      </c>
      <c r="T49" t="s">
        <v>29</v>
      </c>
    </row>
    <row r="50" spans="1:20" x14ac:dyDescent="0.25">
      <c r="A50" t="s">
        <v>198</v>
      </c>
      <c r="B50" s="1">
        <v>44938</v>
      </c>
      <c r="C50" t="s">
        <v>21</v>
      </c>
      <c r="D50">
        <v>1</v>
      </c>
      <c r="E50" t="str">
        <f>+CONCATENATE("T",ROUNDUP(MONTH(Datos[[#This Row],[Fecha]])/3,0))</f>
        <v>T1</v>
      </c>
      <c r="F50" t="str">
        <f>+CONCATENATE("Sem"," ",ROUNDUP(MONTH(Datos[[#This Row],[Fecha]])/6,0))</f>
        <v>Sem 1</v>
      </c>
      <c r="G50" t="s">
        <v>116</v>
      </c>
      <c r="H50" t="s">
        <v>117</v>
      </c>
      <c r="I50" t="s">
        <v>24</v>
      </c>
      <c r="J50" t="s">
        <v>118</v>
      </c>
      <c r="K50" t="s">
        <v>39</v>
      </c>
      <c r="L50" t="s">
        <v>40</v>
      </c>
      <c r="M50" t="s">
        <v>51</v>
      </c>
      <c r="N50" s="1">
        <v>44938</v>
      </c>
      <c r="O50" s="1">
        <v>44998</v>
      </c>
      <c r="P50" t="s">
        <v>29</v>
      </c>
      <c r="Q50">
        <f>+IF(OR(Datos[[#This Row],[Diagnostico]]="Inservible",Datos[[#This Row],[Estatus]]="Preventivo"),0,Datos[[#This Row],[Fecha_Final]]-Datos[[#This Row],[Día_Inicio]])</f>
        <v>0</v>
      </c>
      <c r="R50" s="2">
        <v>465</v>
      </c>
      <c r="S50" s="2">
        <v>591</v>
      </c>
      <c r="T50" t="s">
        <v>42</v>
      </c>
    </row>
    <row r="51" spans="1:20" x14ac:dyDescent="0.25">
      <c r="A51" t="s">
        <v>199</v>
      </c>
      <c r="B51" s="1">
        <v>44939</v>
      </c>
      <c r="C51" t="s">
        <v>21</v>
      </c>
      <c r="D51">
        <v>1</v>
      </c>
      <c r="E51" t="str">
        <f>+CONCATENATE("T",ROUNDUP(MONTH(Datos[[#This Row],[Fecha]])/3,0))</f>
        <v>T1</v>
      </c>
      <c r="F51" t="str">
        <f>+CONCATENATE("Sem"," ",ROUNDUP(MONTH(Datos[[#This Row],[Fecha]])/6,0))</f>
        <v>Sem 1</v>
      </c>
      <c r="G51" t="s">
        <v>105</v>
      </c>
      <c r="H51" t="s">
        <v>106</v>
      </c>
      <c r="I51" t="s">
        <v>24</v>
      </c>
      <c r="J51" t="s">
        <v>107</v>
      </c>
      <c r="K51" t="s">
        <v>47</v>
      </c>
      <c r="L51" t="s">
        <v>27</v>
      </c>
      <c r="M51">
        <v>0</v>
      </c>
      <c r="N51" s="1">
        <v>44939</v>
      </c>
      <c r="O51" s="1">
        <v>44957</v>
      </c>
      <c r="P51" t="s">
        <v>58</v>
      </c>
      <c r="Q51">
        <f>+IF(OR(Datos[[#This Row],[Diagnostico]]="Inservible",Datos[[#This Row],[Estatus]]="Preventivo"),0,Datos[[#This Row],[Fecha_Final]]-Datos[[#This Row],[Día_Inicio]])</f>
        <v>18</v>
      </c>
      <c r="R51" s="2">
        <v>1188</v>
      </c>
      <c r="S51" s="2">
        <v>286</v>
      </c>
      <c r="T51" t="s">
        <v>64</v>
      </c>
    </row>
    <row r="52" spans="1:20" x14ac:dyDescent="0.25">
      <c r="A52" t="s">
        <v>200</v>
      </c>
      <c r="B52" s="1">
        <v>44939</v>
      </c>
      <c r="C52" t="s">
        <v>21</v>
      </c>
      <c r="D52">
        <v>1</v>
      </c>
      <c r="E52" t="str">
        <f>+CONCATENATE("T",ROUNDUP(MONTH(Datos[[#This Row],[Fecha]])/3,0))</f>
        <v>T1</v>
      </c>
      <c r="F52" t="str">
        <f>+CONCATENATE("Sem"," ",ROUNDUP(MONTH(Datos[[#This Row],[Fecha]])/6,0))</f>
        <v>Sem 1</v>
      </c>
      <c r="G52" t="s">
        <v>169</v>
      </c>
      <c r="H52" t="s">
        <v>170</v>
      </c>
      <c r="I52" t="s">
        <v>68</v>
      </c>
      <c r="J52" t="s">
        <v>171</v>
      </c>
      <c r="K52" t="s">
        <v>147</v>
      </c>
      <c r="L52" t="s">
        <v>27</v>
      </c>
      <c r="M52">
        <v>0</v>
      </c>
      <c r="N52" s="1">
        <v>44939</v>
      </c>
      <c r="O52" s="1">
        <v>44965</v>
      </c>
      <c r="P52" t="s">
        <v>58</v>
      </c>
      <c r="Q52">
        <f>+IF(OR(Datos[[#This Row],[Diagnostico]]="Inservible",Datos[[#This Row],[Estatus]]="Preventivo"),0,Datos[[#This Row],[Fecha_Final]]-Datos[[#This Row],[Día_Inicio]])</f>
        <v>26</v>
      </c>
      <c r="R52" s="2">
        <v>872</v>
      </c>
      <c r="S52" s="2">
        <v>686</v>
      </c>
      <c r="T52" t="s">
        <v>42</v>
      </c>
    </row>
    <row r="53" spans="1:20" x14ac:dyDescent="0.25">
      <c r="A53" t="s">
        <v>201</v>
      </c>
      <c r="B53" s="1">
        <v>44939</v>
      </c>
      <c r="C53" t="s">
        <v>21</v>
      </c>
      <c r="D53">
        <v>1</v>
      </c>
      <c r="E53" t="str">
        <f>+CONCATENATE("T",ROUNDUP(MONTH(Datos[[#This Row],[Fecha]])/3,0))</f>
        <v>T1</v>
      </c>
      <c r="F53" t="str">
        <f>+CONCATENATE("Sem"," ",ROUNDUP(MONTH(Datos[[#This Row],[Fecha]])/6,0))</f>
        <v>Sem 1</v>
      </c>
      <c r="G53" t="s">
        <v>202</v>
      </c>
      <c r="H53" t="s">
        <v>203</v>
      </c>
      <c r="I53" t="s">
        <v>24</v>
      </c>
      <c r="J53" t="s">
        <v>204</v>
      </c>
      <c r="K53" t="s">
        <v>57</v>
      </c>
      <c r="L53" t="s">
        <v>27</v>
      </c>
      <c r="M53">
        <v>0</v>
      </c>
      <c r="N53" s="1">
        <v>44939</v>
      </c>
      <c r="O53" s="1">
        <v>44962</v>
      </c>
      <c r="P53" t="s">
        <v>58</v>
      </c>
      <c r="Q53">
        <f>+IF(OR(Datos[[#This Row],[Diagnostico]]="Inservible",Datos[[#This Row],[Estatus]]="Preventivo"),0,Datos[[#This Row],[Fecha_Final]]-Datos[[#This Row],[Día_Inicio]])</f>
        <v>23</v>
      </c>
      <c r="R53" s="2">
        <v>1166</v>
      </c>
      <c r="S53" s="2">
        <v>244</v>
      </c>
      <c r="T53" t="s">
        <v>42</v>
      </c>
    </row>
    <row r="54" spans="1:20" x14ac:dyDescent="0.25">
      <c r="A54" t="s">
        <v>205</v>
      </c>
      <c r="B54" s="1">
        <v>44941</v>
      </c>
      <c r="C54" t="s">
        <v>21</v>
      </c>
      <c r="D54">
        <v>1</v>
      </c>
      <c r="E54" t="str">
        <f>+CONCATENATE("T",ROUNDUP(MONTH(Datos[[#This Row],[Fecha]])/3,0))</f>
        <v>T1</v>
      </c>
      <c r="F54" t="str">
        <f>+CONCATENATE("Sem"," ",ROUNDUP(MONTH(Datos[[#This Row],[Fecha]])/6,0))</f>
        <v>Sem 1</v>
      </c>
      <c r="G54" t="s">
        <v>206</v>
      </c>
      <c r="H54" t="s">
        <v>207</v>
      </c>
      <c r="I54" t="s">
        <v>24</v>
      </c>
      <c r="J54" t="s">
        <v>160</v>
      </c>
      <c r="K54" t="s">
        <v>39</v>
      </c>
      <c r="L54" t="s">
        <v>40</v>
      </c>
      <c r="M54" t="s">
        <v>208</v>
      </c>
      <c r="N54" s="1">
        <v>44941</v>
      </c>
      <c r="O54" s="1">
        <v>44948</v>
      </c>
      <c r="P54" t="s">
        <v>29</v>
      </c>
      <c r="Q54">
        <f>+IF(OR(Datos[[#This Row],[Diagnostico]]="Inservible",Datos[[#This Row],[Estatus]]="Preventivo"),0,Datos[[#This Row],[Fecha_Final]]-Datos[[#This Row],[Día_Inicio]])</f>
        <v>0</v>
      </c>
      <c r="R54" s="2">
        <v>573</v>
      </c>
      <c r="S54" s="2">
        <v>196</v>
      </c>
      <c r="T54" t="s">
        <v>42</v>
      </c>
    </row>
    <row r="55" spans="1:20" x14ac:dyDescent="0.25">
      <c r="A55" t="s">
        <v>209</v>
      </c>
      <c r="B55" s="1">
        <v>44941</v>
      </c>
      <c r="C55" t="s">
        <v>21</v>
      </c>
      <c r="D55">
        <v>1</v>
      </c>
      <c r="E55" t="str">
        <f>+CONCATENATE("T",ROUNDUP(MONTH(Datos[[#This Row],[Fecha]])/3,0))</f>
        <v>T1</v>
      </c>
      <c r="F55" t="str">
        <f>+CONCATENATE("Sem"," ",ROUNDUP(MONTH(Datos[[#This Row],[Fecha]])/6,0))</f>
        <v>Sem 1</v>
      </c>
      <c r="G55" t="s">
        <v>31</v>
      </c>
      <c r="H55" t="s">
        <v>32</v>
      </c>
      <c r="I55" t="s">
        <v>24</v>
      </c>
      <c r="J55" t="s">
        <v>33</v>
      </c>
      <c r="K55" t="s">
        <v>70</v>
      </c>
      <c r="L55" t="s">
        <v>27</v>
      </c>
      <c r="M55">
        <v>0</v>
      </c>
      <c r="N55" s="1">
        <v>44941</v>
      </c>
      <c r="O55" s="1">
        <v>44970</v>
      </c>
      <c r="P55" t="s">
        <v>28</v>
      </c>
      <c r="Q55">
        <f>+IF(OR(Datos[[#This Row],[Diagnostico]]="Inservible",Datos[[#This Row],[Estatus]]="Preventivo"),0,Datos[[#This Row],[Fecha_Final]]-Datos[[#This Row],[Día_Inicio]])</f>
        <v>0</v>
      </c>
      <c r="R55" s="2">
        <v>0</v>
      </c>
      <c r="S55" s="2">
        <v>0</v>
      </c>
      <c r="T55" t="s">
        <v>29</v>
      </c>
    </row>
    <row r="56" spans="1:20" x14ac:dyDescent="0.25">
      <c r="A56" t="s">
        <v>210</v>
      </c>
      <c r="B56" s="1">
        <v>44941</v>
      </c>
      <c r="C56" t="s">
        <v>21</v>
      </c>
      <c r="D56">
        <v>1</v>
      </c>
      <c r="E56" t="str">
        <f>+CONCATENATE("T",ROUNDUP(MONTH(Datos[[#This Row],[Fecha]])/3,0))</f>
        <v>T1</v>
      </c>
      <c r="F56" t="str">
        <f>+CONCATENATE("Sem"," ",ROUNDUP(MONTH(Datos[[#This Row],[Fecha]])/6,0))</f>
        <v>Sem 1</v>
      </c>
      <c r="G56" t="s">
        <v>137</v>
      </c>
      <c r="H56" t="s">
        <v>138</v>
      </c>
      <c r="I56" t="s">
        <v>68</v>
      </c>
      <c r="J56" t="s">
        <v>139</v>
      </c>
      <c r="K56" t="s">
        <v>161</v>
      </c>
      <c r="L56" t="s">
        <v>27</v>
      </c>
      <c r="M56">
        <v>0</v>
      </c>
      <c r="N56" s="1">
        <v>44941</v>
      </c>
      <c r="O56" s="1">
        <v>44968</v>
      </c>
      <c r="P56" t="s">
        <v>28</v>
      </c>
      <c r="Q56">
        <f>+IF(OR(Datos[[#This Row],[Diagnostico]]="Inservible",Datos[[#This Row],[Estatus]]="Preventivo"),0,Datos[[#This Row],[Fecha_Final]]-Datos[[#This Row],[Día_Inicio]])</f>
        <v>0</v>
      </c>
      <c r="R56" s="2">
        <v>0</v>
      </c>
      <c r="S56" s="2">
        <v>0</v>
      </c>
      <c r="T56" t="s">
        <v>29</v>
      </c>
    </row>
    <row r="57" spans="1:20" x14ac:dyDescent="0.25">
      <c r="A57" t="s">
        <v>211</v>
      </c>
      <c r="B57" s="1">
        <v>44942</v>
      </c>
      <c r="C57" t="s">
        <v>21</v>
      </c>
      <c r="D57">
        <v>1</v>
      </c>
      <c r="E57" t="str">
        <f>+CONCATENATE("T",ROUNDUP(MONTH(Datos[[#This Row],[Fecha]])/3,0))</f>
        <v>T1</v>
      </c>
      <c r="F57" t="str">
        <f>+CONCATENATE("Sem"," ",ROUNDUP(MONTH(Datos[[#This Row],[Fecha]])/6,0))</f>
        <v>Sem 1</v>
      </c>
      <c r="G57" t="s">
        <v>154</v>
      </c>
      <c r="H57" t="s">
        <v>155</v>
      </c>
      <c r="I57" t="s">
        <v>68</v>
      </c>
      <c r="J57" t="s">
        <v>156</v>
      </c>
      <c r="K57" t="s">
        <v>80</v>
      </c>
      <c r="L57" t="s">
        <v>27</v>
      </c>
      <c r="M57">
        <v>0</v>
      </c>
      <c r="N57" s="1">
        <v>44942</v>
      </c>
      <c r="O57" s="1">
        <v>44959</v>
      </c>
      <c r="P57" t="s">
        <v>58</v>
      </c>
      <c r="Q57">
        <f>+IF(OR(Datos[[#This Row],[Diagnostico]]="Inservible",Datos[[#This Row],[Estatus]]="Preventivo"),0,Datos[[#This Row],[Fecha_Final]]-Datos[[#This Row],[Día_Inicio]])</f>
        <v>17</v>
      </c>
      <c r="R57" s="2">
        <v>971</v>
      </c>
      <c r="S57" s="2">
        <v>151</v>
      </c>
      <c r="T57" t="s">
        <v>59</v>
      </c>
    </row>
    <row r="58" spans="1:20" x14ac:dyDescent="0.25">
      <c r="A58" t="s">
        <v>212</v>
      </c>
      <c r="B58" s="1">
        <v>44942</v>
      </c>
      <c r="C58" t="s">
        <v>21</v>
      </c>
      <c r="D58">
        <v>1</v>
      </c>
      <c r="E58" t="str">
        <f>+CONCATENATE("T",ROUNDUP(MONTH(Datos[[#This Row],[Fecha]])/3,0))</f>
        <v>T1</v>
      </c>
      <c r="F58" t="str">
        <f>+CONCATENATE("Sem"," ",ROUNDUP(MONTH(Datos[[#This Row],[Fecha]])/6,0))</f>
        <v>Sem 1</v>
      </c>
      <c r="G58" t="s">
        <v>22</v>
      </c>
      <c r="H58" t="s">
        <v>23</v>
      </c>
      <c r="I58" t="s">
        <v>24</v>
      </c>
      <c r="J58" t="s">
        <v>25</v>
      </c>
      <c r="K58" t="s">
        <v>85</v>
      </c>
      <c r="L58" t="s">
        <v>27</v>
      </c>
      <c r="M58">
        <v>0</v>
      </c>
      <c r="N58" s="1">
        <v>44942</v>
      </c>
      <c r="O58" s="1">
        <v>44951</v>
      </c>
      <c r="P58" t="s">
        <v>28</v>
      </c>
      <c r="Q58">
        <f>+IF(OR(Datos[[#This Row],[Diagnostico]]="Inservible",Datos[[#This Row],[Estatus]]="Preventivo"),0,Datos[[#This Row],[Fecha_Final]]-Datos[[#This Row],[Día_Inicio]])</f>
        <v>0</v>
      </c>
      <c r="R58" s="2">
        <v>0</v>
      </c>
      <c r="S58" s="2">
        <v>0</v>
      </c>
      <c r="T58" t="s">
        <v>29</v>
      </c>
    </row>
    <row r="59" spans="1:20" x14ac:dyDescent="0.25">
      <c r="A59" t="s">
        <v>213</v>
      </c>
      <c r="B59" s="1">
        <v>44942</v>
      </c>
      <c r="C59" t="s">
        <v>21</v>
      </c>
      <c r="D59">
        <v>1</v>
      </c>
      <c r="E59" t="str">
        <f>+CONCATENATE("T",ROUNDUP(MONTH(Datos[[#This Row],[Fecha]])/3,0))</f>
        <v>T1</v>
      </c>
      <c r="F59" t="str">
        <f>+CONCATENATE("Sem"," ",ROUNDUP(MONTH(Datos[[#This Row],[Fecha]])/6,0))</f>
        <v>Sem 1</v>
      </c>
      <c r="G59" t="s">
        <v>61</v>
      </c>
      <c r="H59" t="s">
        <v>62</v>
      </c>
      <c r="I59" t="s">
        <v>24</v>
      </c>
      <c r="J59" t="s">
        <v>46</v>
      </c>
      <c r="K59" t="s">
        <v>90</v>
      </c>
      <c r="L59" t="s">
        <v>27</v>
      </c>
      <c r="M59">
        <v>0</v>
      </c>
      <c r="N59" s="1">
        <v>44942</v>
      </c>
      <c r="O59" s="1">
        <v>44961</v>
      </c>
      <c r="P59" t="s">
        <v>28</v>
      </c>
      <c r="Q59">
        <f>+IF(OR(Datos[[#This Row],[Diagnostico]]="Inservible",Datos[[#This Row],[Estatus]]="Preventivo"),0,Datos[[#This Row],[Fecha_Final]]-Datos[[#This Row],[Día_Inicio]])</f>
        <v>0</v>
      </c>
      <c r="R59" s="2">
        <v>0</v>
      </c>
      <c r="S59" s="2">
        <v>0</v>
      </c>
      <c r="T59" t="s">
        <v>29</v>
      </c>
    </row>
    <row r="60" spans="1:20" x14ac:dyDescent="0.25">
      <c r="A60" t="s">
        <v>214</v>
      </c>
      <c r="B60" s="1">
        <v>44942</v>
      </c>
      <c r="C60" t="s">
        <v>21</v>
      </c>
      <c r="D60">
        <v>1</v>
      </c>
      <c r="E60" t="str">
        <f>+CONCATENATE("T",ROUNDUP(MONTH(Datos[[#This Row],[Fecha]])/3,0))</f>
        <v>T1</v>
      </c>
      <c r="F60" t="str">
        <f>+CONCATENATE("Sem"," ",ROUNDUP(MONTH(Datos[[#This Row],[Fecha]])/6,0))</f>
        <v>Sem 1</v>
      </c>
      <c r="G60" t="s">
        <v>215</v>
      </c>
      <c r="H60" t="s">
        <v>216</v>
      </c>
      <c r="I60" t="s">
        <v>24</v>
      </c>
      <c r="J60" t="s">
        <v>50</v>
      </c>
      <c r="K60" t="s">
        <v>172</v>
      </c>
      <c r="L60" t="s">
        <v>27</v>
      </c>
      <c r="M60">
        <v>0</v>
      </c>
      <c r="N60" s="1">
        <v>44942</v>
      </c>
      <c r="O60" s="1">
        <v>44969</v>
      </c>
      <c r="P60" t="s">
        <v>28</v>
      </c>
      <c r="Q60">
        <f>+IF(OR(Datos[[#This Row],[Diagnostico]]="Inservible",Datos[[#This Row],[Estatus]]="Preventivo"),0,Datos[[#This Row],[Fecha_Final]]-Datos[[#This Row],[Día_Inicio]])</f>
        <v>0</v>
      </c>
      <c r="R60" s="2">
        <v>0</v>
      </c>
      <c r="S60" s="2">
        <v>0</v>
      </c>
      <c r="T60" t="s">
        <v>29</v>
      </c>
    </row>
    <row r="61" spans="1:20" x14ac:dyDescent="0.25">
      <c r="A61" t="s">
        <v>217</v>
      </c>
      <c r="B61" s="1">
        <v>44942</v>
      </c>
      <c r="C61" t="s">
        <v>21</v>
      </c>
      <c r="D61">
        <v>1</v>
      </c>
      <c r="E61" t="str">
        <f>+CONCATENATE("T",ROUNDUP(MONTH(Datos[[#This Row],[Fecha]])/3,0))</f>
        <v>T1</v>
      </c>
      <c r="F61" t="str">
        <f>+CONCATENATE("Sem"," ",ROUNDUP(MONTH(Datos[[#This Row],[Fecha]])/6,0))</f>
        <v>Sem 1</v>
      </c>
      <c r="G61" t="s">
        <v>49</v>
      </c>
      <c r="H61" t="s">
        <v>23</v>
      </c>
      <c r="I61" t="s">
        <v>24</v>
      </c>
      <c r="J61" t="s">
        <v>50</v>
      </c>
      <c r="K61" t="s">
        <v>97</v>
      </c>
      <c r="L61" t="s">
        <v>27</v>
      </c>
      <c r="M61">
        <v>0</v>
      </c>
      <c r="N61" s="1">
        <v>44942</v>
      </c>
      <c r="O61" s="1">
        <v>44945</v>
      </c>
      <c r="P61" t="s">
        <v>58</v>
      </c>
      <c r="Q61">
        <f>+IF(OR(Datos[[#This Row],[Diagnostico]]="Inservible",Datos[[#This Row],[Estatus]]="Preventivo"),0,Datos[[#This Row],[Fecha_Final]]-Datos[[#This Row],[Día_Inicio]])</f>
        <v>3</v>
      </c>
      <c r="R61" s="2">
        <v>1010</v>
      </c>
      <c r="S61" s="2">
        <v>584</v>
      </c>
      <c r="T61" t="s">
        <v>64</v>
      </c>
    </row>
    <row r="62" spans="1:20" x14ac:dyDescent="0.25">
      <c r="A62" t="s">
        <v>218</v>
      </c>
      <c r="B62" s="1">
        <v>44942</v>
      </c>
      <c r="C62" t="s">
        <v>21</v>
      </c>
      <c r="D62">
        <v>1</v>
      </c>
      <c r="E62" t="str">
        <f>+CONCATENATE("T",ROUNDUP(MONTH(Datos[[#This Row],[Fecha]])/3,0))</f>
        <v>T1</v>
      </c>
      <c r="F62" t="str">
        <f>+CONCATENATE("Sem"," ",ROUNDUP(MONTH(Datos[[#This Row],[Fecha]])/6,0))</f>
        <v>Sem 1</v>
      </c>
      <c r="G62" t="s">
        <v>121</v>
      </c>
      <c r="H62" t="s">
        <v>122</v>
      </c>
      <c r="I62" t="s">
        <v>24</v>
      </c>
      <c r="J62" t="s">
        <v>102</v>
      </c>
      <c r="K62" t="s">
        <v>39</v>
      </c>
      <c r="L62" t="s">
        <v>40</v>
      </c>
      <c r="M62" t="s">
        <v>41</v>
      </c>
      <c r="N62" s="1">
        <v>44942</v>
      </c>
      <c r="O62" s="1">
        <v>45032</v>
      </c>
      <c r="P62" t="s">
        <v>29</v>
      </c>
      <c r="Q62">
        <f>+IF(OR(Datos[[#This Row],[Diagnostico]]="Inservible",Datos[[#This Row],[Estatus]]="Preventivo"),0,Datos[[#This Row],[Fecha_Final]]-Datos[[#This Row],[Día_Inicio]])</f>
        <v>0</v>
      </c>
      <c r="R62" s="2">
        <v>951</v>
      </c>
      <c r="S62" s="2">
        <v>430</v>
      </c>
      <c r="T62" t="s">
        <v>42</v>
      </c>
    </row>
    <row r="63" spans="1:20" x14ac:dyDescent="0.25">
      <c r="A63" t="s">
        <v>219</v>
      </c>
      <c r="B63" s="1">
        <v>44943</v>
      </c>
      <c r="C63" t="s">
        <v>21</v>
      </c>
      <c r="D63">
        <v>1</v>
      </c>
      <c r="E63" t="str">
        <f>+CONCATENATE("T",ROUNDUP(MONTH(Datos[[#This Row],[Fecha]])/3,0))</f>
        <v>T1</v>
      </c>
      <c r="F63" t="str">
        <f>+CONCATENATE("Sem"," ",ROUNDUP(MONTH(Datos[[#This Row],[Fecha]])/6,0))</f>
        <v>Sem 1</v>
      </c>
      <c r="G63" t="s">
        <v>190</v>
      </c>
      <c r="H63" t="s">
        <v>191</v>
      </c>
      <c r="I63" t="s">
        <v>24</v>
      </c>
      <c r="J63" t="s">
        <v>192</v>
      </c>
      <c r="K63" t="s">
        <v>108</v>
      </c>
      <c r="L63" t="s">
        <v>27</v>
      </c>
      <c r="M63">
        <v>0</v>
      </c>
      <c r="N63" s="1">
        <v>44943</v>
      </c>
      <c r="O63" s="1">
        <v>44964</v>
      </c>
      <c r="P63" t="s">
        <v>28</v>
      </c>
      <c r="Q63">
        <f>+IF(OR(Datos[[#This Row],[Diagnostico]]="Inservible",Datos[[#This Row],[Estatus]]="Preventivo"),0,Datos[[#This Row],[Fecha_Final]]-Datos[[#This Row],[Día_Inicio]])</f>
        <v>0</v>
      </c>
      <c r="R63" s="2">
        <v>0</v>
      </c>
      <c r="S63" s="2">
        <v>0</v>
      </c>
      <c r="T63" t="s">
        <v>29</v>
      </c>
    </row>
    <row r="64" spans="1:20" x14ac:dyDescent="0.25">
      <c r="A64" t="s">
        <v>220</v>
      </c>
      <c r="B64" s="1">
        <v>44943</v>
      </c>
      <c r="C64" t="s">
        <v>21</v>
      </c>
      <c r="D64">
        <v>1</v>
      </c>
      <c r="E64" t="str">
        <f>+CONCATENATE("T",ROUNDUP(MONTH(Datos[[#This Row],[Fecha]])/3,0))</f>
        <v>T1</v>
      </c>
      <c r="F64" t="str">
        <f>+CONCATENATE("Sem"," ",ROUNDUP(MONTH(Datos[[#This Row],[Fecha]])/6,0))</f>
        <v>Sem 1</v>
      </c>
      <c r="G64" t="s">
        <v>105</v>
      </c>
      <c r="H64" t="s">
        <v>106</v>
      </c>
      <c r="I64" t="s">
        <v>24</v>
      </c>
      <c r="J64" t="s">
        <v>107</v>
      </c>
      <c r="K64" t="s">
        <v>39</v>
      </c>
      <c r="L64" t="s">
        <v>40</v>
      </c>
      <c r="M64" t="s">
        <v>41</v>
      </c>
      <c r="N64" s="1">
        <v>44943</v>
      </c>
      <c r="O64" s="1">
        <v>45033</v>
      </c>
      <c r="P64" t="s">
        <v>29</v>
      </c>
      <c r="Q64">
        <f>+IF(OR(Datos[[#This Row],[Diagnostico]]="Inservible",Datos[[#This Row],[Estatus]]="Preventivo"),0,Datos[[#This Row],[Fecha_Final]]-Datos[[#This Row],[Día_Inicio]])</f>
        <v>0</v>
      </c>
      <c r="R64" s="2">
        <v>1094</v>
      </c>
      <c r="S64" s="2">
        <v>904</v>
      </c>
      <c r="T64" t="s">
        <v>42</v>
      </c>
    </row>
    <row r="65" spans="1:20" x14ac:dyDescent="0.25">
      <c r="A65" t="s">
        <v>221</v>
      </c>
      <c r="B65" s="1">
        <v>44943</v>
      </c>
      <c r="C65" t="s">
        <v>21</v>
      </c>
      <c r="D65">
        <v>1</v>
      </c>
      <c r="E65" t="str">
        <f>+CONCATENATE("T",ROUNDUP(MONTH(Datos[[#This Row],[Fecha]])/3,0))</f>
        <v>T1</v>
      </c>
      <c r="F65" t="str">
        <f>+CONCATENATE("Sem"," ",ROUNDUP(MONTH(Datos[[#This Row],[Fecha]])/6,0))</f>
        <v>Sem 1</v>
      </c>
      <c r="G65" t="s">
        <v>183</v>
      </c>
      <c r="H65" t="s">
        <v>184</v>
      </c>
      <c r="I65" t="s">
        <v>24</v>
      </c>
      <c r="J65" t="s">
        <v>139</v>
      </c>
      <c r="K65" t="s">
        <v>114</v>
      </c>
      <c r="L65" t="s">
        <v>27</v>
      </c>
      <c r="M65">
        <v>0</v>
      </c>
      <c r="N65" s="1">
        <v>44943</v>
      </c>
      <c r="O65" s="1">
        <v>44944</v>
      </c>
      <c r="P65" t="s">
        <v>58</v>
      </c>
      <c r="Q65">
        <f>+IF(OR(Datos[[#This Row],[Diagnostico]]="Inservible",Datos[[#This Row],[Estatus]]="Preventivo"),0,Datos[[#This Row],[Fecha_Final]]-Datos[[#This Row],[Día_Inicio]])</f>
        <v>1</v>
      </c>
      <c r="R65" s="2">
        <v>524</v>
      </c>
      <c r="S65" s="2">
        <v>624</v>
      </c>
      <c r="T65" t="s">
        <v>64</v>
      </c>
    </row>
    <row r="66" spans="1:20" x14ac:dyDescent="0.25">
      <c r="A66" t="s">
        <v>222</v>
      </c>
      <c r="B66" s="1">
        <v>44943</v>
      </c>
      <c r="C66" t="s">
        <v>21</v>
      </c>
      <c r="D66">
        <v>1</v>
      </c>
      <c r="E66" t="str">
        <f>+CONCATENATE("T",ROUNDUP(MONTH(Datos[[#This Row],[Fecha]])/3,0))</f>
        <v>T1</v>
      </c>
      <c r="F66" t="str">
        <f>+CONCATENATE("Sem"," ",ROUNDUP(MONTH(Datos[[#This Row],[Fecha]])/6,0))</f>
        <v>Sem 1</v>
      </c>
      <c r="G66" t="s">
        <v>99</v>
      </c>
      <c r="H66" t="s">
        <v>100</v>
      </c>
      <c r="I66" t="s">
        <v>101</v>
      </c>
      <c r="J66" t="s">
        <v>102</v>
      </c>
      <c r="K66" t="s">
        <v>119</v>
      </c>
      <c r="L66" t="s">
        <v>27</v>
      </c>
      <c r="M66">
        <v>0</v>
      </c>
      <c r="N66" s="1">
        <v>44943</v>
      </c>
      <c r="O66" s="1">
        <v>44946</v>
      </c>
      <c r="P66" t="s">
        <v>28</v>
      </c>
      <c r="Q66">
        <f>+IF(OR(Datos[[#This Row],[Diagnostico]]="Inservible",Datos[[#This Row],[Estatus]]="Preventivo"),0,Datos[[#This Row],[Fecha_Final]]-Datos[[#This Row],[Día_Inicio]])</f>
        <v>0</v>
      </c>
      <c r="R66" s="2">
        <v>0</v>
      </c>
      <c r="S66" s="2">
        <v>0</v>
      </c>
      <c r="T66" t="s">
        <v>29</v>
      </c>
    </row>
    <row r="67" spans="1:20" x14ac:dyDescent="0.25">
      <c r="A67" t="s">
        <v>223</v>
      </c>
      <c r="B67" s="1">
        <v>44945</v>
      </c>
      <c r="C67" t="s">
        <v>21</v>
      </c>
      <c r="D67">
        <v>1</v>
      </c>
      <c r="E67" t="str">
        <f>+CONCATENATE("T",ROUNDUP(MONTH(Datos[[#This Row],[Fecha]])/3,0))</f>
        <v>T1</v>
      </c>
      <c r="F67" t="str">
        <f>+CONCATENATE("Sem"," ",ROUNDUP(MONTH(Datos[[#This Row],[Fecha]])/6,0))</f>
        <v>Sem 1</v>
      </c>
      <c r="G67" t="s">
        <v>164</v>
      </c>
      <c r="H67" t="s">
        <v>165</v>
      </c>
      <c r="I67" t="s">
        <v>24</v>
      </c>
      <c r="J67" t="s">
        <v>166</v>
      </c>
      <c r="K67" t="s">
        <v>123</v>
      </c>
      <c r="L67" t="s">
        <v>27</v>
      </c>
      <c r="M67">
        <v>0</v>
      </c>
      <c r="N67" s="1">
        <v>44945</v>
      </c>
      <c r="O67" s="1">
        <v>44952</v>
      </c>
      <c r="P67" t="s">
        <v>28</v>
      </c>
      <c r="Q67">
        <f>+IF(OR(Datos[[#This Row],[Diagnostico]]="Inservible",Datos[[#This Row],[Estatus]]="Preventivo"),0,Datos[[#This Row],[Fecha_Final]]-Datos[[#This Row],[Día_Inicio]])</f>
        <v>0</v>
      </c>
      <c r="R67" s="2">
        <v>0</v>
      </c>
      <c r="S67" s="2">
        <v>0</v>
      </c>
      <c r="T67" t="s">
        <v>29</v>
      </c>
    </row>
    <row r="68" spans="1:20" x14ac:dyDescent="0.25">
      <c r="A68" t="s">
        <v>224</v>
      </c>
      <c r="B68" s="1">
        <v>44945</v>
      </c>
      <c r="C68" t="s">
        <v>21</v>
      </c>
      <c r="D68">
        <v>1</v>
      </c>
      <c r="E68" t="str">
        <f>+CONCATENATE("T",ROUNDUP(MONTH(Datos[[#This Row],[Fecha]])/3,0))</f>
        <v>T1</v>
      </c>
      <c r="F68" t="str">
        <f>+CONCATENATE("Sem"," ",ROUNDUP(MONTH(Datos[[#This Row],[Fecha]])/6,0))</f>
        <v>Sem 1</v>
      </c>
      <c r="G68" t="s">
        <v>225</v>
      </c>
      <c r="H68" t="s">
        <v>226</v>
      </c>
      <c r="I68" t="s">
        <v>227</v>
      </c>
      <c r="J68" t="s">
        <v>89</v>
      </c>
      <c r="K68" t="s">
        <v>39</v>
      </c>
      <c r="L68" t="s">
        <v>40</v>
      </c>
      <c r="M68" t="s">
        <v>103</v>
      </c>
      <c r="N68" s="1">
        <v>44945</v>
      </c>
      <c r="O68" s="1">
        <v>44960</v>
      </c>
      <c r="P68" t="s">
        <v>29</v>
      </c>
      <c r="Q68">
        <f>+IF(OR(Datos[[#This Row],[Diagnostico]]="Inservible",Datos[[#This Row],[Estatus]]="Preventivo"),0,Datos[[#This Row],[Fecha_Final]]-Datos[[#This Row],[Día_Inicio]])</f>
        <v>0</v>
      </c>
      <c r="R68" s="2">
        <v>807</v>
      </c>
      <c r="S68" s="2">
        <v>864</v>
      </c>
      <c r="T68" t="s">
        <v>42</v>
      </c>
    </row>
    <row r="69" spans="1:20" x14ac:dyDescent="0.25">
      <c r="A69" t="s">
        <v>228</v>
      </c>
      <c r="B69" s="1">
        <v>44946</v>
      </c>
      <c r="C69" t="s">
        <v>21</v>
      </c>
      <c r="D69">
        <v>1</v>
      </c>
      <c r="E69" t="str">
        <f>+CONCATENATE("T",ROUNDUP(MONTH(Datos[[#This Row],[Fecha]])/3,0))</f>
        <v>T1</v>
      </c>
      <c r="F69" t="str">
        <f>+CONCATENATE("Sem"," ",ROUNDUP(MONTH(Datos[[#This Row],[Fecha]])/6,0))</f>
        <v>Sem 1</v>
      </c>
      <c r="G69" t="s">
        <v>31</v>
      </c>
      <c r="H69" t="s">
        <v>32</v>
      </c>
      <c r="I69" t="s">
        <v>24</v>
      </c>
      <c r="J69" t="s">
        <v>33</v>
      </c>
      <c r="K69" t="s">
        <v>130</v>
      </c>
      <c r="L69" t="s">
        <v>27</v>
      </c>
      <c r="M69">
        <v>0</v>
      </c>
      <c r="N69" s="1">
        <v>44946</v>
      </c>
      <c r="O69" s="1">
        <v>44948</v>
      </c>
      <c r="P69" t="s">
        <v>58</v>
      </c>
      <c r="Q69">
        <f>+IF(OR(Datos[[#This Row],[Diagnostico]]="Inservible",Datos[[#This Row],[Estatus]]="Preventivo"),0,Datos[[#This Row],[Fecha_Final]]-Datos[[#This Row],[Día_Inicio]])</f>
        <v>2</v>
      </c>
      <c r="R69" s="2">
        <v>301</v>
      </c>
      <c r="S69" s="2">
        <v>145</v>
      </c>
      <c r="T69" t="s">
        <v>59</v>
      </c>
    </row>
    <row r="70" spans="1:20" x14ac:dyDescent="0.25">
      <c r="A70" t="s">
        <v>229</v>
      </c>
      <c r="B70" s="1">
        <v>44947</v>
      </c>
      <c r="C70" t="s">
        <v>21</v>
      </c>
      <c r="D70">
        <v>1</v>
      </c>
      <c r="E70" t="str">
        <f>+CONCATENATE("T",ROUNDUP(MONTH(Datos[[#This Row],[Fecha]])/3,0))</f>
        <v>T1</v>
      </c>
      <c r="F70" t="str">
        <f>+CONCATENATE("Sem"," ",ROUNDUP(MONTH(Datos[[#This Row],[Fecha]])/6,0))</f>
        <v>Sem 1</v>
      </c>
      <c r="G70" t="s">
        <v>36</v>
      </c>
      <c r="H70" t="s">
        <v>37</v>
      </c>
      <c r="I70" t="s">
        <v>24</v>
      </c>
      <c r="J70" t="s">
        <v>38</v>
      </c>
      <c r="K70" t="s">
        <v>39</v>
      </c>
      <c r="L70" t="s">
        <v>40</v>
      </c>
      <c r="M70" t="s">
        <v>103</v>
      </c>
      <c r="N70" s="1">
        <v>44947</v>
      </c>
      <c r="O70" s="1">
        <v>44962</v>
      </c>
      <c r="P70" t="s">
        <v>29</v>
      </c>
      <c r="Q70">
        <f>+IF(OR(Datos[[#This Row],[Diagnostico]]="Inservible",Datos[[#This Row],[Estatus]]="Preventivo"),0,Datos[[#This Row],[Fecha_Final]]-Datos[[#This Row],[Día_Inicio]])</f>
        <v>0</v>
      </c>
      <c r="R70" s="2">
        <v>1082</v>
      </c>
      <c r="S70" s="2">
        <v>637</v>
      </c>
      <c r="T70" t="s">
        <v>42</v>
      </c>
    </row>
    <row r="71" spans="1:20" x14ac:dyDescent="0.25">
      <c r="A71" t="s">
        <v>230</v>
      </c>
      <c r="B71" s="1">
        <v>44948</v>
      </c>
      <c r="C71" t="s">
        <v>21</v>
      </c>
      <c r="D71">
        <v>1</v>
      </c>
      <c r="E71" t="str">
        <f>+CONCATENATE("T",ROUNDUP(MONTH(Datos[[#This Row],[Fecha]])/3,0))</f>
        <v>T1</v>
      </c>
      <c r="F71" t="str">
        <f>+CONCATENATE("Sem"," ",ROUNDUP(MONTH(Datos[[#This Row],[Fecha]])/6,0))</f>
        <v>Sem 1</v>
      </c>
      <c r="G71" t="s">
        <v>158</v>
      </c>
      <c r="H71" t="s">
        <v>159</v>
      </c>
      <c r="I71" t="s">
        <v>101</v>
      </c>
      <c r="J71" t="s">
        <v>160</v>
      </c>
      <c r="K71" t="s">
        <v>26</v>
      </c>
      <c r="L71" t="s">
        <v>27</v>
      </c>
      <c r="M71">
        <v>0</v>
      </c>
      <c r="N71" s="1">
        <v>44948</v>
      </c>
      <c r="O71" s="1">
        <v>44974</v>
      </c>
      <c r="P71" t="s">
        <v>28</v>
      </c>
      <c r="Q71">
        <f>+IF(OR(Datos[[#This Row],[Diagnostico]]="Inservible",Datos[[#This Row],[Estatus]]="Preventivo"),0,Datos[[#This Row],[Fecha_Final]]-Datos[[#This Row],[Día_Inicio]])</f>
        <v>0</v>
      </c>
      <c r="R71" s="2">
        <v>0</v>
      </c>
      <c r="S71" s="2">
        <v>0</v>
      </c>
      <c r="T71" t="s">
        <v>29</v>
      </c>
    </row>
    <row r="72" spans="1:20" x14ac:dyDescent="0.25">
      <c r="A72" t="s">
        <v>231</v>
      </c>
      <c r="B72" s="1">
        <v>44948</v>
      </c>
      <c r="C72" t="s">
        <v>21</v>
      </c>
      <c r="D72">
        <v>1</v>
      </c>
      <c r="E72" t="str">
        <f>+CONCATENATE("T",ROUNDUP(MONTH(Datos[[#This Row],[Fecha]])/3,0))</f>
        <v>T1</v>
      </c>
      <c r="F72" t="str">
        <f>+CONCATENATE("Sem"," ",ROUNDUP(MONTH(Datos[[#This Row],[Fecha]])/6,0))</f>
        <v>Sem 1</v>
      </c>
      <c r="G72" t="s">
        <v>105</v>
      </c>
      <c r="H72" t="s">
        <v>106</v>
      </c>
      <c r="I72" t="s">
        <v>24</v>
      </c>
      <c r="J72" t="s">
        <v>107</v>
      </c>
      <c r="K72" t="s">
        <v>34</v>
      </c>
      <c r="L72" t="s">
        <v>27</v>
      </c>
      <c r="M72">
        <v>0</v>
      </c>
      <c r="N72" s="1">
        <v>44948</v>
      </c>
      <c r="O72" s="1">
        <v>44977</v>
      </c>
      <c r="P72" t="s">
        <v>58</v>
      </c>
      <c r="Q72">
        <f>+IF(OR(Datos[[#This Row],[Diagnostico]]="Inservible",Datos[[#This Row],[Estatus]]="Preventivo"),0,Datos[[#This Row],[Fecha_Final]]-Datos[[#This Row],[Día_Inicio]])</f>
        <v>29</v>
      </c>
      <c r="R72" s="2">
        <v>908</v>
      </c>
      <c r="S72" s="2">
        <v>355</v>
      </c>
      <c r="T72" t="s">
        <v>59</v>
      </c>
    </row>
    <row r="73" spans="1:20" x14ac:dyDescent="0.25">
      <c r="A73" t="s">
        <v>232</v>
      </c>
      <c r="B73" s="1">
        <v>44948</v>
      </c>
      <c r="C73" t="s">
        <v>21</v>
      </c>
      <c r="D73">
        <v>1</v>
      </c>
      <c r="E73" t="str">
        <f>+CONCATENATE("T",ROUNDUP(MONTH(Datos[[#This Row],[Fecha]])/3,0))</f>
        <v>T1</v>
      </c>
      <c r="F73" t="str">
        <f>+CONCATENATE("Sem"," ",ROUNDUP(MONTH(Datos[[#This Row],[Fecha]])/6,0))</f>
        <v>Sem 1</v>
      </c>
      <c r="G73" t="s">
        <v>121</v>
      </c>
      <c r="H73" t="s">
        <v>122</v>
      </c>
      <c r="I73" t="s">
        <v>24</v>
      </c>
      <c r="J73" t="s">
        <v>102</v>
      </c>
      <c r="K73" t="s">
        <v>39</v>
      </c>
      <c r="L73" t="s">
        <v>27</v>
      </c>
      <c r="M73">
        <v>0</v>
      </c>
      <c r="N73" s="1">
        <v>44948</v>
      </c>
      <c r="O73" s="1">
        <v>44973</v>
      </c>
      <c r="P73" t="s">
        <v>58</v>
      </c>
      <c r="Q73">
        <f>+IF(OR(Datos[[#This Row],[Diagnostico]]="Inservible",Datos[[#This Row],[Estatus]]="Preventivo"),0,Datos[[#This Row],[Fecha_Final]]-Datos[[#This Row],[Día_Inicio]])</f>
        <v>25</v>
      </c>
      <c r="R73" s="2">
        <v>442</v>
      </c>
      <c r="S73" s="2">
        <v>949</v>
      </c>
      <c r="T73" t="s">
        <v>42</v>
      </c>
    </row>
    <row r="74" spans="1:20" x14ac:dyDescent="0.25">
      <c r="A74" t="s">
        <v>233</v>
      </c>
      <c r="B74" s="1">
        <v>44948</v>
      </c>
      <c r="C74" t="s">
        <v>21</v>
      </c>
      <c r="D74">
        <v>1</v>
      </c>
      <c r="E74" t="str">
        <f>+CONCATENATE("T",ROUNDUP(MONTH(Datos[[#This Row],[Fecha]])/3,0))</f>
        <v>T1</v>
      </c>
      <c r="F74" t="str">
        <f>+CONCATENATE("Sem"," ",ROUNDUP(MONTH(Datos[[#This Row],[Fecha]])/6,0))</f>
        <v>Sem 1</v>
      </c>
      <c r="G74" t="s">
        <v>112</v>
      </c>
      <c r="H74" t="s">
        <v>113</v>
      </c>
      <c r="I74" t="s">
        <v>24</v>
      </c>
      <c r="J74" t="s">
        <v>79</v>
      </c>
      <c r="K74" t="s">
        <v>39</v>
      </c>
      <c r="L74" t="s">
        <v>40</v>
      </c>
      <c r="M74" t="s">
        <v>208</v>
      </c>
      <c r="N74" s="1">
        <v>44948</v>
      </c>
      <c r="O74" s="1">
        <v>44955</v>
      </c>
      <c r="P74" t="s">
        <v>29</v>
      </c>
      <c r="Q74">
        <f>+IF(OR(Datos[[#This Row],[Diagnostico]]="Inservible",Datos[[#This Row],[Estatus]]="Preventivo"),0,Datos[[#This Row],[Fecha_Final]]-Datos[[#This Row],[Día_Inicio]])</f>
        <v>0</v>
      </c>
      <c r="R74" s="2">
        <v>451</v>
      </c>
      <c r="S74" s="2">
        <v>580</v>
      </c>
      <c r="T74" t="s">
        <v>42</v>
      </c>
    </row>
    <row r="75" spans="1:20" x14ac:dyDescent="0.25">
      <c r="A75" t="s">
        <v>234</v>
      </c>
      <c r="B75" s="1">
        <v>44948</v>
      </c>
      <c r="C75" t="s">
        <v>21</v>
      </c>
      <c r="D75">
        <v>1</v>
      </c>
      <c r="E75" t="str">
        <f>+CONCATENATE("T",ROUNDUP(MONTH(Datos[[#This Row],[Fecha]])/3,0))</f>
        <v>T1</v>
      </c>
      <c r="F75" t="str">
        <f>+CONCATENATE("Sem"," ",ROUNDUP(MONTH(Datos[[#This Row],[Fecha]])/6,0))</f>
        <v>Sem 1</v>
      </c>
      <c r="G75" t="s">
        <v>149</v>
      </c>
      <c r="H75" t="s">
        <v>150</v>
      </c>
      <c r="I75" t="s">
        <v>68</v>
      </c>
      <c r="J75" t="s">
        <v>151</v>
      </c>
      <c r="K75" t="s">
        <v>147</v>
      </c>
      <c r="L75" t="s">
        <v>27</v>
      </c>
      <c r="M75">
        <v>0</v>
      </c>
      <c r="N75" s="1">
        <v>44948</v>
      </c>
      <c r="O75" s="1">
        <v>44959</v>
      </c>
      <c r="P75" t="s">
        <v>58</v>
      </c>
      <c r="Q75">
        <f>+IF(OR(Datos[[#This Row],[Diagnostico]]="Inservible",Datos[[#This Row],[Estatus]]="Preventivo"),0,Datos[[#This Row],[Fecha_Final]]-Datos[[#This Row],[Día_Inicio]])</f>
        <v>11</v>
      </c>
      <c r="R75" s="2">
        <v>778</v>
      </c>
      <c r="S75" s="2">
        <v>313</v>
      </c>
      <c r="T75" t="s">
        <v>91</v>
      </c>
    </row>
    <row r="76" spans="1:20" x14ac:dyDescent="0.25">
      <c r="A76" t="s">
        <v>235</v>
      </c>
      <c r="B76" s="1">
        <v>44948</v>
      </c>
      <c r="C76" t="s">
        <v>21</v>
      </c>
      <c r="D76">
        <v>1</v>
      </c>
      <c r="E76" t="str">
        <f>+CONCATENATE("T",ROUNDUP(MONTH(Datos[[#This Row],[Fecha]])/3,0))</f>
        <v>T1</v>
      </c>
      <c r="F76" t="str">
        <f>+CONCATENATE("Sem"," ",ROUNDUP(MONTH(Datos[[#This Row],[Fecha]])/6,0))</f>
        <v>Sem 1</v>
      </c>
      <c r="G76" t="s">
        <v>183</v>
      </c>
      <c r="H76" t="s">
        <v>184</v>
      </c>
      <c r="I76" t="s">
        <v>24</v>
      </c>
      <c r="J76" t="s">
        <v>139</v>
      </c>
      <c r="K76" t="s">
        <v>39</v>
      </c>
      <c r="L76" t="s">
        <v>40</v>
      </c>
      <c r="M76" t="s">
        <v>75</v>
      </c>
      <c r="N76" s="1">
        <v>44948</v>
      </c>
      <c r="O76" s="1">
        <v>45308</v>
      </c>
      <c r="P76" t="s">
        <v>29</v>
      </c>
      <c r="Q76">
        <f>+IF(OR(Datos[[#This Row],[Diagnostico]]="Inservible",Datos[[#This Row],[Estatus]]="Preventivo"),0,Datos[[#This Row],[Fecha_Final]]-Datos[[#This Row],[Día_Inicio]])</f>
        <v>0</v>
      </c>
      <c r="R76" s="2">
        <v>289</v>
      </c>
      <c r="S76" s="2">
        <v>166</v>
      </c>
      <c r="T76" t="s">
        <v>42</v>
      </c>
    </row>
    <row r="77" spans="1:20" x14ac:dyDescent="0.25">
      <c r="A77" t="s">
        <v>236</v>
      </c>
      <c r="B77" s="1">
        <v>44948</v>
      </c>
      <c r="C77" t="s">
        <v>21</v>
      </c>
      <c r="D77">
        <v>1</v>
      </c>
      <c r="E77" t="str">
        <f>+CONCATENATE("T",ROUNDUP(MONTH(Datos[[#This Row],[Fecha]])/3,0))</f>
        <v>T1</v>
      </c>
      <c r="F77" t="str">
        <f>+CONCATENATE("Sem"," ",ROUNDUP(MONTH(Datos[[#This Row],[Fecha]])/6,0))</f>
        <v>Sem 1</v>
      </c>
      <c r="G77" t="s">
        <v>237</v>
      </c>
      <c r="H77" t="s">
        <v>238</v>
      </c>
      <c r="I77" t="s">
        <v>24</v>
      </c>
      <c r="J77" t="s">
        <v>177</v>
      </c>
      <c r="K77" t="s">
        <v>63</v>
      </c>
      <c r="L77" t="s">
        <v>27</v>
      </c>
      <c r="M77">
        <v>0</v>
      </c>
      <c r="N77" s="1">
        <v>44948</v>
      </c>
      <c r="O77" s="1">
        <v>44973</v>
      </c>
      <c r="P77" t="s">
        <v>58</v>
      </c>
      <c r="Q77">
        <f>+IF(OR(Datos[[#This Row],[Diagnostico]]="Inservible",Datos[[#This Row],[Estatus]]="Preventivo"),0,Datos[[#This Row],[Fecha_Final]]-Datos[[#This Row],[Día_Inicio]])</f>
        <v>25</v>
      </c>
      <c r="R77" s="2">
        <v>529</v>
      </c>
      <c r="S77" s="2">
        <v>253</v>
      </c>
      <c r="T77" t="s">
        <v>91</v>
      </c>
    </row>
    <row r="78" spans="1:20" x14ac:dyDescent="0.25">
      <c r="A78" t="s">
        <v>239</v>
      </c>
      <c r="B78" s="1">
        <v>44948</v>
      </c>
      <c r="C78" t="s">
        <v>21</v>
      </c>
      <c r="D78">
        <v>1</v>
      </c>
      <c r="E78" t="str">
        <f>+CONCATENATE("T",ROUNDUP(MONTH(Datos[[#This Row],[Fecha]])/3,0))</f>
        <v>T1</v>
      </c>
      <c r="F78" t="str">
        <f>+CONCATENATE("Sem"," ",ROUNDUP(MONTH(Datos[[#This Row],[Fecha]])/6,0))</f>
        <v>Sem 1</v>
      </c>
      <c r="G78" t="s">
        <v>72</v>
      </c>
      <c r="H78" t="s">
        <v>73</v>
      </c>
      <c r="I78" t="s">
        <v>24</v>
      </c>
      <c r="J78" t="s">
        <v>74</v>
      </c>
      <c r="K78" t="s">
        <v>39</v>
      </c>
      <c r="L78" t="s">
        <v>40</v>
      </c>
      <c r="M78" t="s">
        <v>51</v>
      </c>
      <c r="N78" s="1">
        <v>44948</v>
      </c>
      <c r="O78" s="1">
        <v>45008</v>
      </c>
      <c r="P78" t="s">
        <v>29</v>
      </c>
      <c r="Q78">
        <f>+IF(OR(Datos[[#This Row],[Diagnostico]]="Inservible",Datos[[#This Row],[Estatus]]="Preventivo"),0,Datos[[#This Row],[Fecha_Final]]-Datos[[#This Row],[Día_Inicio]])</f>
        <v>0</v>
      </c>
      <c r="R78" s="2">
        <v>485</v>
      </c>
      <c r="S78" s="2">
        <v>327</v>
      </c>
      <c r="T78" t="s">
        <v>42</v>
      </c>
    </row>
    <row r="79" spans="1:20" x14ac:dyDescent="0.25">
      <c r="A79" t="s">
        <v>240</v>
      </c>
      <c r="B79" s="1">
        <v>44949</v>
      </c>
      <c r="C79" t="s">
        <v>21</v>
      </c>
      <c r="D79">
        <v>1</v>
      </c>
      <c r="E79" t="str">
        <f>+CONCATENATE("T",ROUNDUP(MONTH(Datos[[#This Row],[Fecha]])/3,0))</f>
        <v>T1</v>
      </c>
      <c r="F79" t="str">
        <f>+CONCATENATE("Sem"," ",ROUNDUP(MONTH(Datos[[#This Row],[Fecha]])/6,0))</f>
        <v>Sem 1</v>
      </c>
      <c r="G79" t="s">
        <v>121</v>
      </c>
      <c r="H79" t="s">
        <v>122</v>
      </c>
      <c r="I79" t="s">
        <v>24</v>
      </c>
      <c r="J79" t="s">
        <v>102</v>
      </c>
      <c r="K79" t="s">
        <v>161</v>
      </c>
      <c r="L79" t="s">
        <v>27</v>
      </c>
      <c r="M79">
        <v>0</v>
      </c>
      <c r="N79" s="1">
        <v>44949</v>
      </c>
      <c r="O79" s="1">
        <v>44973</v>
      </c>
      <c r="P79" t="s">
        <v>28</v>
      </c>
      <c r="Q79">
        <f>+IF(OR(Datos[[#This Row],[Diagnostico]]="Inservible",Datos[[#This Row],[Estatus]]="Preventivo"),0,Datos[[#This Row],[Fecha_Final]]-Datos[[#This Row],[Día_Inicio]])</f>
        <v>0</v>
      </c>
      <c r="R79" s="2">
        <v>0</v>
      </c>
      <c r="S79" s="2">
        <v>0</v>
      </c>
      <c r="T79" t="s">
        <v>29</v>
      </c>
    </row>
    <row r="80" spans="1:20" x14ac:dyDescent="0.25">
      <c r="A80" t="s">
        <v>241</v>
      </c>
      <c r="B80" s="1">
        <v>44949</v>
      </c>
      <c r="C80" t="s">
        <v>21</v>
      </c>
      <c r="D80">
        <v>1</v>
      </c>
      <c r="E80" t="str">
        <f>+CONCATENATE("T",ROUNDUP(MONTH(Datos[[#This Row],[Fecha]])/3,0))</f>
        <v>T1</v>
      </c>
      <c r="F80" t="str">
        <f>+CONCATENATE("Sem"," ",ROUNDUP(MONTH(Datos[[#This Row],[Fecha]])/6,0))</f>
        <v>Sem 1</v>
      </c>
      <c r="G80" t="s">
        <v>202</v>
      </c>
      <c r="H80" t="s">
        <v>203</v>
      </c>
      <c r="I80" t="s">
        <v>24</v>
      </c>
      <c r="J80" t="s">
        <v>204</v>
      </c>
      <c r="K80" t="s">
        <v>39</v>
      </c>
      <c r="L80" t="s">
        <v>40</v>
      </c>
      <c r="M80" t="s">
        <v>41</v>
      </c>
      <c r="N80" s="1">
        <v>44949</v>
      </c>
      <c r="O80" s="1">
        <v>45039</v>
      </c>
      <c r="P80" t="s">
        <v>29</v>
      </c>
      <c r="Q80">
        <f>+IF(OR(Datos[[#This Row],[Diagnostico]]="Inservible",Datos[[#This Row],[Estatus]]="Preventivo"),0,Datos[[#This Row],[Fecha_Final]]-Datos[[#This Row],[Día_Inicio]])</f>
        <v>0</v>
      </c>
      <c r="R80" s="2">
        <v>478</v>
      </c>
      <c r="S80" s="2">
        <v>539</v>
      </c>
      <c r="T80" t="s">
        <v>42</v>
      </c>
    </row>
    <row r="81" spans="1:20" x14ac:dyDescent="0.25">
      <c r="A81" t="s">
        <v>242</v>
      </c>
      <c r="B81" s="1">
        <v>44950</v>
      </c>
      <c r="C81" t="s">
        <v>21</v>
      </c>
      <c r="D81">
        <v>1</v>
      </c>
      <c r="E81" t="str">
        <f>+CONCATENATE("T",ROUNDUP(MONTH(Datos[[#This Row],[Fecha]])/3,0))</f>
        <v>T1</v>
      </c>
      <c r="F81" t="str">
        <f>+CONCATENATE("Sem"," ",ROUNDUP(MONTH(Datos[[#This Row],[Fecha]])/6,0))</f>
        <v>Sem 1</v>
      </c>
      <c r="G81" t="s">
        <v>77</v>
      </c>
      <c r="H81" t="s">
        <v>78</v>
      </c>
      <c r="I81" t="s">
        <v>24</v>
      </c>
      <c r="J81" t="s">
        <v>79</v>
      </c>
      <c r="K81" t="s">
        <v>85</v>
      </c>
      <c r="L81" t="s">
        <v>27</v>
      </c>
      <c r="M81">
        <v>0</v>
      </c>
      <c r="N81" s="1">
        <v>44950</v>
      </c>
      <c r="O81" s="1">
        <v>44974</v>
      </c>
      <c r="P81" t="s">
        <v>28</v>
      </c>
      <c r="Q81">
        <f>+IF(OR(Datos[[#This Row],[Diagnostico]]="Inservible",Datos[[#This Row],[Estatus]]="Preventivo"),0,Datos[[#This Row],[Fecha_Final]]-Datos[[#This Row],[Día_Inicio]])</f>
        <v>0</v>
      </c>
      <c r="R81" s="2">
        <v>0</v>
      </c>
      <c r="S81" s="2">
        <v>0</v>
      </c>
      <c r="T81" t="s">
        <v>29</v>
      </c>
    </row>
    <row r="82" spans="1:20" x14ac:dyDescent="0.25">
      <c r="A82" t="s">
        <v>243</v>
      </c>
      <c r="B82" s="1">
        <v>44950</v>
      </c>
      <c r="C82" t="s">
        <v>21</v>
      </c>
      <c r="D82">
        <v>1</v>
      </c>
      <c r="E82" t="str">
        <f>+CONCATENATE("T",ROUNDUP(MONTH(Datos[[#This Row],[Fecha]])/3,0))</f>
        <v>T1</v>
      </c>
      <c r="F82" t="str">
        <f>+CONCATENATE("Sem"," ",ROUNDUP(MONTH(Datos[[#This Row],[Fecha]])/6,0))</f>
        <v>Sem 1</v>
      </c>
      <c r="G82" t="s">
        <v>237</v>
      </c>
      <c r="H82" t="s">
        <v>238</v>
      </c>
      <c r="I82" t="s">
        <v>24</v>
      </c>
      <c r="J82" t="s">
        <v>177</v>
      </c>
      <c r="K82" t="s">
        <v>90</v>
      </c>
      <c r="L82" t="s">
        <v>27</v>
      </c>
      <c r="M82">
        <v>0</v>
      </c>
      <c r="N82" s="1">
        <v>44950</v>
      </c>
      <c r="O82" s="1">
        <v>44975</v>
      </c>
      <c r="P82" t="s">
        <v>28</v>
      </c>
      <c r="Q82">
        <f>+IF(OR(Datos[[#This Row],[Diagnostico]]="Inservible",Datos[[#This Row],[Estatus]]="Preventivo"),0,Datos[[#This Row],[Fecha_Final]]-Datos[[#This Row],[Día_Inicio]])</f>
        <v>0</v>
      </c>
      <c r="R82" s="2">
        <v>0</v>
      </c>
      <c r="S82" s="2">
        <v>0</v>
      </c>
      <c r="T82" t="s">
        <v>29</v>
      </c>
    </row>
    <row r="83" spans="1:20" x14ac:dyDescent="0.25">
      <c r="A83" t="s">
        <v>244</v>
      </c>
      <c r="B83" s="1">
        <v>44951</v>
      </c>
      <c r="C83" t="s">
        <v>21</v>
      </c>
      <c r="D83">
        <v>1</v>
      </c>
      <c r="E83" t="str">
        <f>+CONCATENATE("T",ROUNDUP(MONTH(Datos[[#This Row],[Fecha]])/3,0))</f>
        <v>T1</v>
      </c>
      <c r="F83" t="str">
        <f>+CONCATENATE("Sem"," ",ROUNDUP(MONTH(Datos[[#This Row],[Fecha]])/6,0))</f>
        <v>Sem 1</v>
      </c>
      <c r="G83" t="s">
        <v>158</v>
      </c>
      <c r="H83" t="s">
        <v>159</v>
      </c>
      <c r="I83" t="s">
        <v>101</v>
      </c>
      <c r="J83" t="s">
        <v>160</v>
      </c>
      <c r="K83" t="s">
        <v>172</v>
      </c>
      <c r="L83" t="s">
        <v>27</v>
      </c>
      <c r="M83">
        <v>0</v>
      </c>
      <c r="N83" s="1">
        <v>44951</v>
      </c>
      <c r="O83" s="1">
        <v>44964</v>
      </c>
      <c r="P83" t="s">
        <v>28</v>
      </c>
      <c r="Q83">
        <f>+IF(OR(Datos[[#This Row],[Diagnostico]]="Inservible",Datos[[#This Row],[Estatus]]="Preventivo"),0,Datos[[#This Row],[Fecha_Final]]-Datos[[#This Row],[Día_Inicio]])</f>
        <v>0</v>
      </c>
      <c r="R83" s="2">
        <v>0</v>
      </c>
      <c r="S83" s="2">
        <v>0</v>
      </c>
      <c r="T83" t="s">
        <v>29</v>
      </c>
    </row>
    <row r="84" spans="1:20" x14ac:dyDescent="0.25">
      <c r="A84" t="s">
        <v>245</v>
      </c>
      <c r="B84" s="1">
        <v>44951</v>
      </c>
      <c r="C84" t="s">
        <v>21</v>
      </c>
      <c r="D84">
        <v>1</v>
      </c>
      <c r="E84" t="str">
        <f>+CONCATENATE("T",ROUNDUP(MONTH(Datos[[#This Row],[Fecha]])/3,0))</f>
        <v>T1</v>
      </c>
      <c r="F84" t="str">
        <f>+CONCATENATE("Sem"," ",ROUNDUP(MONTH(Datos[[#This Row],[Fecha]])/6,0))</f>
        <v>Sem 1</v>
      </c>
      <c r="G84" t="s">
        <v>246</v>
      </c>
      <c r="H84" t="s">
        <v>247</v>
      </c>
      <c r="I84" t="s">
        <v>24</v>
      </c>
      <c r="J84" t="s">
        <v>156</v>
      </c>
      <c r="K84" t="s">
        <v>39</v>
      </c>
      <c r="L84" t="s">
        <v>40</v>
      </c>
      <c r="M84" t="s">
        <v>41</v>
      </c>
      <c r="N84" s="1">
        <v>44951</v>
      </c>
      <c r="O84" s="1">
        <v>45041</v>
      </c>
      <c r="P84" t="s">
        <v>29</v>
      </c>
      <c r="Q84">
        <f>+IF(OR(Datos[[#This Row],[Diagnostico]]="Inservible",Datos[[#This Row],[Estatus]]="Preventivo"),0,Datos[[#This Row],[Fecha_Final]]-Datos[[#This Row],[Día_Inicio]])</f>
        <v>0</v>
      </c>
      <c r="R84" s="2">
        <v>743</v>
      </c>
      <c r="S84" s="2">
        <v>600</v>
      </c>
      <c r="T84" t="s">
        <v>42</v>
      </c>
    </row>
    <row r="85" spans="1:20" x14ac:dyDescent="0.25">
      <c r="A85" t="s">
        <v>248</v>
      </c>
      <c r="B85" s="1">
        <v>44951</v>
      </c>
      <c r="C85" t="s">
        <v>21</v>
      </c>
      <c r="D85">
        <v>1</v>
      </c>
      <c r="E85" t="str">
        <f>+CONCATENATE("T",ROUNDUP(MONTH(Datos[[#This Row],[Fecha]])/3,0))</f>
        <v>T1</v>
      </c>
      <c r="F85" t="str">
        <f>+CONCATENATE("Sem"," ",ROUNDUP(MONTH(Datos[[#This Row],[Fecha]])/6,0))</f>
        <v>Sem 1</v>
      </c>
      <c r="G85" t="s">
        <v>154</v>
      </c>
      <c r="H85" t="s">
        <v>155</v>
      </c>
      <c r="I85" t="s">
        <v>68</v>
      </c>
      <c r="J85" t="s">
        <v>156</v>
      </c>
      <c r="K85" t="s">
        <v>178</v>
      </c>
      <c r="L85" t="s">
        <v>27</v>
      </c>
      <c r="M85">
        <v>0</v>
      </c>
      <c r="N85" s="1">
        <v>44951</v>
      </c>
      <c r="O85" s="1">
        <v>44970</v>
      </c>
      <c r="P85" t="s">
        <v>28</v>
      </c>
      <c r="Q85">
        <f>+IF(OR(Datos[[#This Row],[Diagnostico]]="Inservible",Datos[[#This Row],[Estatus]]="Preventivo"),0,Datos[[#This Row],[Fecha_Final]]-Datos[[#This Row],[Día_Inicio]])</f>
        <v>0</v>
      </c>
      <c r="R85" s="2">
        <v>0</v>
      </c>
      <c r="S85" s="2">
        <v>0</v>
      </c>
      <c r="T85" t="s">
        <v>29</v>
      </c>
    </row>
    <row r="86" spans="1:20" x14ac:dyDescent="0.25">
      <c r="A86" t="s">
        <v>249</v>
      </c>
      <c r="B86" s="1">
        <v>44953</v>
      </c>
      <c r="C86" t="s">
        <v>21</v>
      </c>
      <c r="D86">
        <v>1</v>
      </c>
      <c r="E86" t="str">
        <f>+CONCATENATE("T",ROUNDUP(MONTH(Datos[[#This Row],[Fecha]])/3,0))</f>
        <v>T1</v>
      </c>
      <c r="F86" t="str">
        <f>+CONCATENATE("Sem"," ",ROUNDUP(MONTH(Datos[[#This Row],[Fecha]])/6,0))</f>
        <v>Sem 1</v>
      </c>
      <c r="G86" t="s">
        <v>105</v>
      </c>
      <c r="H86" t="s">
        <v>106</v>
      </c>
      <c r="I86" t="s">
        <v>24</v>
      </c>
      <c r="J86" t="s">
        <v>107</v>
      </c>
      <c r="K86" t="s">
        <v>108</v>
      </c>
      <c r="L86" t="s">
        <v>27</v>
      </c>
      <c r="M86">
        <v>0</v>
      </c>
      <c r="N86" s="1">
        <v>44953</v>
      </c>
      <c r="O86" s="1">
        <v>44964</v>
      </c>
      <c r="P86" t="s">
        <v>28</v>
      </c>
      <c r="Q86">
        <f>+IF(OR(Datos[[#This Row],[Diagnostico]]="Inservible",Datos[[#This Row],[Estatus]]="Preventivo"),0,Datos[[#This Row],[Fecha_Final]]-Datos[[#This Row],[Día_Inicio]])</f>
        <v>0</v>
      </c>
      <c r="R86" s="2">
        <v>0</v>
      </c>
      <c r="S86" s="2">
        <v>0</v>
      </c>
      <c r="T86" t="s">
        <v>29</v>
      </c>
    </row>
    <row r="87" spans="1:20" x14ac:dyDescent="0.25">
      <c r="A87" t="s">
        <v>250</v>
      </c>
      <c r="B87" s="1">
        <v>44954</v>
      </c>
      <c r="C87" t="s">
        <v>21</v>
      </c>
      <c r="D87">
        <v>1</v>
      </c>
      <c r="E87" t="str">
        <f>+CONCATENATE("T",ROUNDUP(MONTH(Datos[[#This Row],[Fecha]])/3,0))</f>
        <v>T1</v>
      </c>
      <c r="F87" t="str">
        <f>+CONCATENATE("Sem"," ",ROUNDUP(MONTH(Datos[[#This Row],[Fecha]])/6,0))</f>
        <v>Sem 1</v>
      </c>
      <c r="G87" t="s">
        <v>87</v>
      </c>
      <c r="H87" t="s">
        <v>88</v>
      </c>
      <c r="I87" t="s">
        <v>68</v>
      </c>
      <c r="J87" t="s">
        <v>89</v>
      </c>
      <c r="K87" t="s">
        <v>110</v>
      </c>
      <c r="L87" t="s">
        <v>27</v>
      </c>
      <c r="M87">
        <v>0</v>
      </c>
      <c r="N87" s="1">
        <v>44954</v>
      </c>
      <c r="O87" s="1">
        <v>44976</v>
      </c>
      <c r="P87" t="s">
        <v>58</v>
      </c>
      <c r="Q87">
        <f>+IF(OR(Datos[[#This Row],[Diagnostico]]="Inservible",Datos[[#This Row],[Estatus]]="Preventivo"),0,Datos[[#This Row],[Fecha_Final]]-Datos[[#This Row],[Día_Inicio]])</f>
        <v>22</v>
      </c>
      <c r="R87" s="2">
        <v>1130</v>
      </c>
      <c r="S87" s="2">
        <v>940</v>
      </c>
      <c r="T87" t="s">
        <v>91</v>
      </c>
    </row>
    <row r="88" spans="1:20" x14ac:dyDescent="0.25">
      <c r="A88" t="s">
        <v>251</v>
      </c>
      <c r="B88" s="1">
        <v>44954</v>
      </c>
      <c r="C88" t="s">
        <v>21</v>
      </c>
      <c r="D88">
        <v>1</v>
      </c>
      <c r="E88" t="str">
        <f>+CONCATENATE("T",ROUNDUP(MONTH(Datos[[#This Row],[Fecha]])/3,0))</f>
        <v>T1</v>
      </c>
      <c r="F88" t="str">
        <f>+CONCATENATE("Sem"," ",ROUNDUP(MONTH(Datos[[#This Row],[Fecha]])/6,0))</f>
        <v>Sem 1</v>
      </c>
      <c r="G88" t="s">
        <v>44</v>
      </c>
      <c r="H88" t="s">
        <v>45</v>
      </c>
      <c r="I88" t="s">
        <v>24</v>
      </c>
      <c r="J88" t="s">
        <v>46</v>
      </c>
      <c r="K88" t="s">
        <v>114</v>
      </c>
      <c r="L88" t="s">
        <v>27</v>
      </c>
      <c r="M88">
        <v>0</v>
      </c>
      <c r="N88" s="1">
        <v>44954</v>
      </c>
      <c r="O88" s="1">
        <v>44970</v>
      </c>
      <c r="P88" t="s">
        <v>58</v>
      </c>
      <c r="Q88">
        <f>+IF(OR(Datos[[#This Row],[Diagnostico]]="Inservible",Datos[[#This Row],[Estatus]]="Preventivo"),0,Datos[[#This Row],[Fecha_Final]]-Datos[[#This Row],[Día_Inicio]])</f>
        <v>16</v>
      </c>
      <c r="R88" s="2">
        <v>428</v>
      </c>
      <c r="S88" s="2">
        <v>488</v>
      </c>
      <c r="T88" t="s">
        <v>59</v>
      </c>
    </row>
    <row r="89" spans="1:20" x14ac:dyDescent="0.25">
      <c r="A89" t="s">
        <v>252</v>
      </c>
      <c r="B89" s="1">
        <v>44954</v>
      </c>
      <c r="C89" t="s">
        <v>21</v>
      </c>
      <c r="D89">
        <v>1</v>
      </c>
      <c r="E89" t="str">
        <f>+CONCATENATE("T",ROUNDUP(MONTH(Datos[[#This Row],[Fecha]])/3,0))</f>
        <v>T1</v>
      </c>
      <c r="F89" t="str">
        <f>+CONCATENATE("Sem"," ",ROUNDUP(MONTH(Datos[[#This Row],[Fecha]])/6,0))</f>
        <v>Sem 1</v>
      </c>
      <c r="G89" t="s">
        <v>137</v>
      </c>
      <c r="H89" t="s">
        <v>138</v>
      </c>
      <c r="I89" t="s">
        <v>68</v>
      </c>
      <c r="J89" t="s">
        <v>139</v>
      </c>
      <c r="K89" t="s">
        <v>119</v>
      </c>
      <c r="L89" t="s">
        <v>27</v>
      </c>
      <c r="M89">
        <v>0</v>
      </c>
      <c r="N89" s="1">
        <v>44954</v>
      </c>
      <c r="O89" s="1">
        <v>44970</v>
      </c>
      <c r="P89" t="s">
        <v>58</v>
      </c>
      <c r="Q89">
        <f>+IF(OR(Datos[[#This Row],[Diagnostico]]="Inservible",Datos[[#This Row],[Estatus]]="Preventivo"),0,Datos[[#This Row],[Fecha_Final]]-Datos[[#This Row],[Día_Inicio]])</f>
        <v>16</v>
      </c>
      <c r="R89" s="2">
        <v>559</v>
      </c>
      <c r="S89" s="2">
        <v>698</v>
      </c>
      <c r="T89" t="s">
        <v>64</v>
      </c>
    </row>
    <row r="90" spans="1:20" x14ac:dyDescent="0.25">
      <c r="A90" t="s">
        <v>253</v>
      </c>
      <c r="B90" s="1">
        <v>44955</v>
      </c>
      <c r="C90" t="s">
        <v>21</v>
      </c>
      <c r="D90">
        <v>1</v>
      </c>
      <c r="E90" t="str">
        <f>+CONCATENATE("T",ROUNDUP(MONTH(Datos[[#This Row],[Fecha]])/3,0))</f>
        <v>T1</v>
      </c>
      <c r="F90" t="str">
        <f>+CONCATENATE("Sem"," ",ROUNDUP(MONTH(Datos[[#This Row],[Fecha]])/6,0))</f>
        <v>Sem 1</v>
      </c>
      <c r="G90" t="s">
        <v>82</v>
      </c>
      <c r="H90" t="s">
        <v>83</v>
      </c>
      <c r="I90" t="s">
        <v>24</v>
      </c>
      <c r="J90" t="s">
        <v>84</v>
      </c>
      <c r="K90" t="s">
        <v>39</v>
      </c>
      <c r="L90" t="s">
        <v>40</v>
      </c>
      <c r="M90" t="s">
        <v>41</v>
      </c>
      <c r="N90" s="1">
        <v>44955</v>
      </c>
      <c r="O90" s="1">
        <v>45045</v>
      </c>
      <c r="P90" t="s">
        <v>29</v>
      </c>
      <c r="Q90">
        <f>+IF(OR(Datos[[#This Row],[Diagnostico]]="Inservible",Datos[[#This Row],[Estatus]]="Preventivo"),0,Datos[[#This Row],[Fecha_Final]]-Datos[[#This Row],[Día_Inicio]])</f>
        <v>0</v>
      </c>
      <c r="R90" s="2">
        <v>268</v>
      </c>
      <c r="S90" s="2">
        <v>966</v>
      </c>
      <c r="T90" t="s">
        <v>42</v>
      </c>
    </row>
    <row r="91" spans="1:20" x14ac:dyDescent="0.25">
      <c r="A91" t="s">
        <v>254</v>
      </c>
      <c r="B91" s="1">
        <v>44955</v>
      </c>
      <c r="C91" t="s">
        <v>21</v>
      </c>
      <c r="D91">
        <v>1</v>
      </c>
      <c r="E91" t="str">
        <f>+CONCATENATE("T",ROUNDUP(MONTH(Datos[[#This Row],[Fecha]])/3,0))</f>
        <v>T1</v>
      </c>
      <c r="F91" t="str">
        <f>+CONCATENATE("Sem"," ",ROUNDUP(MONTH(Datos[[#This Row],[Fecha]])/6,0))</f>
        <v>Sem 1</v>
      </c>
      <c r="G91" t="s">
        <v>225</v>
      </c>
      <c r="H91" t="s">
        <v>226</v>
      </c>
      <c r="I91" t="s">
        <v>227</v>
      </c>
      <c r="J91" t="s">
        <v>89</v>
      </c>
      <c r="K91" t="s">
        <v>128</v>
      </c>
      <c r="L91" t="s">
        <v>27</v>
      </c>
      <c r="M91">
        <v>0</v>
      </c>
      <c r="N91" s="1">
        <v>44955</v>
      </c>
      <c r="O91" s="1">
        <v>44982</v>
      </c>
      <c r="P91" t="s">
        <v>58</v>
      </c>
      <c r="Q91">
        <f>+IF(OR(Datos[[#This Row],[Diagnostico]]="Inservible",Datos[[#This Row],[Estatus]]="Preventivo"),0,Datos[[#This Row],[Fecha_Final]]-Datos[[#This Row],[Día_Inicio]])</f>
        <v>27</v>
      </c>
      <c r="R91" s="2">
        <v>632</v>
      </c>
      <c r="S91" s="2">
        <v>918</v>
      </c>
      <c r="T91" t="s">
        <v>91</v>
      </c>
    </row>
    <row r="92" spans="1:20" x14ac:dyDescent="0.25">
      <c r="A92" t="s">
        <v>255</v>
      </c>
      <c r="B92" s="1">
        <v>44956</v>
      </c>
      <c r="C92" t="s">
        <v>21</v>
      </c>
      <c r="D92">
        <v>1</v>
      </c>
      <c r="E92" t="str">
        <f>+CONCATENATE("T",ROUNDUP(MONTH(Datos[[#This Row],[Fecha]])/3,0))</f>
        <v>T1</v>
      </c>
      <c r="F92" t="str">
        <f>+CONCATENATE("Sem"," ",ROUNDUP(MONTH(Datos[[#This Row],[Fecha]])/6,0))</f>
        <v>Sem 1</v>
      </c>
      <c r="G92" t="s">
        <v>206</v>
      </c>
      <c r="H92" t="s">
        <v>207</v>
      </c>
      <c r="I92" t="s">
        <v>24</v>
      </c>
      <c r="J92" t="s">
        <v>160</v>
      </c>
      <c r="K92" t="s">
        <v>39</v>
      </c>
      <c r="L92" t="s">
        <v>40</v>
      </c>
      <c r="M92" t="s">
        <v>208</v>
      </c>
      <c r="N92" s="1">
        <v>44956</v>
      </c>
      <c r="O92" s="1">
        <v>44963</v>
      </c>
      <c r="P92" t="s">
        <v>29</v>
      </c>
      <c r="Q92">
        <f>+IF(OR(Datos[[#This Row],[Diagnostico]]="Inservible",Datos[[#This Row],[Estatus]]="Preventivo"),0,Datos[[#This Row],[Fecha_Final]]-Datos[[#This Row],[Día_Inicio]])</f>
        <v>0</v>
      </c>
      <c r="R92" s="2">
        <v>1072</v>
      </c>
      <c r="S92" s="2">
        <v>499</v>
      </c>
      <c r="T92" t="s">
        <v>42</v>
      </c>
    </row>
    <row r="93" spans="1:20" x14ac:dyDescent="0.25">
      <c r="A93" t="s">
        <v>256</v>
      </c>
      <c r="B93" s="1">
        <v>44956</v>
      </c>
      <c r="C93" t="s">
        <v>21</v>
      </c>
      <c r="D93">
        <v>1</v>
      </c>
      <c r="E93" t="str">
        <f>+CONCATENATE("T",ROUNDUP(MONTH(Datos[[#This Row],[Fecha]])/3,0))</f>
        <v>T1</v>
      </c>
      <c r="F93" t="str">
        <f>+CONCATENATE("Sem"," ",ROUNDUP(MONTH(Datos[[#This Row],[Fecha]])/6,0))</f>
        <v>Sem 1</v>
      </c>
      <c r="G93" t="s">
        <v>257</v>
      </c>
      <c r="H93" t="s">
        <v>258</v>
      </c>
      <c r="I93" t="s">
        <v>24</v>
      </c>
      <c r="J93" t="s">
        <v>204</v>
      </c>
      <c r="K93" t="s">
        <v>135</v>
      </c>
      <c r="L93" t="s">
        <v>27</v>
      </c>
      <c r="M93">
        <v>0</v>
      </c>
      <c r="N93" s="1">
        <v>44956</v>
      </c>
      <c r="O93" s="1">
        <v>44985</v>
      </c>
      <c r="P93" t="s">
        <v>28</v>
      </c>
      <c r="Q93">
        <f>+IF(OR(Datos[[#This Row],[Diagnostico]]="Inservible",Datos[[#This Row],[Estatus]]="Preventivo"),0,Datos[[#This Row],[Fecha_Final]]-Datos[[#This Row],[Día_Inicio]])</f>
        <v>0</v>
      </c>
      <c r="R93" s="2">
        <v>0</v>
      </c>
      <c r="S93" s="2">
        <v>0</v>
      </c>
      <c r="T93" t="s">
        <v>29</v>
      </c>
    </row>
    <row r="94" spans="1:20" x14ac:dyDescent="0.25">
      <c r="A94" t="s">
        <v>259</v>
      </c>
      <c r="B94" s="1">
        <v>44956</v>
      </c>
      <c r="C94" t="s">
        <v>21</v>
      </c>
      <c r="D94">
        <v>1</v>
      </c>
      <c r="E94" t="str">
        <f>+CONCATENATE("T",ROUNDUP(MONTH(Datos[[#This Row],[Fecha]])/3,0))</f>
        <v>T1</v>
      </c>
      <c r="F94" t="str">
        <f>+CONCATENATE("Sem"," ",ROUNDUP(MONTH(Datos[[#This Row],[Fecha]])/6,0))</f>
        <v>Sem 1</v>
      </c>
      <c r="G94" t="s">
        <v>260</v>
      </c>
      <c r="H94" t="s">
        <v>261</v>
      </c>
      <c r="I94" t="s">
        <v>24</v>
      </c>
      <c r="J94" t="s">
        <v>33</v>
      </c>
      <c r="K94" t="s">
        <v>26</v>
      </c>
      <c r="L94" t="s">
        <v>27</v>
      </c>
      <c r="M94">
        <v>0</v>
      </c>
      <c r="N94" s="1">
        <v>44956</v>
      </c>
      <c r="O94" s="1">
        <v>44984</v>
      </c>
      <c r="P94" t="s">
        <v>58</v>
      </c>
      <c r="Q94">
        <f>+IF(OR(Datos[[#This Row],[Diagnostico]]="Inservible",Datos[[#This Row],[Estatus]]="Preventivo"),0,Datos[[#This Row],[Fecha_Final]]-Datos[[#This Row],[Día_Inicio]])</f>
        <v>28</v>
      </c>
      <c r="R94" s="2">
        <v>690</v>
      </c>
      <c r="S94" s="2">
        <v>215</v>
      </c>
      <c r="T94" t="s">
        <v>91</v>
      </c>
    </row>
    <row r="95" spans="1:20" x14ac:dyDescent="0.25">
      <c r="A95" t="s">
        <v>262</v>
      </c>
      <c r="B95" s="1">
        <v>44957</v>
      </c>
      <c r="C95" t="s">
        <v>21</v>
      </c>
      <c r="D95">
        <v>1</v>
      </c>
      <c r="E95" t="str">
        <f>+CONCATENATE("T",ROUNDUP(MONTH(Datos[[#This Row],[Fecha]])/3,0))</f>
        <v>T1</v>
      </c>
      <c r="F95" t="str">
        <f>+CONCATENATE("Sem"," ",ROUNDUP(MONTH(Datos[[#This Row],[Fecha]])/6,0))</f>
        <v>Sem 1</v>
      </c>
      <c r="G95" t="s">
        <v>206</v>
      </c>
      <c r="H95" t="s">
        <v>207</v>
      </c>
      <c r="I95" t="s">
        <v>24</v>
      </c>
      <c r="J95" t="s">
        <v>160</v>
      </c>
      <c r="K95" t="s">
        <v>34</v>
      </c>
      <c r="L95" t="s">
        <v>27</v>
      </c>
      <c r="M95">
        <v>0</v>
      </c>
      <c r="N95" s="1">
        <v>44957</v>
      </c>
      <c r="O95" s="1">
        <v>44966</v>
      </c>
      <c r="P95" t="s">
        <v>58</v>
      </c>
      <c r="Q95">
        <f>+IF(OR(Datos[[#This Row],[Diagnostico]]="Inservible",Datos[[#This Row],[Estatus]]="Preventivo"),0,Datos[[#This Row],[Fecha_Final]]-Datos[[#This Row],[Día_Inicio]])</f>
        <v>9</v>
      </c>
      <c r="R95" s="2">
        <v>1108</v>
      </c>
      <c r="S95" s="2">
        <v>806</v>
      </c>
      <c r="T95" t="s">
        <v>91</v>
      </c>
    </row>
    <row r="96" spans="1:20" x14ac:dyDescent="0.25">
      <c r="A96" t="s">
        <v>263</v>
      </c>
      <c r="B96" s="1">
        <v>44957</v>
      </c>
      <c r="C96" t="s">
        <v>21</v>
      </c>
      <c r="D96">
        <v>1</v>
      </c>
      <c r="E96" t="str">
        <f>+CONCATENATE("T",ROUNDUP(MONTH(Datos[[#This Row],[Fecha]])/3,0))</f>
        <v>T1</v>
      </c>
      <c r="F96" t="str">
        <f>+CONCATENATE("Sem"," ",ROUNDUP(MONTH(Datos[[#This Row],[Fecha]])/6,0))</f>
        <v>Sem 1</v>
      </c>
      <c r="G96" t="s">
        <v>72</v>
      </c>
      <c r="H96" t="s">
        <v>73</v>
      </c>
      <c r="I96" t="s">
        <v>24</v>
      </c>
      <c r="J96" t="s">
        <v>74</v>
      </c>
      <c r="K96" t="s">
        <v>39</v>
      </c>
      <c r="L96" t="s">
        <v>27</v>
      </c>
      <c r="M96">
        <v>0</v>
      </c>
      <c r="N96" s="1">
        <v>44957</v>
      </c>
      <c r="O96" s="1">
        <v>44986</v>
      </c>
      <c r="P96" t="s">
        <v>58</v>
      </c>
      <c r="Q96">
        <f>+IF(OR(Datos[[#This Row],[Diagnostico]]="Inservible",Datos[[#This Row],[Estatus]]="Preventivo"),0,Datos[[#This Row],[Fecha_Final]]-Datos[[#This Row],[Día_Inicio]])</f>
        <v>29</v>
      </c>
      <c r="R96" s="2">
        <v>656</v>
      </c>
      <c r="S96" s="2">
        <v>191</v>
      </c>
      <c r="T96" t="s">
        <v>91</v>
      </c>
    </row>
    <row r="97" spans="1:20" x14ac:dyDescent="0.25">
      <c r="A97" t="s">
        <v>264</v>
      </c>
      <c r="B97" s="1">
        <v>44957</v>
      </c>
      <c r="C97" t="s">
        <v>21</v>
      </c>
      <c r="D97">
        <v>1</v>
      </c>
      <c r="E97" t="str">
        <f>+CONCATENATE("T",ROUNDUP(MONTH(Datos[[#This Row],[Fecha]])/3,0))</f>
        <v>T1</v>
      </c>
      <c r="F97" t="str">
        <f>+CONCATENATE("Sem"," ",ROUNDUP(MONTH(Datos[[#This Row],[Fecha]])/6,0))</f>
        <v>Sem 1</v>
      </c>
      <c r="G97" t="s">
        <v>36</v>
      </c>
      <c r="H97" t="s">
        <v>37</v>
      </c>
      <c r="I97" t="s">
        <v>24</v>
      </c>
      <c r="J97" t="s">
        <v>38</v>
      </c>
      <c r="K97" t="s">
        <v>47</v>
      </c>
      <c r="L97" t="s">
        <v>27</v>
      </c>
      <c r="M97">
        <v>0</v>
      </c>
      <c r="N97" s="1">
        <v>44957</v>
      </c>
      <c r="O97" s="1">
        <v>44980</v>
      </c>
      <c r="P97" t="s">
        <v>28</v>
      </c>
      <c r="Q97">
        <f>+IF(OR(Datos[[#This Row],[Diagnostico]]="Inservible",Datos[[#This Row],[Estatus]]="Preventivo"),0,Datos[[#This Row],[Fecha_Final]]-Datos[[#This Row],[Día_Inicio]])</f>
        <v>0</v>
      </c>
      <c r="R97" s="2">
        <v>0</v>
      </c>
      <c r="S97" s="2">
        <v>0</v>
      </c>
      <c r="T97" t="s">
        <v>29</v>
      </c>
    </row>
    <row r="98" spans="1:20" x14ac:dyDescent="0.25">
      <c r="A98" t="s">
        <v>265</v>
      </c>
      <c r="B98" s="1">
        <v>44958</v>
      </c>
      <c r="C98" t="s">
        <v>266</v>
      </c>
      <c r="D98">
        <v>2</v>
      </c>
      <c r="E98" t="str">
        <f>+CONCATENATE("T",ROUNDUP(MONTH(Datos[[#This Row],[Fecha]])/3,0))</f>
        <v>T1</v>
      </c>
      <c r="F98" t="str">
        <f>+CONCATENATE("Sem"," ",ROUNDUP(MONTH(Datos[[#This Row],[Fecha]])/6,0))</f>
        <v>Sem 1</v>
      </c>
      <c r="G98" t="s">
        <v>141</v>
      </c>
      <c r="H98" t="s">
        <v>142</v>
      </c>
      <c r="I98" t="s">
        <v>24</v>
      </c>
      <c r="J98" t="s">
        <v>143</v>
      </c>
      <c r="K98" t="s">
        <v>39</v>
      </c>
      <c r="L98" t="s">
        <v>40</v>
      </c>
      <c r="M98" t="s">
        <v>41</v>
      </c>
      <c r="N98" s="1">
        <v>44958</v>
      </c>
      <c r="O98" s="1">
        <v>45048</v>
      </c>
      <c r="P98" t="s">
        <v>29</v>
      </c>
      <c r="Q98">
        <f>+IF(OR(Datos[[#This Row],[Diagnostico]]="Inservible",Datos[[#This Row],[Estatus]]="Preventivo"),0,Datos[[#This Row],[Fecha_Final]]-Datos[[#This Row],[Día_Inicio]])</f>
        <v>0</v>
      </c>
      <c r="R98" s="2">
        <v>763</v>
      </c>
      <c r="S98" s="2">
        <v>295</v>
      </c>
      <c r="T98" t="s">
        <v>42</v>
      </c>
    </row>
    <row r="99" spans="1:20" x14ac:dyDescent="0.25">
      <c r="A99" t="s">
        <v>267</v>
      </c>
      <c r="B99" s="1">
        <v>44958</v>
      </c>
      <c r="C99" t="s">
        <v>266</v>
      </c>
      <c r="D99">
        <v>2</v>
      </c>
      <c r="E99" t="str">
        <f>+CONCATENATE("T",ROUNDUP(MONTH(Datos[[#This Row],[Fecha]])/3,0))</f>
        <v>T1</v>
      </c>
      <c r="F99" t="str">
        <f>+CONCATENATE("Sem"," ",ROUNDUP(MONTH(Datos[[#This Row],[Fecha]])/6,0))</f>
        <v>Sem 1</v>
      </c>
      <c r="G99" t="s">
        <v>190</v>
      </c>
      <c r="H99" t="s">
        <v>191</v>
      </c>
      <c r="I99" t="s">
        <v>24</v>
      </c>
      <c r="J99" t="s">
        <v>192</v>
      </c>
      <c r="K99" t="s">
        <v>57</v>
      </c>
      <c r="L99" t="s">
        <v>27</v>
      </c>
      <c r="M99">
        <v>0</v>
      </c>
      <c r="N99" s="1">
        <v>44958</v>
      </c>
      <c r="O99" s="1">
        <v>44973</v>
      </c>
      <c r="P99" t="s">
        <v>28</v>
      </c>
      <c r="Q99">
        <f>+IF(OR(Datos[[#This Row],[Diagnostico]]="Inservible",Datos[[#This Row],[Estatus]]="Preventivo"),0,Datos[[#This Row],[Fecha_Final]]-Datos[[#This Row],[Día_Inicio]])</f>
        <v>0</v>
      </c>
      <c r="R99" s="2">
        <v>0</v>
      </c>
      <c r="S99" s="2">
        <v>0</v>
      </c>
      <c r="T99" t="s">
        <v>29</v>
      </c>
    </row>
    <row r="100" spans="1:20" x14ac:dyDescent="0.25">
      <c r="A100" t="s">
        <v>268</v>
      </c>
      <c r="B100" s="1">
        <v>44958</v>
      </c>
      <c r="C100" t="s">
        <v>266</v>
      </c>
      <c r="D100">
        <v>2</v>
      </c>
      <c r="E100" t="str">
        <f>+CONCATENATE("T",ROUNDUP(MONTH(Datos[[#This Row],[Fecha]])/3,0))</f>
        <v>T1</v>
      </c>
      <c r="F100" t="str">
        <f>+CONCATENATE("Sem"," ",ROUNDUP(MONTH(Datos[[#This Row],[Fecha]])/6,0))</f>
        <v>Sem 1</v>
      </c>
      <c r="G100" t="s">
        <v>158</v>
      </c>
      <c r="H100" t="s">
        <v>159</v>
      </c>
      <c r="I100" t="s">
        <v>101</v>
      </c>
      <c r="J100" t="s">
        <v>160</v>
      </c>
      <c r="K100" t="s">
        <v>39</v>
      </c>
      <c r="L100" t="s">
        <v>40</v>
      </c>
      <c r="M100" t="s">
        <v>188</v>
      </c>
      <c r="N100" s="1">
        <v>44958</v>
      </c>
      <c r="O100" s="1">
        <v>45138</v>
      </c>
      <c r="P100" t="s">
        <v>29</v>
      </c>
      <c r="Q100">
        <f>+IF(OR(Datos[[#This Row],[Diagnostico]]="Inservible",Datos[[#This Row],[Estatus]]="Preventivo"),0,Datos[[#This Row],[Fecha_Final]]-Datos[[#This Row],[Día_Inicio]])</f>
        <v>0</v>
      </c>
      <c r="R100" s="2">
        <v>519</v>
      </c>
      <c r="S100" s="2">
        <v>505</v>
      </c>
      <c r="T100" t="s">
        <v>42</v>
      </c>
    </row>
    <row r="101" spans="1:20" x14ac:dyDescent="0.25">
      <c r="A101" t="s">
        <v>269</v>
      </c>
      <c r="B101" s="1">
        <v>44958</v>
      </c>
      <c r="C101" t="s">
        <v>266</v>
      </c>
      <c r="D101">
        <v>2</v>
      </c>
      <c r="E101" t="str">
        <f>+CONCATENATE("T",ROUNDUP(MONTH(Datos[[#This Row],[Fecha]])/3,0))</f>
        <v>T1</v>
      </c>
      <c r="F101" t="str">
        <f>+CONCATENATE("Sem"," ",ROUNDUP(MONTH(Datos[[#This Row],[Fecha]])/6,0))</f>
        <v>Sem 1</v>
      </c>
      <c r="G101" t="s">
        <v>132</v>
      </c>
      <c r="H101" t="s">
        <v>133</v>
      </c>
      <c r="I101" t="s">
        <v>24</v>
      </c>
      <c r="J101" t="s">
        <v>134</v>
      </c>
      <c r="K101" t="s">
        <v>70</v>
      </c>
      <c r="L101" t="s">
        <v>27</v>
      </c>
      <c r="M101">
        <v>0</v>
      </c>
      <c r="N101" s="1">
        <v>44958</v>
      </c>
      <c r="O101" s="1">
        <v>44960</v>
      </c>
      <c r="P101" t="s">
        <v>58</v>
      </c>
      <c r="Q101">
        <f>+IF(OR(Datos[[#This Row],[Diagnostico]]="Inservible",Datos[[#This Row],[Estatus]]="Preventivo"),0,Datos[[#This Row],[Fecha_Final]]-Datos[[#This Row],[Día_Inicio]])</f>
        <v>2</v>
      </c>
      <c r="R101" s="2">
        <v>849</v>
      </c>
      <c r="S101" s="2">
        <v>451</v>
      </c>
      <c r="T101" t="s">
        <v>91</v>
      </c>
    </row>
    <row r="102" spans="1:20" x14ac:dyDescent="0.25">
      <c r="A102" t="s">
        <v>270</v>
      </c>
      <c r="B102" s="1">
        <v>44959</v>
      </c>
      <c r="C102" t="s">
        <v>266</v>
      </c>
      <c r="D102">
        <v>2</v>
      </c>
      <c r="E102" t="str">
        <f>+CONCATENATE("T",ROUNDUP(MONTH(Datos[[#This Row],[Fecha]])/3,0))</f>
        <v>T1</v>
      </c>
      <c r="F102" t="str">
        <f>+CONCATENATE("Sem"," ",ROUNDUP(MONTH(Datos[[#This Row],[Fecha]])/6,0))</f>
        <v>Sem 1</v>
      </c>
      <c r="G102" t="s">
        <v>154</v>
      </c>
      <c r="H102" t="s">
        <v>155</v>
      </c>
      <c r="I102" t="s">
        <v>68</v>
      </c>
      <c r="J102" t="s">
        <v>156</v>
      </c>
      <c r="K102" t="s">
        <v>161</v>
      </c>
      <c r="L102" t="s">
        <v>27</v>
      </c>
      <c r="M102">
        <v>0</v>
      </c>
      <c r="N102" s="1">
        <v>44959</v>
      </c>
      <c r="O102" s="1">
        <v>44962</v>
      </c>
      <c r="P102" t="s">
        <v>28</v>
      </c>
      <c r="Q102">
        <f>+IF(OR(Datos[[#This Row],[Diagnostico]]="Inservible",Datos[[#This Row],[Estatus]]="Preventivo"),0,Datos[[#This Row],[Fecha_Final]]-Datos[[#This Row],[Día_Inicio]])</f>
        <v>0</v>
      </c>
      <c r="R102" s="2">
        <v>0</v>
      </c>
      <c r="S102" s="2">
        <v>0</v>
      </c>
      <c r="T102" t="s">
        <v>29</v>
      </c>
    </row>
    <row r="103" spans="1:20" x14ac:dyDescent="0.25">
      <c r="A103" t="s">
        <v>271</v>
      </c>
      <c r="B103" s="1">
        <v>44959</v>
      </c>
      <c r="C103" t="s">
        <v>266</v>
      </c>
      <c r="D103">
        <v>2</v>
      </c>
      <c r="E103" t="str">
        <f>+CONCATENATE("T",ROUNDUP(MONTH(Datos[[#This Row],[Fecha]])/3,0))</f>
        <v>T1</v>
      </c>
      <c r="F103" t="str">
        <f>+CONCATENATE("Sem"," ",ROUNDUP(MONTH(Datos[[#This Row],[Fecha]])/6,0))</f>
        <v>Sem 1</v>
      </c>
      <c r="G103" t="s">
        <v>72</v>
      </c>
      <c r="H103" t="s">
        <v>73</v>
      </c>
      <c r="I103" t="s">
        <v>24</v>
      </c>
      <c r="J103" t="s">
        <v>74</v>
      </c>
      <c r="K103" t="s">
        <v>80</v>
      </c>
      <c r="L103" t="s">
        <v>27</v>
      </c>
      <c r="M103">
        <v>0</v>
      </c>
      <c r="N103" s="1">
        <v>44959</v>
      </c>
      <c r="O103" s="1">
        <v>44962</v>
      </c>
      <c r="P103" t="s">
        <v>28</v>
      </c>
      <c r="Q103">
        <f>+IF(OR(Datos[[#This Row],[Diagnostico]]="Inservible",Datos[[#This Row],[Estatus]]="Preventivo"),0,Datos[[#This Row],[Fecha_Final]]-Datos[[#This Row],[Día_Inicio]])</f>
        <v>0</v>
      </c>
      <c r="R103" s="2">
        <v>0</v>
      </c>
      <c r="S103" s="2">
        <v>0</v>
      </c>
      <c r="T103" t="s">
        <v>29</v>
      </c>
    </row>
    <row r="104" spans="1:20" x14ac:dyDescent="0.25">
      <c r="A104" t="s">
        <v>272</v>
      </c>
      <c r="B104" s="1">
        <v>44961</v>
      </c>
      <c r="C104" t="s">
        <v>266</v>
      </c>
      <c r="D104">
        <v>2</v>
      </c>
      <c r="E104" t="str">
        <f>+CONCATENATE("T",ROUNDUP(MONTH(Datos[[#This Row],[Fecha]])/3,0))</f>
        <v>T1</v>
      </c>
      <c r="F104" t="str">
        <f>+CONCATENATE("Sem"," ",ROUNDUP(MONTH(Datos[[#This Row],[Fecha]])/6,0))</f>
        <v>Sem 1</v>
      </c>
      <c r="G104" t="s">
        <v>99</v>
      </c>
      <c r="H104" t="s">
        <v>100</v>
      </c>
      <c r="I104" t="s">
        <v>101</v>
      </c>
      <c r="J104" t="s">
        <v>102</v>
      </c>
      <c r="K104" t="s">
        <v>85</v>
      </c>
      <c r="L104" t="s">
        <v>27</v>
      </c>
      <c r="M104">
        <v>0</v>
      </c>
      <c r="N104" s="1">
        <v>44961</v>
      </c>
      <c r="O104" s="1">
        <v>44967</v>
      </c>
      <c r="P104" t="s">
        <v>58</v>
      </c>
      <c r="Q104">
        <f>+IF(OR(Datos[[#This Row],[Diagnostico]]="Inservible",Datos[[#This Row],[Estatus]]="Preventivo"),0,Datos[[#This Row],[Fecha_Final]]-Datos[[#This Row],[Día_Inicio]])</f>
        <v>6</v>
      </c>
      <c r="R104" s="2">
        <v>676</v>
      </c>
      <c r="S104" s="2">
        <v>345</v>
      </c>
      <c r="T104" t="s">
        <v>91</v>
      </c>
    </row>
    <row r="105" spans="1:20" x14ac:dyDescent="0.25">
      <c r="A105" t="s">
        <v>273</v>
      </c>
      <c r="B105" s="1">
        <v>44961</v>
      </c>
      <c r="C105" t="s">
        <v>266</v>
      </c>
      <c r="D105">
        <v>2</v>
      </c>
      <c r="E105" t="str">
        <f>+CONCATENATE("T",ROUNDUP(MONTH(Datos[[#This Row],[Fecha]])/3,0))</f>
        <v>T1</v>
      </c>
      <c r="F105" t="str">
        <f>+CONCATENATE("Sem"," ",ROUNDUP(MONTH(Datos[[#This Row],[Fecha]])/6,0))</f>
        <v>Sem 1</v>
      </c>
      <c r="G105" t="s">
        <v>125</v>
      </c>
      <c r="H105" t="s">
        <v>126</v>
      </c>
      <c r="I105" t="s">
        <v>24</v>
      </c>
      <c r="J105" t="s">
        <v>127</v>
      </c>
      <c r="K105" t="s">
        <v>90</v>
      </c>
      <c r="L105" t="s">
        <v>27</v>
      </c>
      <c r="M105">
        <v>0</v>
      </c>
      <c r="N105" s="1">
        <v>44961</v>
      </c>
      <c r="O105" s="1">
        <v>44968</v>
      </c>
      <c r="P105" t="s">
        <v>58</v>
      </c>
      <c r="Q105">
        <f>+IF(OR(Datos[[#This Row],[Diagnostico]]="Inservible",Datos[[#This Row],[Estatus]]="Preventivo"),0,Datos[[#This Row],[Fecha_Final]]-Datos[[#This Row],[Día_Inicio]])</f>
        <v>7</v>
      </c>
      <c r="R105" s="2">
        <v>892</v>
      </c>
      <c r="S105" s="2">
        <v>941</v>
      </c>
      <c r="T105" t="s">
        <v>42</v>
      </c>
    </row>
    <row r="106" spans="1:20" x14ac:dyDescent="0.25">
      <c r="A106" t="s">
        <v>274</v>
      </c>
      <c r="B106" s="1">
        <v>44961</v>
      </c>
      <c r="C106" t="s">
        <v>266</v>
      </c>
      <c r="D106">
        <v>2</v>
      </c>
      <c r="E106" t="str">
        <f>+CONCATENATE("T",ROUNDUP(MONTH(Datos[[#This Row],[Fecha]])/3,0))</f>
        <v>T1</v>
      </c>
      <c r="F106" t="str">
        <f>+CONCATENATE("Sem"," ",ROUNDUP(MONTH(Datos[[#This Row],[Fecha]])/6,0))</f>
        <v>Sem 1</v>
      </c>
      <c r="G106" t="s">
        <v>66</v>
      </c>
      <c r="H106" t="s">
        <v>67</v>
      </c>
      <c r="I106" t="s">
        <v>68</v>
      </c>
      <c r="J106" t="s">
        <v>69</v>
      </c>
      <c r="K106" t="s">
        <v>172</v>
      </c>
      <c r="L106" t="s">
        <v>27</v>
      </c>
      <c r="M106">
        <v>0</v>
      </c>
      <c r="N106" s="1">
        <v>44961</v>
      </c>
      <c r="O106" s="1">
        <v>44990</v>
      </c>
      <c r="P106" t="s">
        <v>58</v>
      </c>
      <c r="Q106">
        <f>+IF(OR(Datos[[#This Row],[Diagnostico]]="Inservible",Datos[[#This Row],[Estatus]]="Preventivo"),0,Datos[[#This Row],[Fecha_Final]]-Datos[[#This Row],[Día_Inicio]])</f>
        <v>29</v>
      </c>
      <c r="R106" s="2">
        <v>424</v>
      </c>
      <c r="S106" s="2">
        <v>810</v>
      </c>
      <c r="T106" t="s">
        <v>91</v>
      </c>
    </row>
    <row r="107" spans="1:20" x14ac:dyDescent="0.25">
      <c r="A107" t="s">
        <v>275</v>
      </c>
      <c r="B107" s="1">
        <v>44961</v>
      </c>
      <c r="C107" t="s">
        <v>266</v>
      </c>
      <c r="D107">
        <v>2</v>
      </c>
      <c r="E107" t="str">
        <f>+CONCATENATE("T",ROUNDUP(MONTH(Datos[[#This Row],[Fecha]])/3,0))</f>
        <v>T1</v>
      </c>
      <c r="F107" t="str">
        <f>+CONCATENATE("Sem"," ",ROUNDUP(MONTH(Datos[[#This Row],[Fecha]])/6,0))</f>
        <v>Sem 1</v>
      </c>
      <c r="G107" t="s">
        <v>175</v>
      </c>
      <c r="H107" t="s">
        <v>176</v>
      </c>
      <c r="I107" t="s">
        <v>24</v>
      </c>
      <c r="J107" t="s">
        <v>177</v>
      </c>
      <c r="K107" t="s">
        <v>97</v>
      </c>
      <c r="L107" t="s">
        <v>27</v>
      </c>
      <c r="M107">
        <v>0</v>
      </c>
      <c r="N107" s="1">
        <v>44961</v>
      </c>
      <c r="O107" s="1">
        <v>44986</v>
      </c>
      <c r="P107" t="s">
        <v>58</v>
      </c>
      <c r="Q107">
        <f>+IF(OR(Datos[[#This Row],[Diagnostico]]="Inservible",Datos[[#This Row],[Estatus]]="Preventivo"),0,Datos[[#This Row],[Fecha_Final]]-Datos[[#This Row],[Día_Inicio]])</f>
        <v>25</v>
      </c>
      <c r="R107" s="2">
        <v>678</v>
      </c>
      <c r="S107" s="2">
        <v>484</v>
      </c>
      <c r="T107" t="s">
        <v>64</v>
      </c>
    </row>
    <row r="108" spans="1:20" x14ac:dyDescent="0.25">
      <c r="A108" t="s">
        <v>276</v>
      </c>
      <c r="B108" s="1">
        <v>44961</v>
      </c>
      <c r="C108" t="s">
        <v>266</v>
      </c>
      <c r="D108">
        <v>2</v>
      </c>
      <c r="E108" t="str">
        <f>+CONCATENATE("T",ROUNDUP(MONTH(Datos[[#This Row],[Fecha]])/3,0))</f>
        <v>T1</v>
      </c>
      <c r="F108" t="str">
        <f>+CONCATENATE("Sem"," ",ROUNDUP(MONTH(Datos[[#This Row],[Fecha]])/6,0))</f>
        <v>Sem 1</v>
      </c>
      <c r="G108" t="s">
        <v>99</v>
      </c>
      <c r="H108" t="s">
        <v>100</v>
      </c>
      <c r="I108" t="s">
        <v>101</v>
      </c>
      <c r="J108" t="s">
        <v>102</v>
      </c>
      <c r="K108" t="s">
        <v>39</v>
      </c>
      <c r="L108" t="s">
        <v>40</v>
      </c>
      <c r="M108" t="s">
        <v>75</v>
      </c>
      <c r="N108" s="1">
        <v>44961</v>
      </c>
      <c r="O108" s="1">
        <v>45321</v>
      </c>
      <c r="P108" t="s">
        <v>29</v>
      </c>
      <c r="Q108">
        <f>+IF(OR(Datos[[#This Row],[Diagnostico]]="Inservible",Datos[[#This Row],[Estatus]]="Preventivo"),0,Datos[[#This Row],[Fecha_Final]]-Datos[[#This Row],[Día_Inicio]])</f>
        <v>0</v>
      </c>
      <c r="R108" s="2">
        <v>692</v>
      </c>
      <c r="S108" s="2">
        <v>249</v>
      </c>
      <c r="T108" t="s">
        <v>42</v>
      </c>
    </row>
    <row r="109" spans="1:20" x14ac:dyDescent="0.25">
      <c r="A109" t="s">
        <v>277</v>
      </c>
      <c r="B109" s="1">
        <v>44961</v>
      </c>
      <c r="C109" t="s">
        <v>266</v>
      </c>
      <c r="D109">
        <v>2</v>
      </c>
      <c r="E109" t="str">
        <f>+CONCATENATE("T",ROUNDUP(MONTH(Datos[[#This Row],[Fecha]])/3,0))</f>
        <v>T1</v>
      </c>
      <c r="F109" t="str">
        <f>+CONCATENATE("Sem"," ",ROUNDUP(MONTH(Datos[[#This Row],[Fecha]])/6,0))</f>
        <v>Sem 1</v>
      </c>
      <c r="G109" t="s">
        <v>260</v>
      </c>
      <c r="H109" t="s">
        <v>261</v>
      </c>
      <c r="I109" t="s">
        <v>24</v>
      </c>
      <c r="J109" t="s">
        <v>33</v>
      </c>
      <c r="K109" t="s">
        <v>108</v>
      </c>
      <c r="L109" t="s">
        <v>27</v>
      </c>
      <c r="M109">
        <v>0</v>
      </c>
      <c r="N109" s="1">
        <v>44961</v>
      </c>
      <c r="O109" s="1">
        <v>44983</v>
      </c>
      <c r="P109" t="s">
        <v>58</v>
      </c>
      <c r="Q109">
        <f>+IF(OR(Datos[[#This Row],[Diagnostico]]="Inservible",Datos[[#This Row],[Estatus]]="Preventivo"),0,Datos[[#This Row],[Fecha_Final]]-Datos[[#This Row],[Día_Inicio]])</f>
        <v>22</v>
      </c>
      <c r="R109" s="2">
        <v>514</v>
      </c>
      <c r="S109" s="2">
        <v>913</v>
      </c>
      <c r="T109" t="s">
        <v>91</v>
      </c>
    </row>
    <row r="110" spans="1:20" x14ac:dyDescent="0.25">
      <c r="A110" t="s">
        <v>278</v>
      </c>
      <c r="B110" s="1">
        <v>44962</v>
      </c>
      <c r="C110" t="s">
        <v>266</v>
      </c>
      <c r="D110">
        <v>2</v>
      </c>
      <c r="E110" t="str">
        <f>+CONCATENATE("T",ROUNDUP(MONTH(Datos[[#This Row],[Fecha]])/3,0))</f>
        <v>T1</v>
      </c>
      <c r="F110" t="str">
        <f>+CONCATENATE("Sem"," ",ROUNDUP(MONTH(Datos[[#This Row],[Fecha]])/6,0))</f>
        <v>Sem 1</v>
      </c>
      <c r="G110" t="s">
        <v>260</v>
      </c>
      <c r="H110" t="s">
        <v>261</v>
      </c>
      <c r="I110" t="s">
        <v>24</v>
      </c>
      <c r="J110" t="s">
        <v>33</v>
      </c>
      <c r="K110" t="s">
        <v>39</v>
      </c>
      <c r="L110" t="s">
        <v>40</v>
      </c>
      <c r="M110" t="s">
        <v>103</v>
      </c>
      <c r="N110" s="1">
        <v>44962</v>
      </c>
      <c r="O110" s="1">
        <v>44977</v>
      </c>
      <c r="P110" t="s">
        <v>29</v>
      </c>
      <c r="Q110">
        <f>+IF(OR(Datos[[#This Row],[Diagnostico]]="Inservible",Datos[[#This Row],[Estatus]]="Preventivo"),0,Datos[[#This Row],[Fecha_Final]]-Datos[[#This Row],[Día_Inicio]])</f>
        <v>0</v>
      </c>
      <c r="R110" s="2">
        <v>1127</v>
      </c>
      <c r="S110" s="2">
        <v>375</v>
      </c>
      <c r="T110" t="s">
        <v>42</v>
      </c>
    </row>
    <row r="111" spans="1:20" x14ac:dyDescent="0.25">
      <c r="A111" t="s">
        <v>279</v>
      </c>
      <c r="B111" s="1">
        <v>44962</v>
      </c>
      <c r="C111" t="s">
        <v>266</v>
      </c>
      <c r="D111">
        <v>2</v>
      </c>
      <c r="E111" t="str">
        <f>+CONCATENATE("T",ROUNDUP(MONTH(Datos[[#This Row],[Fecha]])/3,0))</f>
        <v>T1</v>
      </c>
      <c r="F111" t="str">
        <f>+CONCATENATE("Sem"," ",ROUNDUP(MONTH(Datos[[#This Row],[Fecha]])/6,0))</f>
        <v>Sem 1</v>
      </c>
      <c r="G111" t="s">
        <v>141</v>
      </c>
      <c r="H111" t="s">
        <v>142</v>
      </c>
      <c r="I111" t="s">
        <v>24</v>
      </c>
      <c r="J111" t="s">
        <v>143</v>
      </c>
      <c r="K111" t="s">
        <v>114</v>
      </c>
      <c r="L111" t="s">
        <v>27</v>
      </c>
      <c r="M111">
        <v>0</v>
      </c>
      <c r="N111" s="1">
        <v>44962</v>
      </c>
      <c r="O111" s="1">
        <v>44981</v>
      </c>
      <c r="P111" t="s">
        <v>28</v>
      </c>
      <c r="Q111">
        <f>+IF(OR(Datos[[#This Row],[Diagnostico]]="Inservible",Datos[[#This Row],[Estatus]]="Preventivo"),0,Datos[[#This Row],[Fecha_Final]]-Datos[[#This Row],[Día_Inicio]])</f>
        <v>0</v>
      </c>
      <c r="R111" s="2">
        <v>0</v>
      </c>
      <c r="S111" s="2">
        <v>0</v>
      </c>
      <c r="T111" t="s">
        <v>29</v>
      </c>
    </row>
    <row r="112" spans="1:20" x14ac:dyDescent="0.25">
      <c r="A112" t="s">
        <v>280</v>
      </c>
      <c r="B112" s="1">
        <v>44962</v>
      </c>
      <c r="C112" t="s">
        <v>266</v>
      </c>
      <c r="D112">
        <v>2</v>
      </c>
      <c r="E112" t="str">
        <f>+CONCATENATE("T",ROUNDUP(MONTH(Datos[[#This Row],[Fecha]])/3,0))</f>
        <v>T1</v>
      </c>
      <c r="F112" t="str">
        <f>+CONCATENATE("Sem"," ",ROUNDUP(MONTH(Datos[[#This Row],[Fecha]])/6,0))</f>
        <v>Sem 1</v>
      </c>
      <c r="G112" t="s">
        <v>116</v>
      </c>
      <c r="H112" t="s">
        <v>117</v>
      </c>
      <c r="I112" t="s">
        <v>24</v>
      </c>
      <c r="J112" t="s">
        <v>118</v>
      </c>
      <c r="K112" t="s">
        <v>119</v>
      </c>
      <c r="L112" t="s">
        <v>27</v>
      </c>
      <c r="M112">
        <v>0</v>
      </c>
      <c r="N112" s="1">
        <v>44962</v>
      </c>
      <c r="O112" s="1">
        <v>44976</v>
      </c>
      <c r="P112" t="s">
        <v>58</v>
      </c>
      <c r="Q112">
        <f>+IF(OR(Datos[[#This Row],[Diagnostico]]="Inservible",Datos[[#This Row],[Estatus]]="Preventivo"),0,Datos[[#This Row],[Fecha_Final]]-Datos[[#This Row],[Día_Inicio]])</f>
        <v>14</v>
      </c>
      <c r="R112" s="2">
        <v>657</v>
      </c>
      <c r="S112" s="2">
        <v>448</v>
      </c>
      <c r="T112" t="s">
        <v>91</v>
      </c>
    </row>
    <row r="113" spans="1:20" x14ac:dyDescent="0.25">
      <c r="A113" t="s">
        <v>281</v>
      </c>
      <c r="B113" s="1">
        <v>44962</v>
      </c>
      <c r="C113" t="s">
        <v>266</v>
      </c>
      <c r="D113">
        <v>2</v>
      </c>
      <c r="E113" t="str">
        <f>+CONCATENATE("T",ROUNDUP(MONTH(Datos[[#This Row],[Fecha]])/3,0))</f>
        <v>T1</v>
      </c>
      <c r="F113" t="str">
        <f>+CONCATENATE("Sem"," ",ROUNDUP(MONTH(Datos[[#This Row],[Fecha]])/6,0))</f>
        <v>Sem 1</v>
      </c>
      <c r="G113" t="s">
        <v>183</v>
      </c>
      <c r="H113" t="s">
        <v>184</v>
      </c>
      <c r="I113" t="s">
        <v>24</v>
      </c>
      <c r="J113" t="s">
        <v>139</v>
      </c>
      <c r="K113" t="s">
        <v>123</v>
      </c>
      <c r="L113" t="s">
        <v>27</v>
      </c>
      <c r="M113">
        <v>0</v>
      </c>
      <c r="N113" s="1">
        <v>44962</v>
      </c>
      <c r="O113" s="1">
        <v>44976</v>
      </c>
      <c r="P113" t="s">
        <v>58</v>
      </c>
      <c r="Q113">
        <f>+IF(OR(Datos[[#This Row],[Diagnostico]]="Inservible",Datos[[#This Row],[Estatus]]="Preventivo"),0,Datos[[#This Row],[Fecha_Final]]-Datos[[#This Row],[Día_Inicio]])</f>
        <v>14</v>
      </c>
      <c r="R113" s="2">
        <v>1069</v>
      </c>
      <c r="S113" s="2">
        <v>202</v>
      </c>
      <c r="T113" t="s">
        <v>59</v>
      </c>
    </row>
    <row r="114" spans="1:20" x14ac:dyDescent="0.25">
      <c r="A114" t="s">
        <v>282</v>
      </c>
      <c r="B114" s="1">
        <v>44962</v>
      </c>
      <c r="C114" t="s">
        <v>266</v>
      </c>
      <c r="D114">
        <v>2</v>
      </c>
      <c r="E114" t="str">
        <f>+CONCATENATE("T",ROUNDUP(MONTH(Datos[[#This Row],[Fecha]])/3,0))</f>
        <v>T1</v>
      </c>
      <c r="F114" t="str">
        <f>+CONCATENATE("Sem"," ",ROUNDUP(MONTH(Datos[[#This Row],[Fecha]])/6,0))</f>
        <v>Sem 1</v>
      </c>
      <c r="G114" t="s">
        <v>283</v>
      </c>
      <c r="H114" t="s">
        <v>284</v>
      </c>
      <c r="I114" t="s">
        <v>24</v>
      </c>
      <c r="J114" t="s">
        <v>192</v>
      </c>
      <c r="K114" t="s">
        <v>128</v>
      </c>
      <c r="L114" t="s">
        <v>27</v>
      </c>
      <c r="M114">
        <v>0</v>
      </c>
      <c r="N114" s="1">
        <v>44962</v>
      </c>
      <c r="O114" s="1">
        <v>44983</v>
      </c>
      <c r="P114" t="s">
        <v>58</v>
      </c>
      <c r="Q114">
        <f>+IF(OR(Datos[[#This Row],[Diagnostico]]="Inservible",Datos[[#This Row],[Estatus]]="Preventivo"),0,Datos[[#This Row],[Fecha_Final]]-Datos[[#This Row],[Día_Inicio]])</f>
        <v>21</v>
      </c>
      <c r="R114" s="2">
        <v>228</v>
      </c>
      <c r="S114" s="2">
        <v>195</v>
      </c>
      <c r="T114" t="s">
        <v>64</v>
      </c>
    </row>
    <row r="115" spans="1:20" x14ac:dyDescent="0.25">
      <c r="A115" t="s">
        <v>285</v>
      </c>
      <c r="B115" s="1">
        <v>44963</v>
      </c>
      <c r="C115" t="s">
        <v>266</v>
      </c>
      <c r="D115">
        <v>2</v>
      </c>
      <c r="E115" t="str">
        <f>+CONCATENATE("T",ROUNDUP(MONTH(Datos[[#This Row],[Fecha]])/3,0))</f>
        <v>T1</v>
      </c>
      <c r="F115" t="str">
        <f>+CONCATENATE("Sem"," ",ROUNDUP(MONTH(Datos[[#This Row],[Fecha]])/6,0))</f>
        <v>Sem 1</v>
      </c>
      <c r="G115" t="s">
        <v>286</v>
      </c>
      <c r="H115" t="s">
        <v>287</v>
      </c>
      <c r="I115" t="s">
        <v>24</v>
      </c>
      <c r="J115" t="s">
        <v>38</v>
      </c>
      <c r="K115" t="s">
        <v>130</v>
      </c>
      <c r="L115" t="s">
        <v>27</v>
      </c>
      <c r="M115">
        <v>0</v>
      </c>
      <c r="N115" s="1">
        <v>44963</v>
      </c>
      <c r="O115" s="1">
        <v>44971</v>
      </c>
      <c r="P115" t="s">
        <v>28</v>
      </c>
      <c r="Q115">
        <f>+IF(OR(Datos[[#This Row],[Diagnostico]]="Inservible",Datos[[#This Row],[Estatus]]="Preventivo"),0,Datos[[#This Row],[Fecha_Final]]-Datos[[#This Row],[Día_Inicio]])</f>
        <v>0</v>
      </c>
      <c r="R115" s="2">
        <v>0</v>
      </c>
      <c r="S115" s="2">
        <v>0</v>
      </c>
      <c r="T115" t="s">
        <v>29</v>
      </c>
    </row>
    <row r="116" spans="1:20" x14ac:dyDescent="0.25">
      <c r="A116" t="s">
        <v>288</v>
      </c>
      <c r="B116" s="1">
        <v>44963</v>
      </c>
      <c r="C116" t="s">
        <v>266</v>
      </c>
      <c r="D116">
        <v>2</v>
      </c>
      <c r="E116" t="str">
        <f>+CONCATENATE("T",ROUNDUP(MONTH(Datos[[#This Row],[Fecha]])/3,0))</f>
        <v>T1</v>
      </c>
      <c r="F116" t="str">
        <f>+CONCATENATE("Sem"," ",ROUNDUP(MONTH(Datos[[#This Row],[Fecha]])/6,0))</f>
        <v>Sem 1</v>
      </c>
      <c r="G116" t="s">
        <v>44</v>
      </c>
      <c r="H116" t="s">
        <v>45</v>
      </c>
      <c r="I116" t="s">
        <v>24</v>
      </c>
      <c r="J116" t="s">
        <v>46</v>
      </c>
      <c r="K116" t="s">
        <v>135</v>
      </c>
      <c r="L116" t="s">
        <v>27</v>
      </c>
      <c r="M116">
        <v>0</v>
      </c>
      <c r="N116" s="1">
        <v>44963</v>
      </c>
      <c r="O116" s="1">
        <v>44972</v>
      </c>
      <c r="P116" t="s">
        <v>28</v>
      </c>
      <c r="Q116">
        <f>+IF(OR(Datos[[#This Row],[Diagnostico]]="Inservible",Datos[[#This Row],[Estatus]]="Preventivo"),0,Datos[[#This Row],[Fecha_Final]]-Datos[[#This Row],[Día_Inicio]])</f>
        <v>0</v>
      </c>
      <c r="R116" s="2">
        <v>0</v>
      </c>
      <c r="S116" s="2">
        <v>0</v>
      </c>
      <c r="T116" t="s">
        <v>29</v>
      </c>
    </row>
    <row r="117" spans="1:20" x14ac:dyDescent="0.25">
      <c r="A117" t="s">
        <v>289</v>
      </c>
      <c r="B117" s="1">
        <v>44964</v>
      </c>
      <c r="C117" t="s">
        <v>266</v>
      </c>
      <c r="D117">
        <v>2</v>
      </c>
      <c r="E117" t="str">
        <f>+CONCATENATE("T",ROUNDUP(MONTH(Datos[[#This Row],[Fecha]])/3,0))</f>
        <v>T1</v>
      </c>
      <c r="F117" t="str">
        <f>+CONCATENATE("Sem"," ",ROUNDUP(MONTH(Datos[[#This Row],[Fecha]])/6,0))</f>
        <v>Sem 1</v>
      </c>
      <c r="G117" t="s">
        <v>237</v>
      </c>
      <c r="H117" t="s">
        <v>238</v>
      </c>
      <c r="I117" t="s">
        <v>24</v>
      </c>
      <c r="J117" t="s">
        <v>177</v>
      </c>
      <c r="K117" t="s">
        <v>26</v>
      </c>
      <c r="L117" t="s">
        <v>27</v>
      </c>
      <c r="M117">
        <v>0</v>
      </c>
      <c r="N117" s="1">
        <v>44964</v>
      </c>
      <c r="O117" s="1">
        <v>44987</v>
      </c>
      <c r="P117" t="s">
        <v>28</v>
      </c>
      <c r="Q117">
        <f>+IF(OR(Datos[[#This Row],[Diagnostico]]="Inservible",Datos[[#This Row],[Estatus]]="Preventivo"),0,Datos[[#This Row],[Fecha_Final]]-Datos[[#This Row],[Día_Inicio]])</f>
        <v>0</v>
      </c>
      <c r="R117" s="2">
        <v>0</v>
      </c>
      <c r="S117" s="2">
        <v>0</v>
      </c>
      <c r="T117" t="s">
        <v>29</v>
      </c>
    </row>
    <row r="118" spans="1:20" x14ac:dyDescent="0.25">
      <c r="A118" t="s">
        <v>290</v>
      </c>
      <c r="B118" s="1">
        <v>44964</v>
      </c>
      <c r="C118" t="s">
        <v>266</v>
      </c>
      <c r="D118">
        <v>2</v>
      </c>
      <c r="E118" t="str">
        <f>+CONCATENATE("T",ROUNDUP(MONTH(Datos[[#This Row],[Fecha]])/3,0))</f>
        <v>T1</v>
      </c>
      <c r="F118" t="str">
        <f>+CONCATENATE("Sem"," ",ROUNDUP(MONTH(Datos[[#This Row],[Fecha]])/6,0))</f>
        <v>Sem 1</v>
      </c>
      <c r="G118" t="s">
        <v>137</v>
      </c>
      <c r="H118" t="s">
        <v>138</v>
      </c>
      <c r="I118" t="s">
        <v>68</v>
      </c>
      <c r="J118" t="s">
        <v>139</v>
      </c>
      <c r="K118" t="s">
        <v>34</v>
      </c>
      <c r="L118" t="s">
        <v>27</v>
      </c>
      <c r="M118">
        <v>0</v>
      </c>
      <c r="N118" s="1">
        <v>44964</v>
      </c>
      <c r="O118" s="1">
        <v>44989</v>
      </c>
      <c r="P118" t="s">
        <v>58</v>
      </c>
      <c r="Q118">
        <f>+IF(OR(Datos[[#This Row],[Diagnostico]]="Inservible",Datos[[#This Row],[Estatus]]="Preventivo"),0,Datos[[#This Row],[Fecha_Final]]-Datos[[#This Row],[Día_Inicio]])</f>
        <v>25</v>
      </c>
      <c r="R118" s="2">
        <v>955</v>
      </c>
      <c r="S118" s="2">
        <v>135</v>
      </c>
      <c r="T118" t="s">
        <v>91</v>
      </c>
    </row>
    <row r="119" spans="1:20" x14ac:dyDescent="0.25">
      <c r="A119" t="s">
        <v>291</v>
      </c>
      <c r="B119" s="1">
        <v>44965</v>
      </c>
      <c r="C119" t="s">
        <v>266</v>
      </c>
      <c r="D119">
        <v>2</v>
      </c>
      <c r="E119" t="str">
        <f>+CONCATENATE("T",ROUNDUP(MONTH(Datos[[#This Row],[Fecha]])/3,0))</f>
        <v>T1</v>
      </c>
      <c r="F119" t="str">
        <f>+CONCATENATE("Sem"," ",ROUNDUP(MONTH(Datos[[#This Row],[Fecha]])/6,0))</f>
        <v>Sem 1</v>
      </c>
      <c r="G119" t="s">
        <v>112</v>
      </c>
      <c r="H119" t="s">
        <v>113</v>
      </c>
      <c r="I119" t="s">
        <v>24</v>
      </c>
      <c r="J119" t="s">
        <v>79</v>
      </c>
      <c r="K119" t="s">
        <v>39</v>
      </c>
      <c r="L119" t="s">
        <v>27</v>
      </c>
      <c r="M119">
        <v>0</v>
      </c>
      <c r="N119" s="1">
        <v>44965</v>
      </c>
      <c r="O119" s="1">
        <v>44967</v>
      </c>
      <c r="P119" t="s">
        <v>58</v>
      </c>
      <c r="Q119">
        <f>+IF(OR(Datos[[#This Row],[Diagnostico]]="Inservible",Datos[[#This Row],[Estatus]]="Preventivo"),0,Datos[[#This Row],[Fecha_Final]]-Datos[[#This Row],[Día_Inicio]])</f>
        <v>2</v>
      </c>
      <c r="R119" s="2">
        <v>950</v>
      </c>
      <c r="S119" s="2">
        <v>450</v>
      </c>
      <c r="T119" t="s">
        <v>42</v>
      </c>
    </row>
    <row r="120" spans="1:20" x14ac:dyDescent="0.25">
      <c r="A120" t="s">
        <v>292</v>
      </c>
      <c r="B120" s="1">
        <v>44965</v>
      </c>
      <c r="C120" t="s">
        <v>266</v>
      </c>
      <c r="D120">
        <v>2</v>
      </c>
      <c r="E120" t="str">
        <f>+CONCATENATE("T",ROUNDUP(MONTH(Datos[[#This Row],[Fecha]])/3,0))</f>
        <v>T1</v>
      </c>
      <c r="F120" t="str">
        <f>+CONCATENATE("Sem"," ",ROUNDUP(MONTH(Datos[[#This Row],[Fecha]])/6,0))</f>
        <v>Sem 1</v>
      </c>
      <c r="G120" t="s">
        <v>82</v>
      </c>
      <c r="H120" t="s">
        <v>83</v>
      </c>
      <c r="I120" t="s">
        <v>24</v>
      </c>
      <c r="J120" t="s">
        <v>84</v>
      </c>
      <c r="K120" t="s">
        <v>47</v>
      </c>
      <c r="L120" t="s">
        <v>27</v>
      </c>
      <c r="M120">
        <v>0</v>
      </c>
      <c r="N120" s="1">
        <v>44965</v>
      </c>
      <c r="O120" s="1">
        <v>44968</v>
      </c>
      <c r="P120" t="s">
        <v>58</v>
      </c>
      <c r="Q120">
        <f>+IF(OR(Datos[[#This Row],[Diagnostico]]="Inservible",Datos[[#This Row],[Estatus]]="Preventivo"),0,Datos[[#This Row],[Fecha_Final]]-Datos[[#This Row],[Día_Inicio]])</f>
        <v>3</v>
      </c>
      <c r="R120" s="2">
        <v>933</v>
      </c>
      <c r="S120" s="2">
        <v>927</v>
      </c>
      <c r="T120" t="s">
        <v>42</v>
      </c>
    </row>
    <row r="121" spans="1:20" x14ac:dyDescent="0.25">
      <c r="A121" t="s">
        <v>293</v>
      </c>
      <c r="B121" s="1">
        <v>44965</v>
      </c>
      <c r="C121" t="s">
        <v>266</v>
      </c>
      <c r="D121">
        <v>2</v>
      </c>
      <c r="E121" t="str">
        <f>+CONCATENATE("T",ROUNDUP(MONTH(Datos[[#This Row],[Fecha]])/3,0))</f>
        <v>T1</v>
      </c>
      <c r="F121" t="str">
        <f>+CONCATENATE("Sem"," ",ROUNDUP(MONTH(Datos[[#This Row],[Fecha]])/6,0))</f>
        <v>Sem 1</v>
      </c>
      <c r="G121" t="s">
        <v>137</v>
      </c>
      <c r="H121" t="s">
        <v>138</v>
      </c>
      <c r="I121" t="s">
        <v>68</v>
      </c>
      <c r="J121" t="s">
        <v>139</v>
      </c>
      <c r="K121" t="s">
        <v>147</v>
      </c>
      <c r="L121" t="s">
        <v>27</v>
      </c>
      <c r="M121">
        <v>0</v>
      </c>
      <c r="N121" s="1">
        <v>44965</v>
      </c>
      <c r="O121" s="1">
        <v>44986</v>
      </c>
      <c r="P121" t="s">
        <v>28</v>
      </c>
      <c r="Q121">
        <f>+IF(OR(Datos[[#This Row],[Diagnostico]]="Inservible",Datos[[#This Row],[Estatus]]="Preventivo"),0,Datos[[#This Row],[Fecha_Final]]-Datos[[#This Row],[Día_Inicio]])</f>
        <v>0</v>
      </c>
      <c r="R121" s="2">
        <v>0</v>
      </c>
      <c r="S121" s="2">
        <v>0</v>
      </c>
      <c r="T121" t="s">
        <v>29</v>
      </c>
    </row>
    <row r="122" spans="1:20" x14ac:dyDescent="0.25">
      <c r="A122" t="s">
        <v>294</v>
      </c>
      <c r="B122" s="1">
        <v>44966</v>
      </c>
      <c r="C122" t="s">
        <v>266</v>
      </c>
      <c r="D122">
        <v>2</v>
      </c>
      <c r="E122" t="str">
        <f>+CONCATENATE("T",ROUNDUP(MONTH(Datos[[#This Row],[Fecha]])/3,0))</f>
        <v>T1</v>
      </c>
      <c r="F122" t="str">
        <f>+CONCATENATE("Sem"," ",ROUNDUP(MONTH(Datos[[#This Row],[Fecha]])/6,0))</f>
        <v>Sem 1</v>
      </c>
      <c r="G122" t="s">
        <v>260</v>
      </c>
      <c r="H122" t="s">
        <v>261</v>
      </c>
      <c r="I122" t="s">
        <v>24</v>
      </c>
      <c r="J122" t="s">
        <v>33</v>
      </c>
      <c r="K122" t="s">
        <v>39</v>
      </c>
      <c r="L122" t="s">
        <v>40</v>
      </c>
      <c r="M122" t="s">
        <v>196</v>
      </c>
      <c r="N122" s="1">
        <v>44966</v>
      </c>
      <c r="O122" s="1">
        <v>44996</v>
      </c>
      <c r="P122" t="s">
        <v>29</v>
      </c>
      <c r="Q122">
        <f>+IF(OR(Datos[[#This Row],[Diagnostico]]="Inservible",Datos[[#This Row],[Estatus]]="Preventivo"),0,Datos[[#This Row],[Fecha_Final]]-Datos[[#This Row],[Día_Inicio]])</f>
        <v>0</v>
      </c>
      <c r="R122" s="2">
        <v>502</v>
      </c>
      <c r="S122" s="2">
        <v>486</v>
      </c>
      <c r="T122" t="s">
        <v>42</v>
      </c>
    </row>
    <row r="123" spans="1:20" x14ac:dyDescent="0.25">
      <c r="A123" t="s">
        <v>295</v>
      </c>
      <c r="B123" s="1">
        <v>44967</v>
      </c>
      <c r="C123" t="s">
        <v>266</v>
      </c>
      <c r="D123">
        <v>2</v>
      </c>
      <c r="E123" t="str">
        <f>+CONCATENATE("T",ROUNDUP(MONTH(Datos[[#This Row],[Fecha]])/3,0))</f>
        <v>T1</v>
      </c>
      <c r="F123" t="str">
        <f>+CONCATENATE("Sem"," ",ROUNDUP(MONTH(Datos[[#This Row],[Fecha]])/6,0))</f>
        <v>Sem 1</v>
      </c>
      <c r="G123" t="s">
        <v>246</v>
      </c>
      <c r="H123" t="s">
        <v>247</v>
      </c>
      <c r="I123" t="s">
        <v>24</v>
      </c>
      <c r="J123" t="s">
        <v>156</v>
      </c>
      <c r="K123" t="s">
        <v>63</v>
      </c>
      <c r="L123" t="s">
        <v>27</v>
      </c>
      <c r="M123">
        <v>0</v>
      </c>
      <c r="N123" s="1">
        <v>44967</v>
      </c>
      <c r="O123" s="1">
        <v>44984</v>
      </c>
      <c r="P123" t="s">
        <v>58</v>
      </c>
      <c r="Q123">
        <f>+IF(OR(Datos[[#This Row],[Diagnostico]]="Inservible",Datos[[#This Row],[Estatus]]="Preventivo"),0,Datos[[#This Row],[Fecha_Final]]-Datos[[#This Row],[Día_Inicio]])</f>
        <v>17</v>
      </c>
      <c r="R123" s="2">
        <v>368</v>
      </c>
      <c r="S123" s="2">
        <v>504</v>
      </c>
      <c r="T123" t="s">
        <v>64</v>
      </c>
    </row>
    <row r="124" spans="1:20" x14ac:dyDescent="0.25">
      <c r="A124" t="s">
        <v>296</v>
      </c>
      <c r="B124" s="1">
        <v>44967</v>
      </c>
      <c r="C124" t="s">
        <v>266</v>
      </c>
      <c r="D124">
        <v>2</v>
      </c>
      <c r="E124" t="str">
        <f>+CONCATENATE("T",ROUNDUP(MONTH(Datos[[#This Row],[Fecha]])/3,0))</f>
        <v>T1</v>
      </c>
      <c r="F124" t="str">
        <f>+CONCATENATE("Sem"," ",ROUNDUP(MONTH(Datos[[#This Row],[Fecha]])/6,0))</f>
        <v>Sem 1</v>
      </c>
      <c r="G124" t="s">
        <v>215</v>
      </c>
      <c r="H124" t="s">
        <v>216</v>
      </c>
      <c r="I124" t="s">
        <v>24</v>
      </c>
      <c r="J124" t="s">
        <v>50</v>
      </c>
      <c r="K124" t="s">
        <v>70</v>
      </c>
      <c r="L124" t="s">
        <v>27</v>
      </c>
      <c r="M124">
        <v>0</v>
      </c>
      <c r="N124" s="1">
        <v>44967</v>
      </c>
      <c r="O124" s="1">
        <v>44997</v>
      </c>
      <c r="P124" t="s">
        <v>58</v>
      </c>
      <c r="Q124">
        <f>+IF(OR(Datos[[#This Row],[Diagnostico]]="Inservible",Datos[[#This Row],[Estatus]]="Preventivo"),0,Datos[[#This Row],[Fecha_Final]]-Datos[[#This Row],[Día_Inicio]])</f>
        <v>30</v>
      </c>
      <c r="R124" s="2">
        <v>787</v>
      </c>
      <c r="S124" s="2">
        <v>575</v>
      </c>
      <c r="T124" t="s">
        <v>91</v>
      </c>
    </row>
    <row r="125" spans="1:20" x14ac:dyDescent="0.25">
      <c r="A125" t="s">
        <v>297</v>
      </c>
      <c r="B125" s="1">
        <v>44968</v>
      </c>
      <c r="C125" t="s">
        <v>266</v>
      </c>
      <c r="D125">
        <v>2</v>
      </c>
      <c r="E125" t="str">
        <f>+CONCATENATE("T",ROUNDUP(MONTH(Datos[[#This Row],[Fecha]])/3,0))</f>
        <v>T1</v>
      </c>
      <c r="F125" t="str">
        <f>+CONCATENATE("Sem"," ",ROUNDUP(MONTH(Datos[[#This Row],[Fecha]])/6,0))</f>
        <v>Sem 1</v>
      </c>
      <c r="G125" t="s">
        <v>121</v>
      </c>
      <c r="H125" t="s">
        <v>122</v>
      </c>
      <c r="I125" t="s">
        <v>24</v>
      </c>
      <c r="J125" t="s">
        <v>102</v>
      </c>
      <c r="K125" t="s">
        <v>161</v>
      </c>
      <c r="L125" t="s">
        <v>27</v>
      </c>
      <c r="M125">
        <v>0</v>
      </c>
      <c r="N125" s="1">
        <v>44968</v>
      </c>
      <c r="O125" s="1">
        <v>44983</v>
      </c>
      <c r="P125" t="s">
        <v>58</v>
      </c>
      <c r="Q125">
        <f>+IF(OR(Datos[[#This Row],[Diagnostico]]="Inservible",Datos[[#This Row],[Estatus]]="Preventivo"),0,Datos[[#This Row],[Fecha_Final]]-Datos[[#This Row],[Día_Inicio]])</f>
        <v>15</v>
      </c>
      <c r="R125" s="2">
        <v>936</v>
      </c>
      <c r="S125" s="2">
        <v>362</v>
      </c>
      <c r="T125" t="s">
        <v>42</v>
      </c>
    </row>
    <row r="126" spans="1:20" x14ac:dyDescent="0.25">
      <c r="A126" t="s">
        <v>298</v>
      </c>
      <c r="B126" s="1">
        <v>44968</v>
      </c>
      <c r="C126" t="s">
        <v>266</v>
      </c>
      <c r="D126">
        <v>2</v>
      </c>
      <c r="E126" t="str">
        <f>+CONCATENATE("T",ROUNDUP(MONTH(Datos[[#This Row],[Fecha]])/3,0))</f>
        <v>T1</v>
      </c>
      <c r="F126" t="str">
        <f>+CONCATENATE("Sem"," ",ROUNDUP(MONTH(Datos[[#This Row],[Fecha]])/6,0))</f>
        <v>Sem 1</v>
      </c>
      <c r="G126" t="s">
        <v>49</v>
      </c>
      <c r="H126" t="s">
        <v>23</v>
      </c>
      <c r="I126" t="s">
        <v>24</v>
      </c>
      <c r="J126" t="s">
        <v>50</v>
      </c>
      <c r="K126" t="s">
        <v>80</v>
      </c>
      <c r="L126" t="s">
        <v>27</v>
      </c>
      <c r="M126">
        <v>0</v>
      </c>
      <c r="N126" s="1">
        <v>44968</v>
      </c>
      <c r="O126" s="1">
        <v>44992</v>
      </c>
      <c r="P126" t="s">
        <v>58</v>
      </c>
      <c r="Q126">
        <f>+IF(OR(Datos[[#This Row],[Diagnostico]]="Inservible",Datos[[#This Row],[Estatus]]="Preventivo"),0,Datos[[#This Row],[Fecha_Final]]-Datos[[#This Row],[Día_Inicio]])</f>
        <v>24</v>
      </c>
      <c r="R126" s="2">
        <v>983</v>
      </c>
      <c r="S126" s="2">
        <v>938</v>
      </c>
      <c r="T126" t="s">
        <v>42</v>
      </c>
    </row>
    <row r="127" spans="1:20" x14ac:dyDescent="0.25">
      <c r="A127" t="s">
        <v>299</v>
      </c>
      <c r="B127" s="1">
        <v>44968</v>
      </c>
      <c r="C127" t="s">
        <v>266</v>
      </c>
      <c r="D127">
        <v>2</v>
      </c>
      <c r="E127" t="str">
        <f>+CONCATENATE("T",ROUNDUP(MONTH(Datos[[#This Row],[Fecha]])/3,0))</f>
        <v>T1</v>
      </c>
      <c r="F127" t="str">
        <f>+CONCATENATE("Sem"," ",ROUNDUP(MONTH(Datos[[#This Row],[Fecha]])/6,0))</f>
        <v>Sem 1</v>
      </c>
      <c r="G127" t="s">
        <v>246</v>
      </c>
      <c r="H127" t="s">
        <v>247</v>
      </c>
      <c r="I127" t="s">
        <v>24</v>
      </c>
      <c r="J127" t="s">
        <v>156</v>
      </c>
      <c r="K127" t="s">
        <v>85</v>
      </c>
      <c r="L127" t="s">
        <v>27</v>
      </c>
      <c r="M127">
        <v>0</v>
      </c>
      <c r="N127" s="1">
        <v>44968</v>
      </c>
      <c r="O127" s="1">
        <v>44996</v>
      </c>
      <c r="P127" t="s">
        <v>28</v>
      </c>
      <c r="Q127">
        <f>+IF(OR(Datos[[#This Row],[Diagnostico]]="Inservible",Datos[[#This Row],[Estatus]]="Preventivo"),0,Datos[[#This Row],[Fecha_Final]]-Datos[[#This Row],[Día_Inicio]])</f>
        <v>0</v>
      </c>
      <c r="R127" s="2">
        <v>0</v>
      </c>
      <c r="S127" s="2">
        <v>0</v>
      </c>
      <c r="T127" t="s">
        <v>29</v>
      </c>
    </row>
    <row r="128" spans="1:20" x14ac:dyDescent="0.25">
      <c r="A128" t="s">
        <v>300</v>
      </c>
      <c r="B128" s="1">
        <v>44968</v>
      </c>
      <c r="C128" t="s">
        <v>266</v>
      </c>
      <c r="D128">
        <v>2</v>
      </c>
      <c r="E128" t="str">
        <f>+CONCATENATE("T",ROUNDUP(MONTH(Datos[[#This Row],[Fecha]])/3,0))</f>
        <v>T1</v>
      </c>
      <c r="F128" t="str">
        <f>+CONCATENATE("Sem"," ",ROUNDUP(MONTH(Datos[[#This Row],[Fecha]])/6,0))</f>
        <v>Sem 1</v>
      </c>
      <c r="G128" t="s">
        <v>53</v>
      </c>
      <c r="H128" t="s">
        <v>54</v>
      </c>
      <c r="I128" t="s">
        <v>55</v>
      </c>
      <c r="J128" t="s">
        <v>56</v>
      </c>
      <c r="K128" t="s">
        <v>39</v>
      </c>
      <c r="L128" t="s">
        <v>40</v>
      </c>
      <c r="M128" t="s">
        <v>41</v>
      </c>
      <c r="N128" s="1">
        <v>44968</v>
      </c>
      <c r="O128" s="1">
        <v>45058</v>
      </c>
      <c r="P128" t="s">
        <v>29</v>
      </c>
      <c r="Q128">
        <f>+IF(OR(Datos[[#This Row],[Diagnostico]]="Inservible",Datos[[#This Row],[Estatus]]="Preventivo"),0,Datos[[#This Row],[Fecha_Final]]-Datos[[#This Row],[Día_Inicio]])</f>
        <v>0</v>
      </c>
      <c r="R128" s="2">
        <v>1081</v>
      </c>
      <c r="S128" s="2">
        <v>789</v>
      </c>
      <c r="T128" t="s">
        <v>42</v>
      </c>
    </row>
    <row r="129" spans="1:20" x14ac:dyDescent="0.25">
      <c r="A129" t="s">
        <v>301</v>
      </c>
      <c r="B129" s="1">
        <v>44968</v>
      </c>
      <c r="C129" t="s">
        <v>266</v>
      </c>
      <c r="D129">
        <v>2</v>
      </c>
      <c r="E129" t="str">
        <f>+CONCATENATE("T",ROUNDUP(MONTH(Datos[[#This Row],[Fecha]])/3,0))</f>
        <v>T1</v>
      </c>
      <c r="F129" t="str">
        <f>+CONCATENATE("Sem"," ",ROUNDUP(MONTH(Datos[[#This Row],[Fecha]])/6,0))</f>
        <v>Sem 1</v>
      </c>
      <c r="G129" t="s">
        <v>31</v>
      </c>
      <c r="H129" t="s">
        <v>32</v>
      </c>
      <c r="I129" t="s">
        <v>24</v>
      </c>
      <c r="J129" t="s">
        <v>33</v>
      </c>
      <c r="K129" t="s">
        <v>172</v>
      </c>
      <c r="L129" t="s">
        <v>27</v>
      </c>
      <c r="M129">
        <v>0</v>
      </c>
      <c r="N129" s="1">
        <v>44968</v>
      </c>
      <c r="O129" s="1">
        <v>44977</v>
      </c>
      <c r="P129" t="s">
        <v>58</v>
      </c>
      <c r="Q129">
        <f>+IF(OR(Datos[[#This Row],[Diagnostico]]="Inservible",Datos[[#This Row],[Estatus]]="Preventivo"),0,Datos[[#This Row],[Fecha_Final]]-Datos[[#This Row],[Día_Inicio]])</f>
        <v>9</v>
      </c>
      <c r="R129" s="2">
        <v>852</v>
      </c>
      <c r="S129" s="2">
        <v>567</v>
      </c>
      <c r="T129" t="s">
        <v>91</v>
      </c>
    </row>
    <row r="130" spans="1:20" x14ac:dyDescent="0.25">
      <c r="A130" t="s">
        <v>302</v>
      </c>
      <c r="B130" s="1">
        <v>44968</v>
      </c>
      <c r="C130" t="s">
        <v>266</v>
      </c>
      <c r="D130">
        <v>2</v>
      </c>
      <c r="E130" t="str">
        <f>+CONCATENATE("T",ROUNDUP(MONTH(Datos[[#This Row],[Fecha]])/3,0))</f>
        <v>T1</v>
      </c>
      <c r="F130" t="str">
        <f>+CONCATENATE("Sem"," ",ROUNDUP(MONTH(Datos[[#This Row],[Fecha]])/6,0))</f>
        <v>Sem 1</v>
      </c>
      <c r="G130" t="s">
        <v>125</v>
      </c>
      <c r="H130" t="s">
        <v>126</v>
      </c>
      <c r="I130" t="s">
        <v>24</v>
      </c>
      <c r="J130" t="s">
        <v>127</v>
      </c>
      <c r="K130" t="s">
        <v>97</v>
      </c>
      <c r="L130" t="s">
        <v>27</v>
      </c>
      <c r="M130">
        <v>0</v>
      </c>
      <c r="N130" s="1">
        <v>44968</v>
      </c>
      <c r="O130" s="1">
        <v>44975</v>
      </c>
      <c r="P130" t="s">
        <v>28</v>
      </c>
      <c r="Q130">
        <f>+IF(OR(Datos[[#This Row],[Diagnostico]]="Inservible",Datos[[#This Row],[Estatus]]="Preventivo"),0,Datos[[#This Row],[Fecha_Final]]-Datos[[#This Row],[Día_Inicio]])</f>
        <v>0</v>
      </c>
      <c r="R130" s="2">
        <v>0</v>
      </c>
      <c r="S130" s="2">
        <v>0</v>
      </c>
      <c r="T130" t="s">
        <v>29</v>
      </c>
    </row>
    <row r="131" spans="1:20" x14ac:dyDescent="0.25">
      <c r="A131" t="s">
        <v>303</v>
      </c>
      <c r="B131" s="1">
        <v>44968</v>
      </c>
      <c r="C131" t="s">
        <v>266</v>
      </c>
      <c r="D131">
        <v>2</v>
      </c>
      <c r="E131" t="str">
        <f>+CONCATENATE("T",ROUNDUP(MONTH(Datos[[#This Row],[Fecha]])/3,0))</f>
        <v>T1</v>
      </c>
      <c r="F131" t="str">
        <f>+CONCATENATE("Sem"," ",ROUNDUP(MONTH(Datos[[#This Row],[Fecha]])/6,0))</f>
        <v>Sem 1</v>
      </c>
      <c r="G131" t="s">
        <v>260</v>
      </c>
      <c r="H131" t="s">
        <v>261</v>
      </c>
      <c r="I131" t="s">
        <v>24</v>
      </c>
      <c r="J131" t="s">
        <v>33</v>
      </c>
      <c r="K131" t="s">
        <v>178</v>
      </c>
      <c r="L131" t="s">
        <v>27</v>
      </c>
      <c r="M131">
        <v>0</v>
      </c>
      <c r="N131" s="1">
        <v>44968</v>
      </c>
      <c r="O131" s="1">
        <v>44985</v>
      </c>
      <c r="P131" t="s">
        <v>28</v>
      </c>
      <c r="Q131">
        <f>+IF(OR(Datos[[#This Row],[Diagnostico]]="Inservible",Datos[[#This Row],[Estatus]]="Preventivo"),0,Datos[[#This Row],[Fecha_Final]]-Datos[[#This Row],[Día_Inicio]])</f>
        <v>0</v>
      </c>
      <c r="R131" s="2">
        <v>0</v>
      </c>
      <c r="S131" s="2">
        <v>0</v>
      </c>
      <c r="T131" t="s">
        <v>29</v>
      </c>
    </row>
    <row r="132" spans="1:20" x14ac:dyDescent="0.25">
      <c r="A132" t="s">
        <v>304</v>
      </c>
      <c r="B132" s="1">
        <v>44969</v>
      </c>
      <c r="C132" t="s">
        <v>266</v>
      </c>
      <c r="D132">
        <v>2</v>
      </c>
      <c r="E132" t="str">
        <f>+CONCATENATE("T",ROUNDUP(MONTH(Datos[[#This Row],[Fecha]])/3,0))</f>
        <v>T1</v>
      </c>
      <c r="F132" t="str">
        <f>+CONCATENATE("Sem"," ",ROUNDUP(MONTH(Datos[[#This Row],[Fecha]])/6,0))</f>
        <v>Sem 1</v>
      </c>
      <c r="G132" t="s">
        <v>87</v>
      </c>
      <c r="H132" t="s">
        <v>88</v>
      </c>
      <c r="I132" t="s">
        <v>68</v>
      </c>
      <c r="J132" t="s">
        <v>89</v>
      </c>
      <c r="K132" t="s">
        <v>108</v>
      </c>
      <c r="L132" t="s">
        <v>27</v>
      </c>
      <c r="M132">
        <v>0</v>
      </c>
      <c r="N132" s="1">
        <v>44969</v>
      </c>
      <c r="O132" s="1">
        <v>44994</v>
      </c>
      <c r="P132" t="s">
        <v>28</v>
      </c>
      <c r="Q132">
        <f>+IF(OR(Datos[[#This Row],[Diagnostico]]="Inservible",Datos[[#This Row],[Estatus]]="Preventivo"),0,Datos[[#This Row],[Fecha_Final]]-Datos[[#This Row],[Día_Inicio]])</f>
        <v>0</v>
      </c>
      <c r="R132" s="2">
        <v>0</v>
      </c>
      <c r="S132" s="2">
        <v>0</v>
      </c>
      <c r="T132" t="s">
        <v>29</v>
      </c>
    </row>
    <row r="133" spans="1:20" x14ac:dyDescent="0.25">
      <c r="A133" t="s">
        <v>305</v>
      </c>
      <c r="B133" s="1">
        <v>44969</v>
      </c>
      <c r="C133" t="s">
        <v>266</v>
      </c>
      <c r="D133">
        <v>2</v>
      </c>
      <c r="E133" t="str">
        <f>+CONCATENATE("T",ROUNDUP(MONTH(Datos[[#This Row],[Fecha]])/3,0))</f>
        <v>T1</v>
      </c>
      <c r="F133" t="str">
        <f>+CONCATENATE("Sem"," ",ROUNDUP(MONTH(Datos[[#This Row],[Fecha]])/6,0))</f>
        <v>Sem 1</v>
      </c>
      <c r="G133" t="s">
        <v>141</v>
      </c>
      <c r="H133" t="s">
        <v>142</v>
      </c>
      <c r="I133" t="s">
        <v>24</v>
      </c>
      <c r="J133" t="s">
        <v>143</v>
      </c>
      <c r="K133" t="s">
        <v>110</v>
      </c>
      <c r="L133" t="s">
        <v>27</v>
      </c>
      <c r="M133">
        <v>0</v>
      </c>
      <c r="N133" s="1">
        <v>44969</v>
      </c>
      <c r="O133" s="1">
        <v>44972</v>
      </c>
      <c r="P133" t="s">
        <v>58</v>
      </c>
      <c r="Q133">
        <f>+IF(OR(Datos[[#This Row],[Diagnostico]]="Inservible",Datos[[#This Row],[Estatus]]="Preventivo"),0,Datos[[#This Row],[Fecha_Final]]-Datos[[#This Row],[Día_Inicio]])</f>
        <v>3</v>
      </c>
      <c r="R133" s="2">
        <v>339</v>
      </c>
      <c r="S133" s="2">
        <v>480</v>
      </c>
      <c r="T133" t="s">
        <v>91</v>
      </c>
    </row>
    <row r="134" spans="1:20" x14ac:dyDescent="0.25">
      <c r="A134" t="s">
        <v>306</v>
      </c>
      <c r="B134" s="1">
        <v>44970</v>
      </c>
      <c r="C134" t="s">
        <v>266</v>
      </c>
      <c r="D134">
        <v>2</v>
      </c>
      <c r="E134" t="str">
        <f>+CONCATENATE("T",ROUNDUP(MONTH(Datos[[#This Row],[Fecha]])/3,0))</f>
        <v>T1</v>
      </c>
      <c r="F134" t="str">
        <f>+CONCATENATE("Sem"," ",ROUNDUP(MONTH(Datos[[#This Row],[Fecha]])/6,0))</f>
        <v>Sem 1</v>
      </c>
      <c r="G134" t="s">
        <v>286</v>
      </c>
      <c r="H134" t="s">
        <v>287</v>
      </c>
      <c r="I134" t="s">
        <v>24</v>
      </c>
      <c r="J134" t="s">
        <v>38</v>
      </c>
      <c r="K134" t="s">
        <v>114</v>
      </c>
      <c r="L134" t="s">
        <v>27</v>
      </c>
      <c r="M134">
        <v>0</v>
      </c>
      <c r="N134" s="1">
        <v>44970</v>
      </c>
      <c r="O134" s="1">
        <v>44984</v>
      </c>
      <c r="P134" t="s">
        <v>58</v>
      </c>
      <c r="Q134">
        <f>+IF(OR(Datos[[#This Row],[Diagnostico]]="Inservible",Datos[[#This Row],[Estatus]]="Preventivo"),0,Datos[[#This Row],[Fecha_Final]]-Datos[[#This Row],[Día_Inicio]])</f>
        <v>14</v>
      </c>
      <c r="R134" s="2">
        <v>487</v>
      </c>
      <c r="S134" s="2">
        <v>588</v>
      </c>
      <c r="T134" t="s">
        <v>59</v>
      </c>
    </row>
    <row r="135" spans="1:20" x14ac:dyDescent="0.25">
      <c r="A135" t="s">
        <v>307</v>
      </c>
      <c r="B135" s="1">
        <v>44970</v>
      </c>
      <c r="C135" t="s">
        <v>266</v>
      </c>
      <c r="D135">
        <v>2</v>
      </c>
      <c r="E135" t="str">
        <f>+CONCATENATE("T",ROUNDUP(MONTH(Datos[[#This Row],[Fecha]])/3,0))</f>
        <v>T1</v>
      </c>
      <c r="F135" t="str">
        <f>+CONCATENATE("Sem"," ",ROUNDUP(MONTH(Datos[[#This Row],[Fecha]])/6,0))</f>
        <v>Sem 1</v>
      </c>
      <c r="G135" t="s">
        <v>154</v>
      </c>
      <c r="H135" t="s">
        <v>155</v>
      </c>
      <c r="I135" t="s">
        <v>68</v>
      </c>
      <c r="J135" t="s">
        <v>156</v>
      </c>
      <c r="K135" t="s">
        <v>119</v>
      </c>
      <c r="L135" t="s">
        <v>27</v>
      </c>
      <c r="M135">
        <v>0</v>
      </c>
      <c r="N135" s="1">
        <v>44970</v>
      </c>
      <c r="O135" s="1">
        <v>44977</v>
      </c>
      <c r="P135" t="s">
        <v>58</v>
      </c>
      <c r="Q135">
        <f>+IF(OR(Datos[[#This Row],[Diagnostico]]="Inservible",Datos[[#This Row],[Estatus]]="Preventivo"),0,Datos[[#This Row],[Fecha_Final]]-Datos[[#This Row],[Día_Inicio]])</f>
        <v>7</v>
      </c>
      <c r="R135" s="2">
        <v>652</v>
      </c>
      <c r="S135" s="2">
        <v>217</v>
      </c>
      <c r="T135" t="s">
        <v>42</v>
      </c>
    </row>
    <row r="136" spans="1:20" x14ac:dyDescent="0.25">
      <c r="A136" t="s">
        <v>308</v>
      </c>
      <c r="B136" s="1">
        <v>44970</v>
      </c>
      <c r="C136" t="s">
        <v>266</v>
      </c>
      <c r="D136">
        <v>2</v>
      </c>
      <c r="E136" t="str">
        <f>+CONCATENATE("T",ROUNDUP(MONTH(Datos[[#This Row],[Fecha]])/3,0))</f>
        <v>T1</v>
      </c>
      <c r="F136" t="str">
        <f>+CONCATENATE("Sem"," ",ROUNDUP(MONTH(Datos[[#This Row],[Fecha]])/6,0))</f>
        <v>Sem 1</v>
      </c>
      <c r="G136" t="s">
        <v>36</v>
      </c>
      <c r="H136" t="s">
        <v>37</v>
      </c>
      <c r="I136" t="s">
        <v>24</v>
      </c>
      <c r="J136" t="s">
        <v>38</v>
      </c>
      <c r="K136" t="s">
        <v>39</v>
      </c>
      <c r="L136" t="s">
        <v>40</v>
      </c>
      <c r="M136" t="s">
        <v>196</v>
      </c>
      <c r="N136" s="1">
        <v>44970</v>
      </c>
      <c r="O136" s="1">
        <v>45000</v>
      </c>
      <c r="P136" t="s">
        <v>29</v>
      </c>
      <c r="Q136">
        <f>+IF(OR(Datos[[#This Row],[Diagnostico]]="Inservible",Datos[[#This Row],[Estatus]]="Preventivo"),0,Datos[[#This Row],[Fecha_Final]]-Datos[[#This Row],[Día_Inicio]])</f>
        <v>0</v>
      </c>
      <c r="R136" s="2">
        <v>477</v>
      </c>
      <c r="S136" s="2">
        <v>245</v>
      </c>
      <c r="T136" t="s">
        <v>42</v>
      </c>
    </row>
    <row r="137" spans="1:20" x14ac:dyDescent="0.25">
      <c r="A137" t="s">
        <v>309</v>
      </c>
      <c r="B137" s="1">
        <v>44971</v>
      </c>
      <c r="C137" t="s">
        <v>266</v>
      </c>
      <c r="D137">
        <v>2</v>
      </c>
      <c r="E137" t="str">
        <f>+CONCATENATE("T",ROUNDUP(MONTH(Datos[[#This Row],[Fecha]])/3,0))</f>
        <v>T1</v>
      </c>
      <c r="F137" t="str">
        <f>+CONCATENATE("Sem"," ",ROUNDUP(MONTH(Datos[[#This Row],[Fecha]])/6,0))</f>
        <v>Sem 1</v>
      </c>
      <c r="G137" t="s">
        <v>99</v>
      </c>
      <c r="H137" t="s">
        <v>100</v>
      </c>
      <c r="I137" t="s">
        <v>101</v>
      </c>
      <c r="J137" t="s">
        <v>102</v>
      </c>
      <c r="K137" t="s">
        <v>128</v>
      </c>
      <c r="L137" t="s">
        <v>27</v>
      </c>
      <c r="M137">
        <v>0</v>
      </c>
      <c r="N137" s="1">
        <v>44971</v>
      </c>
      <c r="O137" s="1">
        <v>44999</v>
      </c>
      <c r="P137" t="s">
        <v>28</v>
      </c>
      <c r="Q137">
        <f>+IF(OR(Datos[[#This Row],[Diagnostico]]="Inservible",Datos[[#This Row],[Estatus]]="Preventivo"),0,Datos[[#This Row],[Fecha_Final]]-Datos[[#This Row],[Día_Inicio]])</f>
        <v>0</v>
      </c>
      <c r="R137" s="2">
        <v>0</v>
      </c>
      <c r="S137" s="2">
        <v>0</v>
      </c>
      <c r="T137" t="s">
        <v>29</v>
      </c>
    </row>
    <row r="138" spans="1:20" x14ac:dyDescent="0.25">
      <c r="A138" t="s">
        <v>310</v>
      </c>
      <c r="B138" s="1">
        <v>44971</v>
      </c>
      <c r="C138" t="s">
        <v>266</v>
      </c>
      <c r="D138">
        <v>2</v>
      </c>
      <c r="E138" t="str">
        <f>+CONCATENATE("T",ROUNDUP(MONTH(Datos[[#This Row],[Fecha]])/3,0))</f>
        <v>T1</v>
      </c>
      <c r="F138" t="str">
        <f>+CONCATENATE("Sem"," ",ROUNDUP(MONTH(Datos[[#This Row],[Fecha]])/6,0))</f>
        <v>Sem 1</v>
      </c>
      <c r="G138" t="s">
        <v>260</v>
      </c>
      <c r="H138" t="s">
        <v>261</v>
      </c>
      <c r="I138" t="s">
        <v>24</v>
      </c>
      <c r="J138" t="s">
        <v>33</v>
      </c>
      <c r="K138" t="s">
        <v>130</v>
      </c>
      <c r="L138" t="s">
        <v>27</v>
      </c>
      <c r="M138">
        <v>0</v>
      </c>
      <c r="N138" s="1">
        <v>44971</v>
      </c>
      <c r="O138" s="1">
        <v>44998</v>
      </c>
      <c r="P138" t="s">
        <v>28</v>
      </c>
      <c r="Q138">
        <f>+IF(OR(Datos[[#This Row],[Diagnostico]]="Inservible",Datos[[#This Row],[Estatus]]="Preventivo"),0,Datos[[#This Row],[Fecha_Final]]-Datos[[#This Row],[Día_Inicio]])</f>
        <v>0</v>
      </c>
      <c r="R138" s="2">
        <v>0</v>
      </c>
      <c r="S138" s="2">
        <v>0</v>
      </c>
      <c r="T138" t="s">
        <v>29</v>
      </c>
    </row>
    <row r="139" spans="1:20" x14ac:dyDescent="0.25">
      <c r="A139" t="s">
        <v>311</v>
      </c>
      <c r="B139" s="1">
        <v>44971</v>
      </c>
      <c r="C139" t="s">
        <v>266</v>
      </c>
      <c r="D139">
        <v>2</v>
      </c>
      <c r="E139" t="str">
        <f>+CONCATENATE("T",ROUNDUP(MONTH(Datos[[#This Row],[Fecha]])/3,0))</f>
        <v>T1</v>
      </c>
      <c r="F139" t="str">
        <f>+CONCATENATE("Sem"," ",ROUNDUP(MONTH(Datos[[#This Row],[Fecha]])/6,0))</f>
        <v>Sem 1</v>
      </c>
      <c r="G139" t="s">
        <v>72</v>
      </c>
      <c r="H139" t="s">
        <v>73</v>
      </c>
      <c r="I139" t="s">
        <v>24</v>
      </c>
      <c r="J139" t="s">
        <v>74</v>
      </c>
      <c r="K139" t="s">
        <v>135</v>
      </c>
      <c r="L139" t="s">
        <v>27</v>
      </c>
      <c r="M139">
        <v>0</v>
      </c>
      <c r="N139" s="1">
        <v>44971</v>
      </c>
      <c r="O139" s="1">
        <v>44983</v>
      </c>
      <c r="P139" t="s">
        <v>58</v>
      </c>
      <c r="Q139">
        <f>+IF(OR(Datos[[#This Row],[Diagnostico]]="Inservible",Datos[[#This Row],[Estatus]]="Preventivo"),0,Datos[[#This Row],[Fecha_Final]]-Datos[[#This Row],[Día_Inicio]])</f>
        <v>12</v>
      </c>
      <c r="R139" s="2">
        <v>914</v>
      </c>
      <c r="S139" s="2">
        <v>922</v>
      </c>
      <c r="T139" t="s">
        <v>91</v>
      </c>
    </row>
    <row r="140" spans="1:20" x14ac:dyDescent="0.25">
      <c r="A140" t="s">
        <v>312</v>
      </c>
      <c r="B140" s="1">
        <v>44971</v>
      </c>
      <c r="C140" t="s">
        <v>266</v>
      </c>
      <c r="D140">
        <v>2</v>
      </c>
      <c r="E140" t="str">
        <f>+CONCATENATE("T",ROUNDUP(MONTH(Datos[[#This Row],[Fecha]])/3,0))</f>
        <v>T1</v>
      </c>
      <c r="F140" t="str">
        <f>+CONCATENATE("Sem"," ",ROUNDUP(MONTH(Datos[[#This Row],[Fecha]])/6,0))</f>
        <v>Sem 1</v>
      </c>
      <c r="G140" t="s">
        <v>237</v>
      </c>
      <c r="H140" t="s">
        <v>238</v>
      </c>
      <c r="I140" t="s">
        <v>24</v>
      </c>
      <c r="J140" t="s">
        <v>177</v>
      </c>
      <c r="K140" t="s">
        <v>39</v>
      </c>
      <c r="L140" t="s">
        <v>40</v>
      </c>
      <c r="M140" t="s">
        <v>103</v>
      </c>
      <c r="N140" s="1">
        <v>44971</v>
      </c>
      <c r="O140" s="1">
        <v>44986</v>
      </c>
      <c r="P140" t="s">
        <v>29</v>
      </c>
      <c r="Q140">
        <f>+IF(OR(Datos[[#This Row],[Diagnostico]]="Inservible",Datos[[#This Row],[Estatus]]="Preventivo"),0,Datos[[#This Row],[Fecha_Final]]-Datos[[#This Row],[Día_Inicio]])</f>
        <v>0</v>
      </c>
      <c r="R140" s="2">
        <v>572</v>
      </c>
      <c r="S140" s="2">
        <v>457</v>
      </c>
      <c r="T140" t="s">
        <v>42</v>
      </c>
    </row>
    <row r="141" spans="1:20" x14ac:dyDescent="0.25">
      <c r="A141" t="s">
        <v>313</v>
      </c>
      <c r="B141" s="1">
        <v>44971</v>
      </c>
      <c r="C141" t="s">
        <v>266</v>
      </c>
      <c r="D141">
        <v>2</v>
      </c>
      <c r="E141" t="str">
        <f>+CONCATENATE("T",ROUNDUP(MONTH(Datos[[#This Row],[Fecha]])/3,0))</f>
        <v>T1</v>
      </c>
      <c r="F141" t="str">
        <f>+CONCATENATE("Sem"," ",ROUNDUP(MONTH(Datos[[#This Row],[Fecha]])/6,0))</f>
        <v>Sem 1</v>
      </c>
      <c r="G141" t="s">
        <v>225</v>
      </c>
      <c r="H141" t="s">
        <v>226</v>
      </c>
      <c r="I141" t="s">
        <v>227</v>
      </c>
      <c r="J141" t="s">
        <v>89</v>
      </c>
      <c r="K141" t="s">
        <v>34</v>
      </c>
      <c r="L141" t="s">
        <v>27</v>
      </c>
      <c r="M141">
        <v>0</v>
      </c>
      <c r="N141" s="1">
        <v>44971</v>
      </c>
      <c r="O141" s="1">
        <v>44984</v>
      </c>
      <c r="P141" t="s">
        <v>28</v>
      </c>
      <c r="Q141">
        <f>+IF(OR(Datos[[#This Row],[Diagnostico]]="Inservible",Datos[[#This Row],[Estatus]]="Preventivo"),0,Datos[[#This Row],[Fecha_Final]]-Datos[[#This Row],[Día_Inicio]])</f>
        <v>0</v>
      </c>
      <c r="R141" s="2">
        <v>0</v>
      </c>
      <c r="S141" s="2">
        <v>0</v>
      </c>
      <c r="T141" t="s">
        <v>29</v>
      </c>
    </row>
    <row r="142" spans="1:20" x14ac:dyDescent="0.25">
      <c r="A142" t="s">
        <v>314</v>
      </c>
      <c r="B142" s="1">
        <v>44973</v>
      </c>
      <c r="C142" t="s">
        <v>266</v>
      </c>
      <c r="D142">
        <v>2</v>
      </c>
      <c r="E142" t="str">
        <f>+CONCATENATE("T",ROUNDUP(MONTH(Datos[[#This Row],[Fecha]])/3,0))</f>
        <v>T1</v>
      </c>
      <c r="F142" t="str">
        <f>+CONCATENATE("Sem"," ",ROUNDUP(MONTH(Datos[[#This Row],[Fecha]])/6,0))</f>
        <v>Sem 1</v>
      </c>
      <c r="G142" t="s">
        <v>125</v>
      </c>
      <c r="H142" t="s">
        <v>126</v>
      </c>
      <c r="I142" t="s">
        <v>24</v>
      </c>
      <c r="J142" t="s">
        <v>127</v>
      </c>
      <c r="K142" t="s">
        <v>39</v>
      </c>
      <c r="L142" t="s">
        <v>40</v>
      </c>
      <c r="M142" t="s">
        <v>75</v>
      </c>
      <c r="N142" s="1">
        <v>44973</v>
      </c>
      <c r="O142" s="1">
        <v>45333</v>
      </c>
      <c r="P142" t="s">
        <v>29</v>
      </c>
      <c r="Q142">
        <f>+IF(OR(Datos[[#This Row],[Diagnostico]]="Inservible",Datos[[#This Row],[Estatus]]="Preventivo"),0,Datos[[#This Row],[Fecha_Final]]-Datos[[#This Row],[Día_Inicio]])</f>
        <v>0</v>
      </c>
      <c r="R142" s="2">
        <v>1188</v>
      </c>
      <c r="S142" s="2">
        <v>268</v>
      </c>
      <c r="T142" t="s">
        <v>42</v>
      </c>
    </row>
    <row r="143" spans="1:20" x14ac:dyDescent="0.25">
      <c r="A143" t="s">
        <v>315</v>
      </c>
      <c r="B143" s="1">
        <v>44974</v>
      </c>
      <c r="C143" t="s">
        <v>266</v>
      </c>
      <c r="D143">
        <v>2</v>
      </c>
      <c r="E143" t="str">
        <f>+CONCATENATE("T",ROUNDUP(MONTH(Datos[[#This Row],[Fecha]])/3,0))</f>
        <v>T1</v>
      </c>
      <c r="F143" t="str">
        <f>+CONCATENATE("Sem"," ",ROUNDUP(MONTH(Datos[[#This Row],[Fecha]])/6,0))</f>
        <v>Sem 1</v>
      </c>
      <c r="G143" t="s">
        <v>132</v>
      </c>
      <c r="H143" t="s">
        <v>133</v>
      </c>
      <c r="I143" t="s">
        <v>24</v>
      </c>
      <c r="J143" t="s">
        <v>134</v>
      </c>
      <c r="K143" t="s">
        <v>47</v>
      </c>
      <c r="L143" t="s">
        <v>27</v>
      </c>
      <c r="M143">
        <v>0</v>
      </c>
      <c r="N143" s="1">
        <v>44974</v>
      </c>
      <c r="O143" s="1">
        <v>44989</v>
      </c>
      <c r="P143" t="s">
        <v>58</v>
      </c>
      <c r="Q143">
        <f>+IF(OR(Datos[[#This Row],[Diagnostico]]="Inservible",Datos[[#This Row],[Estatus]]="Preventivo"),0,Datos[[#This Row],[Fecha_Final]]-Datos[[#This Row],[Día_Inicio]])</f>
        <v>15</v>
      </c>
      <c r="R143" s="2">
        <v>572</v>
      </c>
      <c r="S143" s="2">
        <v>267</v>
      </c>
      <c r="T143" t="s">
        <v>91</v>
      </c>
    </row>
    <row r="144" spans="1:20" x14ac:dyDescent="0.25">
      <c r="A144" t="s">
        <v>316</v>
      </c>
      <c r="B144" s="1">
        <v>44974</v>
      </c>
      <c r="C144" t="s">
        <v>266</v>
      </c>
      <c r="D144">
        <v>2</v>
      </c>
      <c r="E144" t="str">
        <f>+CONCATENATE("T",ROUNDUP(MONTH(Datos[[#This Row],[Fecha]])/3,0))</f>
        <v>T1</v>
      </c>
      <c r="F144" t="str">
        <f>+CONCATENATE("Sem"," ",ROUNDUP(MONTH(Datos[[#This Row],[Fecha]])/6,0))</f>
        <v>Sem 1</v>
      </c>
      <c r="G144" t="s">
        <v>49</v>
      </c>
      <c r="H144" t="s">
        <v>23</v>
      </c>
      <c r="I144" t="s">
        <v>24</v>
      </c>
      <c r="J144" t="s">
        <v>50</v>
      </c>
      <c r="K144" t="s">
        <v>147</v>
      </c>
      <c r="L144" t="s">
        <v>27</v>
      </c>
      <c r="M144">
        <v>0</v>
      </c>
      <c r="N144" s="1">
        <v>44974</v>
      </c>
      <c r="O144" s="1">
        <v>44992</v>
      </c>
      <c r="P144" t="s">
        <v>58</v>
      </c>
      <c r="Q144">
        <f>+IF(OR(Datos[[#This Row],[Diagnostico]]="Inservible",Datos[[#This Row],[Estatus]]="Preventivo"),0,Datos[[#This Row],[Fecha_Final]]-Datos[[#This Row],[Día_Inicio]])</f>
        <v>18</v>
      </c>
      <c r="R144" s="2">
        <v>377</v>
      </c>
      <c r="S144" s="2">
        <v>920</v>
      </c>
      <c r="T144" t="s">
        <v>42</v>
      </c>
    </row>
    <row r="145" spans="1:20" x14ac:dyDescent="0.25">
      <c r="A145" t="s">
        <v>317</v>
      </c>
      <c r="B145" s="1">
        <v>44974</v>
      </c>
      <c r="C145" t="s">
        <v>266</v>
      </c>
      <c r="D145">
        <v>2</v>
      </c>
      <c r="E145" t="str">
        <f>+CONCATENATE("T",ROUNDUP(MONTH(Datos[[#This Row],[Fecha]])/3,0))</f>
        <v>T1</v>
      </c>
      <c r="F145" t="str">
        <f>+CONCATENATE("Sem"," ",ROUNDUP(MONTH(Datos[[#This Row],[Fecha]])/6,0))</f>
        <v>Sem 1</v>
      </c>
      <c r="G145" t="s">
        <v>183</v>
      </c>
      <c r="H145" t="s">
        <v>184</v>
      </c>
      <c r="I145" t="s">
        <v>24</v>
      </c>
      <c r="J145" t="s">
        <v>139</v>
      </c>
      <c r="K145" t="s">
        <v>57</v>
      </c>
      <c r="L145" t="s">
        <v>27</v>
      </c>
      <c r="M145">
        <v>0</v>
      </c>
      <c r="N145" s="1">
        <v>44974</v>
      </c>
      <c r="O145" s="1">
        <v>45004</v>
      </c>
      <c r="P145" t="s">
        <v>58</v>
      </c>
      <c r="Q145">
        <f>+IF(OR(Datos[[#This Row],[Diagnostico]]="Inservible",Datos[[#This Row],[Estatus]]="Preventivo"),0,Datos[[#This Row],[Fecha_Final]]-Datos[[#This Row],[Día_Inicio]])</f>
        <v>30</v>
      </c>
      <c r="R145" s="2">
        <v>936</v>
      </c>
      <c r="S145" s="2">
        <v>842</v>
      </c>
      <c r="T145" t="s">
        <v>59</v>
      </c>
    </row>
    <row r="146" spans="1:20" x14ac:dyDescent="0.25">
      <c r="A146" t="s">
        <v>318</v>
      </c>
      <c r="B146" s="1">
        <v>44975</v>
      </c>
      <c r="C146" t="s">
        <v>266</v>
      </c>
      <c r="D146">
        <v>2</v>
      </c>
      <c r="E146" t="str">
        <f>+CONCATENATE("T",ROUNDUP(MONTH(Datos[[#This Row],[Fecha]])/3,0))</f>
        <v>T1</v>
      </c>
      <c r="F146" t="str">
        <f>+CONCATENATE("Sem"," ",ROUNDUP(MONTH(Datos[[#This Row],[Fecha]])/6,0))</f>
        <v>Sem 1</v>
      </c>
      <c r="G146" t="s">
        <v>99</v>
      </c>
      <c r="H146" t="s">
        <v>100</v>
      </c>
      <c r="I146" t="s">
        <v>101</v>
      </c>
      <c r="J146" t="s">
        <v>102</v>
      </c>
      <c r="K146" t="s">
        <v>63</v>
      </c>
      <c r="L146" t="s">
        <v>27</v>
      </c>
      <c r="M146">
        <v>0</v>
      </c>
      <c r="N146" s="1">
        <v>44975</v>
      </c>
      <c r="O146" s="1">
        <v>45001</v>
      </c>
      <c r="P146" t="s">
        <v>58</v>
      </c>
      <c r="Q146">
        <f>+IF(OR(Datos[[#This Row],[Diagnostico]]="Inservible",Datos[[#This Row],[Estatus]]="Preventivo"),0,Datos[[#This Row],[Fecha_Final]]-Datos[[#This Row],[Día_Inicio]])</f>
        <v>26</v>
      </c>
      <c r="R146" s="2">
        <v>337</v>
      </c>
      <c r="S146" s="2">
        <v>378</v>
      </c>
      <c r="T146" t="s">
        <v>91</v>
      </c>
    </row>
    <row r="147" spans="1:20" x14ac:dyDescent="0.25">
      <c r="A147" t="s">
        <v>319</v>
      </c>
      <c r="B147" s="1">
        <v>44975</v>
      </c>
      <c r="C147" t="s">
        <v>266</v>
      </c>
      <c r="D147">
        <v>2</v>
      </c>
      <c r="E147" t="str">
        <f>+CONCATENATE("T",ROUNDUP(MONTH(Datos[[#This Row],[Fecha]])/3,0))</f>
        <v>T1</v>
      </c>
      <c r="F147" t="str">
        <f>+CONCATENATE("Sem"," ",ROUNDUP(MONTH(Datos[[#This Row],[Fecha]])/6,0))</f>
        <v>Sem 1</v>
      </c>
      <c r="G147" t="s">
        <v>149</v>
      </c>
      <c r="H147" t="s">
        <v>150</v>
      </c>
      <c r="I147" t="s">
        <v>68</v>
      </c>
      <c r="J147" t="s">
        <v>151</v>
      </c>
      <c r="K147" t="s">
        <v>70</v>
      </c>
      <c r="L147" t="s">
        <v>27</v>
      </c>
      <c r="M147">
        <v>0</v>
      </c>
      <c r="N147" s="1">
        <v>44975</v>
      </c>
      <c r="O147" s="1">
        <v>44977</v>
      </c>
      <c r="P147" t="s">
        <v>58</v>
      </c>
      <c r="Q147">
        <f>+IF(OR(Datos[[#This Row],[Diagnostico]]="Inservible",Datos[[#This Row],[Estatus]]="Preventivo"),0,Datos[[#This Row],[Fecha_Final]]-Datos[[#This Row],[Día_Inicio]])</f>
        <v>2</v>
      </c>
      <c r="R147" s="2">
        <v>668</v>
      </c>
      <c r="S147" s="2">
        <v>480</v>
      </c>
      <c r="T147" t="s">
        <v>91</v>
      </c>
    </row>
    <row r="148" spans="1:20" x14ac:dyDescent="0.25">
      <c r="A148" t="s">
        <v>320</v>
      </c>
      <c r="B148" s="1">
        <v>44976</v>
      </c>
      <c r="C148" t="s">
        <v>266</v>
      </c>
      <c r="D148">
        <v>2</v>
      </c>
      <c r="E148" t="str">
        <f>+CONCATENATE("T",ROUNDUP(MONTH(Datos[[#This Row],[Fecha]])/3,0))</f>
        <v>T1</v>
      </c>
      <c r="F148" t="str">
        <f>+CONCATENATE("Sem"," ",ROUNDUP(MONTH(Datos[[#This Row],[Fecha]])/6,0))</f>
        <v>Sem 1</v>
      </c>
      <c r="G148" t="s">
        <v>183</v>
      </c>
      <c r="H148" t="s">
        <v>184</v>
      </c>
      <c r="I148" t="s">
        <v>24</v>
      </c>
      <c r="J148" t="s">
        <v>139</v>
      </c>
      <c r="K148" t="s">
        <v>161</v>
      </c>
      <c r="L148" t="s">
        <v>27</v>
      </c>
      <c r="M148">
        <v>0</v>
      </c>
      <c r="N148" s="1">
        <v>44976</v>
      </c>
      <c r="O148" s="1">
        <v>44983</v>
      </c>
      <c r="P148" t="s">
        <v>58</v>
      </c>
      <c r="Q148">
        <f>+IF(OR(Datos[[#This Row],[Diagnostico]]="Inservible",Datos[[#This Row],[Estatus]]="Preventivo"),0,Datos[[#This Row],[Fecha_Final]]-Datos[[#This Row],[Día_Inicio]])</f>
        <v>7</v>
      </c>
      <c r="R148" s="2">
        <v>403</v>
      </c>
      <c r="S148" s="2">
        <v>711</v>
      </c>
      <c r="T148" t="s">
        <v>91</v>
      </c>
    </row>
    <row r="149" spans="1:20" x14ac:dyDescent="0.25">
      <c r="A149" t="s">
        <v>321</v>
      </c>
      <c r="B149" s="1">
        <v>44976</v>
      </c>
      <c r="C149" t="s">
        <v>266</v>
      </c>
      <c r="D149">
        <v>2</v>
      </c>
      <c r="E149" t="str">
        <f>+CONCATENATE("T",ROUNDUP(MONTH(Datos[[#This Row],[Fecha]])/3,0))</f>
        <v>T1</v>
      </c>
      <c r="F149" t="str">
        <f>+CONCATENATE("Sem"," ",ROUNDUP(MONTH(Datos[[#This Row],[Fecha]])/6,0))</f>
        <v>Sem 1</v>
      </c>
      <c r="G149" t="s">
        <v>22</v>
      </c>
      <c r="H149" t="s">
        <v>23</v>
      </c>
      <c r="I149" t="s">
        <v>24</v>
      </c>
      <c r="J149" t="s">
        <v>25</v>
      </c>
      <c r="K149" t="s">
        <v>80</v>
      </c>
      <c r="L149" t="s">
        <v>27</v>
      </c>
      <c r="M149">
        <v>0</v>
      </c>
      <c r="N149" s="1">
        <v>44976</v>
      </c>
      <c r="O149" s="1">
        <v>44983</v>
      </c>
      <c r="P149" t="s">
        <v>58</v>
      </c>
      <c r="Q149">
        <f>+IF(OR(Datos[[#This Row],[Diagnostico]]="Inservible",Datos[[#This Row],[Estatus]]="Preventivo"),0,Datos[[#This Row],[Fecha_Final]]-Datos[[#This Row],[Día_Inicio]])</f>
        <v>7</v>
      </c>
      <c r="R149" s="2">
        <v>847</v>
      </c>
      <c r="S149" s="2">
        <v>186</v>
      </c>
      <c r="T149" t="s">
        <v>59</v>
      </c>
    </row>
    <row r="150" spans="1:20" x14ac:dyDescent="0.25">
      <c r="A150" t="s">
        <v>322</v>
      </c>
      <c r="B150" s="1">
        <v>44976</v>
      </c>
      <c r="C150" t="s">
        <v>266</v>
      </c>
      <c r="D150">
        <v>2</v>
      </c>
      <c r="E150" t="str">
        <f>+CONCATENATE("T",ROUNDUP(MONTH(Datos[[#This Row],[Fecha]])/3,0))</f>
        <v>T1</v>
      </c>
      <c r="F150" t="str">
        <f>+CONCATENATE("Sem"," ",ROUNDUP(MONTH(Datos[[#This Row],[Fecha]])/6,0))</f>
        <v>Sem 1</v>
      </c>
      <c r="G150" t="s">
        <v>215</v>
      </c>
      <c r="H150" t="s">
        <v>216</v>
      </c>
      <c r="I150" t="s">
        <v>24</v>
      </c>
      <c r="J150" t="s">
        <v>50</v>
      </c>
      <c r="K150" t="s">
        <v>85</v>
      </c>
      <c r="L150" t="s">
        <v>27</v>
      </c>
      <c r="M150">
        <v>0</v>
      </c>
      <c r="N150" s="1">
        <v>44976</v>
      </c>
      <c r="O150" s="1">
        <v>44977</v>
      </c>
      <c r="P150" t="s">
        <v>58</v>
      </c>
      <c r="Q150">
        <f>+IF(OR(Datos[[#This Row],[Diagnostico]]="Inservible",Datos[[#This Row],[Estatus]]="Preventivo"),0,Datos[[#This Row],[Fecha_Final]]-Datos[[#This Row],[Día_Inicio]])</f>
        <v>1</v>
      </c>
      <c r="R150" s="2">
        <v>717</v>
      </c>
      <c r="S150" s="2">
        <v>382</v>
      </c>
      <c r="T150" t="s">
        <v>59</v>
      </c>
    </row>
    <row r="151" spans="1:20" x14ac:dyDescent="0.25">
      <c r="A151" t="s">
        <v>323</v>
      </c>
      <c r="B151" s="1">
        <v>44977</v>
      </c>
      <c r="C151" t="s">
        <v>266</v>
      </c>
      <c r="D151">
        <v>2</v>
      </c>
      <c r="E151" t="str">
        <f>+CONCATENATE("T",ROUNDUP(MONTH(Datos[[#This Row],[Fecha]])/3,0))</f>
        <v>T1</v>
      </c>
      <c r="F151" t="str">
        <f>+CONCATENATE("Sem"," ",ROUNDUP(MONTH(Datos[[#This Row],[Fecha]])/6,0))</f>
        <v>Sem 1</v>
      </c>
      <c r="G151" t="s">
        <v>53</v>
      </c>
      <c r="H151" t="s">
        <v>54</v>
      </c>
      <c r="I151" t="s">
        <v>55</v>
      </c>
      <c r="J151" t="s">
        <v>56</v>
      </c>
      <c r="K151" t="s">
        <v>90</v>
      </c>
      <c r="L151" t="s">
        <v>27</v>
      </c>
      <c r="M151">
        <v>0</v>
      </c>
      <c r="N151" s="1">
        <v>44977</v>
      </c>
      <c r="O151" s="1">
        <v>44978</v>
      </c>
      <c r="P151" t="s">
        <v>28</v>
      </c>
      <c r="Q151">
        <f>+IF(OR(Datos[[#This Row],[Diagnostico]]="Inservible",Datos[[#This Row],[Estatus]]="Preventivo"),0,Datos[[#This Row],[Fecha_Final]]-Datos[[#This Row],[Día_Inicio]])</f>
        <v>0</v>
      </c>
      <c r="R151" s="2">
        <v>0</v>
      </c>
      <c r="S151" s="2">
        <v>0</v>
      </c>
      <c r="T151" t="s">
        <v>29</v>
      </c>
    </row>
    <row r="152" spans="1:20" x14ac:dyDescent="0.25">
      <c r="A152" t="s">
        <v>324</v>
      </c>
      <c r="B152" s="1">
        <v>44977</v>
      </c>
      <c r="C152" t="s">
        <v>266</v>
      </c>
      <c r="D152">
        <v>2</v>
      </c>
      <c r="E152" t="str">
        <f>+CONCATENATE("T",ROUNDUP(MONTH(Datos[[#This Row],[Fecha]])/3,0))</f>
        <v>T1</v>
      </c>
      <c r="F152" t="str">
        <f>+CONCATENATE("Sem"," ",ROUNDUP(MONTH(Datos[[#This Row],[Fecha]])/6,0))</f>
        <v>Sem 1</v>
      </c>
      <c r="G152" t="s">
        <v>260</v>
      </c>
      <c r="H152" t="s">
        <v>261</v>
      </c>
      <c r="I152" t="s">
        <v>24</v>
      </c>
      <c r="J152" t="s">
        <v>33</v>
      </c>
      <c r="K152" t="s">
        <v>39</v>
      </c>
      <c r="L152" t="s">
        <v>40</v>
      </c>
      <c r="M152" t="s">
        <v>51</v>
      </c>
      <c r="N152" s="1">
        <v>44977</v>
      </c>
      <c r="O152" s="1">
        <v>45037</v>
      </c>
      <c r="P152" t="s">
        <v>29</v>
      </c>
      <c r="Q152">
        <f>+IF(OR(Datos[[#This Row],[Diagnostico]]="Inservible",Datos[[#This Row],[Estatus]]="Preventivo"),0,Datos[[#This Row],[Fecha_Final]]-Datos[[#This Row],[Día_Inicio]])</f>
        <v>0</v>
      </c>
      <c r="R152" s="2">
        <v>427</v>
      </c>
      <c r="S152" s="2">
        <v>170</v>
      </c>
      <c r="T152" t="s">
        <v>42</v>
      </c>
    </row>
    <row r="153" spans="1:20" x14ac:dyDescent="0.25">
      <c r="A153" t="s">
        <v>325</v>
      </c>
      <c r="B153" s="1">
        <v>44977</v>
      </c>
      <c r="C153" t="s">
        <v>266</v>
      </c>
      <c r="D153">
        <v>2</v>
      </c>
      <c r="E153" t="str">
        <f>+CONCATENATE("T",ROUNDUP(MONTH(Datos[[#This Row],[Fecha]])/3,0))</f>
        <v>T1</v>
      </c>
      <c r="F153" t="str">
        <f>+CONCATENATE("Sem"," ",ROUNDUP(MONTH(Datos[[#This Row],[Fecha]])/6,0))</f>
        <v>Sem 1</v>
      </c>
      <c r="G153" t="s">
        <v>246</v>
      </c>
      <c r="H153" t="s">
        <v>247</v>
      </c>
      <c r="I153" t="s">
        <v>24</v>
      </c>
      <c r="J153" t="s">
        <v>156</v>
      </c>
      <c r="K153" t="s">
        <v>97</v>
      </c>
      <c r="L153" t="s">
        <v>27</v>
      </c>
      <c r="M153">
        <v>0</v>
      </c>
      <c r="N153" s="1">
        <v>44977</v>
      </c>
      <c r="O153" s="1">
        <v>45001</v>
      </c>
      <c r="P153" t="s">
        <v>58</v>
      </c>
      <c r="Q153">
        <f>+IF(OR(Datos[[#This Row],[Diagnostico]]="Inservible",Datos[[#This Row],[Estatus]]="Preventivo"),0,Datos[[#This Row],[Fecha_Final]]-Datos[[#This Row],[Día_Inicio]])</f>
        <v>24</v>
      </c>
      <c r="R153" s="2">
        <v>1175</v>
      </c>
      <c r="S153" s="2">
        <v>884</v>
      </c>
      <c r="T153" t="s">
        <v>42</v>
      </c>
    </row>
    <row r="154" spans="1:20" x14ac:dyDescent="0.25">
      <c r="A154" t="s">
        <v>326</v>
      </c>
      <c r="B154" s="1">
        <v>44977</v>
      </c>
      <c r="C154" t="s">
        <v>266</v>
      </c>
      <c r="D154">
        <v>2</v>
      </c>
      <c r="E154" t="str">
        <f>+CONCATENATE("T",ROUNDUP(MONTH(Datos[[#This Row],[Fecha]])/3,0))</f>
        <v>T1</v>
      </c>
      <c r="F154" t="str">
        <f>+CONCATENATE("Sem"," ",ROUNDUP(MONTH(Datos[[#This Row],[Fecha]])/6,0))</f>
        <v>Sem 1</v>
      </c>
      <c r="G154" t="s">
        <v>125</v>
      </c>
      <c r="H154" t="s">
        <v>126</v>
      </c>
      <c r="I154" t="s">
        <v>24</v>
      </c>
      <c r="J154" t="s">
        <v>127</v>
      </c>
      <c r="K154" t="s">
        <v>39</v>
      </c>
      <c r="L154" t="s">
        <v>40</v>
      </c>
      <c r="M154" t="s">
        <v>208</v>
      </c>
      <c r="N154" s="1">
        <v>44977</v>
      </c>
      <c r="O154" s="1">
        <v>44984</v>
      </c>
      <c r="P154" t="s">
        <v>29</v>
      </c>
      <c r="Q154">
        <f>+IF(OR(Datos[[#This Row],[Diagnostico]]="Inservible",Datos[[#This Row],[Estatus]]="Preventivo"),0,Datos[[#This Row],[Fecha_Final]]-Datos[[#This Row],[Día_Inicio]])</f>
        <v>0</v>
      </c>
      <c r="R154" s="2">
        <v>424</v>
      </c>
      <c r="S154" s="2">
        <v>258</v>
      </c>
      <c r="T154" t="s">
        <v>42</v>
      </c>
    </row>
    <row r="155" spans="1:20" x14ac:dyDescent="0.25">
      <c r="A155" t="s">
        <v>327</v>
      </c>
      <c r="B155" s="1">
        <v>44977</v>
      </c>
      <c r="C155" t="s">
        <v>266</v>
      </c>
      <c r="D155">
        <v>2</v>
      </c>
      <c r="E155" t="str">
        <f>+CONCATENATE("T",ROUNDUP(MONTH(Datos[[#This Row],[Fecha]])/3,0))</f>
        <v>T1</v>
      </c>
      <c r="F155" t="str">
        <f>+CONCATENATE("Sem"," ",ROUNDUP(MONTH(Datos[[#This Row],[Fecha]])/6,0))</f>
        <v>Sem 1</v>
      </c>
      <c r="G155" t="s">
        <v>31</v>
      </c>
      <c r="H155" t="s">
        <v>32</v>
      </c>
      <c r="I155" t="s">
        <v>24</v>
      </c>
      <c r="J155" t="s">
        <v>33</v>
      </c>
      <c r="K155" t="s">
        <v>108</v>
      </c>
      <c r="L155" t="s">
        <v>27</v>
      </c>
      <c r="M155">
        <v>0</v>
      </c>
      <c r="N155" s="1">
        <v>44977</v>
      </c>
      <c r="O155" s="1">
        <v>45005</v>
      </c>
      <c r="P155" t="s">
        <v>58</v>
      </c>
      <c r="Q155">
        <f>+IF(OR(Datos[[#This Row],[Diagnostico]]="Inservible",Datos[[#This Row],[Estatus]]="Preventivo"),0,Datos[[#This Row],[Fecha_Final]]-Datos[[#This Row],[Día_Inicio]])</f>
        <v>28</v>
      </c>
      <c r="R155" s="2">
        <v>447</v>
      </c>
      <c r="S155" s="2">
        <v>940</v>
      </c>
      <c r="T155" t="s">
        <v>42</v>
      </c>
    </row>
    <row r="156" spans="1:20" x14ac:dyDescent="0.25">
      <c r="A156" t="s">
        <v>328</v>
      </c>
      <c r="B156" s="1">
        <v>44978</v>
      </c>
      <c r="C156" t="s">
        <v>266</v>
      </c>
      <c r="D156">
        <v>2</v>
      </c>
      <c r="E156" t="str">
        <f>+CONCATENATE("T",ROUNDUP(MONTH(Datos[[#This Row],[Fecha]])/3,0))</f>
        <v>T1</v>
      </c>
      <c r="F156" t="str">
        <f>+CONCATENATE("Sem"," ",ROUNDUP(MONTH(Datos[[#This Row],[Fecha]])/6,0))</f>
        <v>Sem 1</v>
      </c>
      <c r="G156" t="s">
        <v>246</v>
      </c>
      <c r="H156" t="s">
        <v>247</v>
      </c>
      <c r="I156" t="s">
        <v>24</v>
      </c>
      <c r="J156" t="s">
        <v>156</v>
      </c>
      <c r="K156" t="s">
        <v>39</v>
      </c>
      <c r="L156" t="s">
        <v>40</v>
      </c>
      <c r="M156" t="s">
        <v>75</v>
      </c>
      <c r="N156" s="1">
        <v>44978</v>
      </c>
      <c r="O156" s="1">
        <v>45338</v>
      </c>
      <c r="P156" t="s">
        <v>29</v>
      </c>
      <c r="Q156">
        <f>+IF(OR(Datos[[#This Row],[Diagnostico]]="Inservible",Datos[[#This Row],[Estatus]]="Preventivo"),0,Datos[[#This Row],[Fecha_Final]]-Datos[[#This Row],[Día_Inicio]])</f>
        <v>0</v>
      </c>
      <c r="R156" s="2">
        <v>868</v>
      </c>
      <c r="S156" s="2">
        <v>751</v>
      </c>
      <c r="T156" t="s">
        <v>42</v>
      </c>
    </row>
    <row r="157" spans="1:20" x14ac:dyDescent="0.25">
      <c r="A157" t="s">
        <v>329</v>
      </c>
      <c r="B157" s="1">
        <v>44978</v>
      </c>
      <c r="C157" t="s">
        <v>266</v>
      </c>
      <c r="D157">
        <v>2</v>
      </c>
      <c r="E157" t="str">
        <f>+CONCATENATE("T",ROUNDUP(MONTH(Datos[[#This Row],[Fecha]])/3,0))</f>
        <v>T1</v>
      </c>
      <c r="F157" t="str">
        <f>+CONCATENATE("Sem"," ",ROUNDUP(MONTH(Datos[[#This Row],[Fecha]])/6,0))</f>
        <v>Sem 1</v>
      </c>
      <c r="G157" t="s">
        <v>202</v>
      </c>
      <c r="H157" t="s">
        <v>203</v>
      </c>
      <c r="I157" t="s">
        <v>24</v>
      </c>
      <c r="J157" t="s">
        <v>204</v>
      </c>
      <c r="K157" t="s">
        <v>114</v>
      </c>
      <c r="L157" t="s">
        <v>27</v>
      </c>
      <c r="M157">
        <v>0</v>
      </c>
      <c r="N157" s="1">
        <v>44978</v>
      </c>
      <c r="O157" s="1">
        <v>44989</v>
      </c>
      <c r="P157" t="s">
        <v>58</v>
      </c>
      <c r="Q157">
        <f>+IF(OR(Datos[[#This Row],[Diagnostico]]="Inservible",Datos[[#This Row],[Estatus]]="Preventivo"),0,Datos[[#This Row],[Fecha_Final]]-Datos[[#This Row],[Día_Inicio]])</f>
        <v>11</v>
      </c>
      <c r="R157" s="2">
        <v>688</v>
      </c>
      <c r="S157" s="2">
        <v>454</v>
      </c>
      <c r="T157" t="s">
        <v>91</v>
      </c>
    </row>
    <row r="158" spans="1:20" x14ac:dyDescent="0.25">
      <c r="A158" t="s">
        <v>330</v>
      </c>
      <c r="B158" s="1">
        <v>44979</v>
      </c>
      <c r="C158" t="s">
        <v>266</v>
      </c>
      <c r="D158">
        <v>2</v>
      </c>
      <c r="E158" t="str">
        <f>+CONCATENATE("T",ROUNDUP(MONTH(Datos[[#This Row],[Fecha]])/3,0))</f>
        <v>T1</v>
      </c>
      <c r="F158" t="str">
        <f>+CONCATENATE("Sem"," ",ROUNDUP(MONTH(Datos[[#This Row],[Fecha]])/6,0))</f>
        <v>Sem 1</v>
      </c>
      <c r="G158" t="s">
        <v>331</v>
      </c>
      <c r="H158" t="s">
        <v>332</v>
      </c>
      <c r="I158" t="s">
        <v>68</v>
      </c>
      <c r="J158" t="s">
        <v>74</v>
      </c>
      <c r="K158" t="s">
        <v>39</v>
      </c>
      <c r="L158" t="s">
        <v>40</v>
      </c>
      <c r="M158" t="s">
        <v>188</v>
      </c>
      <c r="N158" s="1">
        <v>44979</v>
      </c>
      <c r="O158" s="1">
        <v>45159</v>
      </c>
      <c r="P158" t="s">
        <v>29</v>
      </c>
      <c r="Q158">
        <f>+IF(OR(Datos[[#This Row],[Diagnostico]]="Inservible",Datos[[#This Row],[Estatus]]="Preventivo"),0,Datos[[#This Row],[Fecha_Final]]-Datos[[#This Row],[Día_Inicio]])</f>
        <v>0</v>
      </c>
      <c r="R158" s="2">
        <v>497</v>
      </c>
      <c r="S158" s="2">
        <v>910</v>
      </c>
      <c r="T158" t="s">
        <v>42</v>
      </c>
    </row>
    <row r="159" spans="1:20" x14ac:dyDescent="0.25">
      <c r="A159" t="s">
        <v>333</v>
      </c>
      <c r="B159" s="1">
        <v>44979</v>
      </c>
      <c r="C159" t="s">
        <v>266</v>
      </c>
      <c r="D159">
        <v>2</v>
      </c>
      <c r="E159" t="str">
        <f>+CONCATENATE("T",ROUNDUP(MONTH(Datos[[#This Row],[Fecha]])/3,0))</f>
        <v>T1</v>
      </c>
      <c r="F159" t="str">
        <f>+CONCATENATE("Sem"," ",ROUNDUP(MONTH(Datos[[#This Row],[Fecha]])/6,0))</f>
        <v>Sem 1</v>
      </c>
      <c r="G159" t="s">
        <v>154</v>
      </c>
      <c r="H159" t="s">
        <v>155</v>
      </c>
      <c r="I159" t="s">
        <v>68</v>
      </c>
      <c r="J159" t="s">
        <v>156</v>
      </c>
      <c r="K159" t="s">
        <v>123</v>
      </c>
      <c r="L159" t="s">
        <v>27</v>
      </c>
      <c r="M159">
        <v>0</v>
      </c>
      <c r="N159" s="1">
        <v>44979</v>
      </c>
      <c r="O159" s="1">
        <v>45004</v>
      </c>
      <c r="P159" t="s">
        <v>28</v>
      </c>
      <c r="Q159">
        <f>+IF(OR(Datos[[#This Row],[Diagnostico]]="Inservible",Datos[[#This Row],[Estatus]]="Preventivo"),0,Datos[[#This Row],[Fecha_Final]]-Datos[[#This Row],[Día_Inicio]])</f>
        <v>0</v>
      </c>
      <c r="R159" s="2">
        <v>0</v>
      </c>
      <c r="S159" s="2">
        <v>0</v>
      </c>
      <c r="T159" t="s">
        <v>29</v>
      </c>
    </row>
    <row r="160" spans="1:20" x14ac:dyDescent="0.25">
      <c r="A160" t="s">
        <v>334</v>
      </c>
      <c r="B160" s="1">
        <v>44980</v>
      </c>
      <c r="C160" t="s">
        <v>266</v>
      </c>
      <c r="D160">
        <v>2</v>
      </c>
      <c r="E160" t="str">
        <f>+CONCATENATE("T",ROUNDUP(MONTH(Datos[[#This Row],[Fecha]])/3,0))</f>
        <v>T1</v>
      </c>
      <c r="F160" t="str">
        <f>+CONCATENATE("Sem"," ",ROUNDUP(MONTH(Datos[[#This Row],[Fecha]])/6,0))</f>
        <v>Sem 1</v>
      </c>
      <c r="G160" t="s">
        <v>335</v>
      </c>
      <c r="H160" t="s">
        <v>336</v>
      </c>
      <c r="I160" t="s">
        <v>24</v>
      </c>
      <c r="J160" t="s">
        <v>118</v>
      </c>
      <c r="K160" t="s">
        <v>39</v>
      </c>
      <c r="L160" t="s">
        <v>40</v>
      </c>
      <c r="M160" t="s">
        <v>51</v>
      </c>
      <c r="N160" s="1">
        <v>44980</v>
      </c>
      <c r="O160" s="1">
        <v>45040</v>
      </c>
      <c r="P160" t="s">
        <v>29</v>
      </c>
      <c r="Q160">
        <f>+IF(OR(Datos[[#This Row],[Diagnostico]]="Inservible",Datos[[#This Row],[Estatus]]="Preventivo"),0,Datos[[#This Row],[Fecha_Final]]-Datos[[#This Row],[Día_Inicio]])</f>
        <v>0</v>
      </c>
      <c r="R160" s="2">
        <v>1102</v>
      </c>
      <c r="S160" s="2">
        <v>271</v>
      </c>
      <c r="T160" t="s">
        <v>42</v>
      </c>
    </row>
    <row r="161" spans="1:20" x14ac:dyDescent="0.25">
      <c r="A161" t="s">
        <v>337</v>
      </c>
      <c r="B161" s="1">
        <v>44980</v>
      </c>
      <c r="C161" t="s">
        <v>266</v>
      </c>
      <c r="D161">
        <v>2</v>
      </c>
      <c r="E161" t="str">
        <f>+CONCATENATE("T",ROUNDUP(MONTH(Datos[[#This Row],[Fecha]])/3,0))</f>
        <v>T1</v>
      </c>
      <c r="F161" t="str">
        <f>+CONCATENATE("Sem"," ",ROUNDUP(MONTH(Datos[[#This Row],[Fecha]])/6,0))</f>
        <v>Sem 1</v>
      </c>
      <c r="G161" t="s">
        <v>260</v>
      </c>
      <c r="H161" t="s">
        <v>261</v>
      </c>
      <c r="I161" t="s">
        <v>24</v>
      </c>
      <c r="J161" t="s">
        <v>33</v>
      </c>
      <c r="K161" t="s">
        <v>130</v>
      </c>
      <c r="L161" t="s">
        <v>27</v>
      </c>
      <c r="M161">
        <v>0</v>
      </c>
      <c r="N161" s="1">
        <v>44980</v>
      </c>
      <c r="O161" s="1">
        <v>44996</v>
      </c>
      <c r="P161" t="s">
        <v>28</v>
      </c>
      <c r="Q161">
        <f>+IF(OR(Datos[[#This Row],[Diagnostico]]="Inservible",Datos[[#This Row],[Estatus]]="Preventivo"),0,Datos[[#This Row],[Fecha_Final]]-Datos[[#This Row],[Día_Inicio]])</f>
        <v>0</v>
      </c>
      <c r="R161" s="2">
        <v>0</v>
      </c>
      <c r="S161" s="2">
        <v>0</v>
      </c>
      <c r="T161" t="s">
        <v>29</v>
      </c>
    </row>
    <row r="162" spans="1:20" x14ac:dyDescent="0.25">
      <c r="A162" t="s">
        <v>338</v>
      </c>
      <c r="B162" s="1">
        <v>44980</v>
      </c>
      <c r="C162" t="s">
        <v>266</v>
      </c>
      <c r="D162">
        <v>2</v>
      </c>
      <c r="E162" t="str">
        <f>+CONCATENATE("T",ROUNDUP(MONTH(Datos[[#This Row],[Fecha]])/3,0))</f>
        <v>T1</v>
      </c>
      <c r="F162" t="str">
        <f>+CONCATENATE("Sem"," ",ROUNDUP(MONTH(Datos[[#This Row],[Fecha]])/6,0))</f>
        <v>Sem 1</v>
      </c>
      <c r="G162" t="s">
        <v>49</v>
      </c>
      <c r="H162" t="s">
        <v>23</v>
      </c>
      <c r="I162" t="s">
        <v>24</v>
      </c>
      <c r="J162" t="s">
        <v>50</v>
      </c>
      <c r="K162" t="s">
        <v>39</v>
      </c>
      <c r="L162" t="s">
        <v>40</v>
      </c>
      <c r="M162" t="s">
        <v>41</v>
      </c>
      <c r="N162" s="1">
        <v>44980</v>
      </c>
      <c r="O162" s="1">
        <v>45070</v>
      </c>
      <c r="P162" t="s">
        <v>29</v>
      </c>
      <c r="Q162">
        <f>+IF(OR(Datos[[#This Row],[Diagnostico]]="Inservible",Datos[[#This Row],[Estatus]]="Preventivo"),0,Datos[[#This Row],[Fecha_Final]]-Datos[[#This Row],[Día_Inicio]])</f>
        <v>0</v>
      </c>
      <c r="R162" s="2">
        <v>845</v>
      </c>
      <c r="S162" s="2">
        <v>409</v>
      </c>
      <c r="T162" t="s">
        <v>42</v>
      </c>
    </row>
    <row r="163" spans="1:20" x14ac:dyDescent="0.25">
      <c r="A163" t="s">
        <v>339</v>
      </c>
      <c r="B163" s="1">
        <v>44980</v>
      </c>
      <c r="C163" t="s">
        <v>266</v>
      </c>
      <c r="D163">
        <v>2</v>
      </c>
      <c r="E163" t="str">
        <f>+CONCATENATE("T",ROUNDUP(MONTH(Datos[[#This Row],[Fecha]])/3,0))</f>
        <v>T1</v>
      </c>
      <c r="F163" t="str">
        <f>+CONCATENATE("Sem"," ",ROUNDUP(MONTH(Datos[[#This Row],[Fecha]])/6,0))</f>
        <v>Sem 1</v>
      </c>
      <c r="G163" t="s">
        <v>180</v>
      </c>
      <c r="H163" t="s">
        <v>181</v>
      </c>
      <c r="I163" t="s">
        <v>24</v>
      </c>
      <c r="J163" t="s">
        <v>127</v>
      </c>
      <c r="K163" t="s">
        <v>26</v>
      </c>
      <c r="L163" t="s">
        <v>27</v>
      </c>
      <c r="M163">
        <v>0</v>
      </c>
      <c r="N163" s="1">
        <v>44980</v>
      </c>
      <c r="O163" s="1">
        <v>45002</v>
      </c>
      <c r="P163" t="s">
        <v>58</v>
      </c>
      <c r="Q163">
        <f>+IF(OR(Datos[[#This Row],[Diagnostico]]="Inservible",Datos[[#This Row],[Estatus]]="Preventivo"),0,Datos[[#This Row],[Fecha_Final]]-Datos[[#This Row],[Día_Inicio]])</f>
        <v>22</v>
      </c>
      <c r="R163" s="2">
        <v>884</v>
      </c>
      <c r="S163" s="2">
        <v>560</v>
      </c>
      <c r="T163" t="s">
        <v>91</v>
      </c>
    </row>
    <row r="164" spans="1:20" x14ac:dyDescent="0.25">
      <c r="A164" t="s">
        <v>340</v>
      </c>
      <c r="B164" s="1">
        <v>44980</v>
      </c>
      <c r="C164" t="s">
        <v>266</v>
      </c>
      <c r="D164">
        <v>2</v>
      </c>
      <c r="E164" t="str">
        <f>+CONCATENATE("T",ROUNDUP(MONTH(Datos[[#This Row],[Fecha]])/3,0))</f>
        <v>T1</v>
      </c>
      <c r="F164" t="str">
        <f>+CONCATENATE("Sem"," ",ROUNDUP(MONTH(Datos[[#This Row],[Fecha]])/6,0))</f>
        <v>Sem 1</v>
      </c>
      <c r="G164" t="s">
        <v>149</v>
      </c>
      <c r="H164" t="s">
        <v>150</v>
      </c>
      <c r="I164" t="s">
        <v>68</v>
      </c>
      <c r="J164" t="s">
        <v>151</v>
      </c>
      <c r="K164" t="s">
        <v>39</v>
      </c>
      <c r="L164" t="s">
        <v>40</v>
      </c>
      <c r="M164" t="s">
        <v>103</v>
      </c>
      <c r="N164" s="1">
        <v>44980</v>
      </c>
      <c r="O164" s="1">
        <v>44995</v>
      </c>
      <c r="P164" t="s">
        <v>29</v>
      </c>
      <c r="Q164">
        <f>+IF(OR(Datos[[#This Row],[Diagnostico]]="Inservible",Datos[[#This Row],[Estatus]]="Preventivo"),0,Datos[[#This Row],[Fecha_Final]]-Datos[[#This Row],[Día_Inicio]])</f>
        <v>0</v>
      </c>
      <c r="R164" s="2">
        <v>572</v>
      </c>
      <c r="S164" s="2">
        <v>814</v>
      </c>
      <c r="T164" t="s">
        <v>42</v>
      </c>
    </row>
    <row r="165" spans="1:20" x14ac:dyDescent="0.25">
      <c r="A165" t="s">
        <v>341</v>
      </c>
      <c r="B165" s="1">
        <v>44981</v>
      </c>
      <c r="C165" t="s">
        <v>266</v>
      </c>
      <c r="D165">
        <v>2</v>
      </c>
      <c r="E165" t="str">
        <f>+CONCATENATE("T",ROUNDUP(MONTH(Datos[[#This Row],[Fecha]])/3,0))</f>
        <v>T1</v>
      </c>
      <c r="F165" t="str">
        <f>+CONCATENATE("Sem"," ",ROUNDUP(MONTH(Datos[[#This Row],[Fecha]])/6,0))</f>
        <v>Sem 1</v>
      </c>
      <c r="G165" t="s">
        <v>215</v>
      </c>
      <c r="H165" t="s">
        <v>216</v>
      </c>
      <c r="I165" t="s">
        <v>24</v>
      </c>
      <c r="J165" t="s">
        <v>50</v>
      </c>
      <c r="K165" t="s">
        <v>39</v>
      </c>
      <c r="L165" t="s">
        <v>27</v>
      </c>
      <c r="M165">
        <v>0</v>
      </c>
      <c r="N165" s="1">
        <v>44981</v>
      </c>
      <c r="O165" s="1">
        <v>44987</v>
      </c>
      <c r="P165" t="s">
        <v>28</v>
      </c>
      <c r="Q165">
        <f>+IF(OR(Datos[[#This Row],[Diagnostico]]="Inservible",Datos[[#This Row],[Estatus]]="Preventivo"),0,Datos[[#This Row],[Fecha_Final]]-Datos[[#This Row],[Día_Inicio]])</f>
        <v>0</v>
      </c>
      <c r="R165" s="2">
        <v>0</v>
      </c>
      <c r="S165" s="2">
        <v>0</v>
      </c>
      <c r="T165" t="s">
        <v>29</v>
      </c>
    </row>
    <row r="166" spans="1:20" x14ac:dyDescent="0.25">
      <c r="A166" t="s">
        <v>342</v>
      </c>
      <c r="B166" s="1">
        <v>44981</v>
      </c>
      <c r="C166" t="s">
        <v>266</v>
      </c>
      <c r="D166">
        <v>2</v>
      </c>
      <c r="E166" t="str">
        <f>+CONCATENATE("T",ROUNDUP(MONTH(Datos[[#This Row],[Fecha]])/3,0))</f>
        <v>T1</v>
      </c>
      <c r="F166" t="str">
        <f>+CONCATENATE("Sem"," ",ROUNDUP(MONTH(Datos[[#This Row],[Fecha]])/6,0))</f>
        <v>Sem 1</v>
      </c>
      <c r="G166" t="s">
        <v>183</v>
      </c>
      <c r="H166" t="s">
        <v>184</v>
      </c>
      <c r="I166" t="s">
        <v>24</v>
      </c>
      <c r="J166" t="s">
        <v>139</v>
      </c>
      <c r="K166" t="s">
        <v>47</v>
      </c>
      <c r="L166" t="s">
        <v>27</v>
      </c>
      <c r="M166">
        <v>0</v>
      </c>
      <c r="N166" s="1">
        <v>44981</v>
      </c>
      <c r="O166" s="1">
        <v>44989</v>
      </c>
      <c r="P166" t="s">
        <v>58</v>
      </c>
      <c r="Q166">
        <f>+IF(OR(Datos[[#This Row],[Diagnostico]]="Inservible",Datos[[#This Row],[Estatus]]="Preventivo"),0,Datos[[#This Row],[Fecha_Final]]-Datos[[#This Row],[Día_Inicio]])</f>
        <v>8</v>
      </c>
      <c r="R166" s="2">
        <v>476</v>
      </c>
      <c r="S166" s="2">
        <v>493</v>
      </c>
      <c r="T166" t="s">
        <v>64</v>
      </c>
    </row>
    <row r="167" spans="1:20" x14ac:dyDescent="0.25">
      <c r="A167" t="s">
        <v>343</v>
      </c>
      <c r="B167" s="1">
        <v>44981</v>
      </c>
      <c r="C167" t="s">
        <v>266</v>
      </c>
      <c r="D167">
        <v>2</v>
      </c>
      <c r="E167" t="str">
        <f>+CONCATENATE("T",ROUNDUP(MONTH(Datos[[#This Row],[Fecha]])/3,0))</f>
        <v>T1</v>
      </c>
      <c r="F167" t="str">
        <f>+CONCATENATE("Sem"," ",ROUNDUP(MONTH(Datos[[#This Row],[Fecha]])/6,0))</f>
        <v>Sem 1</v>
      </c>
      <c r="G167" t="s">
        <v>158</v>
      </c>
      <c r="H167" t="s">
        <v>159</v>
      </c>
      <c r="I167" t="s">
        <v>101</v>
      </c>
      <c r="J167" t="s">
        <v>160</v>
      </c>
      <c r="K167" t="s">
        <v>147</v>
      </c>
      <c r="L167" t="s">
        <v>27</v>
      </c>
      <c r="M167">
        <v>0</v>
      </c>
      <c r="N167" s="1">
        <v>44981</v>
      </c>
      <c r="O167" s="1">
        <v>44997</v>
      </c>
      <c r="P167" t="s">
        <v>58</v>
      </c>
      <c r="Q167">
        <f>+IF(OR(Datos[[#This Row],[Diagnostico]]="Inservible",Datos[[#This Row],[Estatus]]="Preventivo"),0,Datos[[#This Row],[Fecha_Final]]-Datos[[#This Row],[Día_Inicio]])</f>
        <v>16</v>
      </c>
      <c r="R167" s="2">
        <v>602</v>
      </c>
      <c r="S167" s="2">
        <v>576</v>
      </c>
      <c r="T167" t="s">
        <v>59</v>
      </c>
    </row>
    <row r="168" spans="1:20" x14ac:dyDescent="0.25">
      <c r="A168" t="s">
        <v>344</v>
      </c>
      <c r="B168" s="1">
        <v>44981</v>
      </c>
      <c r="C168" t="s">
        <v>266</v>
      </c>
      <c r="D168">
        <v>2</v>
      </c>
      <c r="E168" t="str">
        <f>+CONCATENATE("T",ROUNDUP(MONTH(Datos[[#This Row],[Fecha]])/3,0))</f>
        <v>T1</v>
      </c>
      <c r="F168" t="str">
        <f>+CONCATENATE("Sem"," ",ROUNDUP(MONTH(Datos[[#This Row],[Fecha]])/6,0))</f>
        <v>Sem 1</v>
      </c>
      <c r="G168" t="s">
        <v>225</v>
      </c>
      <c r="H168" t="s">
        <v>226</v>
      </c>
      <c r="I168" t="s">
        <v>227</v>
      </c>
      <c r="J168" t="s">
        <v>89</v>
      </c>
      <c r="K168" t="s">
        <v>39</v>
      </c>
      <c r="L168" t="s">
        <v>40</v>
      </c>
      <c r="M168" t="s">
        <v>41</v>
      </c>
      <c r="N168" s="1">
        <v>44981</v>
      </c>
      <c r="O168" s="1">
        <v>45071</v>
      </c>
      <c r="P168" t="s">
        <v>29</v>
      </c>
      <c r="Q168">
        <f>+IF(OR(Datos[[#This Row],[Diagnostico]]="Inservible",Datos[[#This Row],[Estatus]]="Preventivo"),0,Datos[[#This Row],[Fecha_Final]]-Datos[[#This Row],[Día_Inicio]])</f>
        <v>0</v>
      </c>
      <c r="R168" s="2">
        <v>380</v>
      </c>
      <c r="S168" s="2">
        <v>961</v>
      </c>
      <c r="T168" t="s">
        <v>42</v>
      </c>
    </row>
    <row r="169" spans="1:20" x14ac:dyDescent="0.25">
      <c r="A169" t="s">
        <v>345</v>
      </c>
      <c r="B169" s="1">
        <v>44982</v>
      </c>
      <c r="C169" t="s">
        <v>266</v>
      </c>
      <c r="D169">
        <v>2</v>
      </c>
      <c r="E169" t="str">
        <f>+CONCATENATE("T",ROUNDUP(MONTH(Datos[[#This Row],[Fecha]])/3,0))</f>
        <v>T1</v>
      </c>
      <c r="F169" t="str">
        <f>+CONCATENATE("Sem"," ",ROUNDUP(MONTH(Datos[[#This Row],[Fecha]])/6,0))</f>
        <v>Sem 1</v>
      </c>
      <c r="G169" t="s">
        <v>36</v>
      </c>
      <c r="H169" t="s">
        <v>37</v>
      </c>
      <c r="I169" t="s">
        <v>24</v>
      </c>
      <c r="J169" t="s">
        <v>38</v>
      </c>
      <c r="K169" t="s">
        <v>63</v>
      </c>
      <c r="L169" t="s">
        <v>27</v>
      </c>
      <c r="M169">
        <v>0</v>
      </c>
      <c r="N169" s="1">
        <v>44982</v>
      </c>
      <c r="O169" s="1">
        <v>44999</v>
      </c>
      <c r="P169" t="s">
        <v>28</v>
      </c>
      <c r="Q169">
        <f>+IF(OR(Datos[[#This Row],[Diagnostico]]="Inservible",Datos[[#This Row],[Estatus]]="Preventivo"),0,Datos[[#This Row],[Fecha_Final]]-Datos[[#This Row],[Día_Inicio]])</f>
        <v>0</v>
      </c>
      <c r="R169" s="2">
        <v>0</v>
      </c>
      <c r="S169" s="2">
        <v>0</v>
      </c>
      <c r="T169" t="s">
        <v>29</v>
      </c>
    </row>
    <row r="170" spans="1:20" x14ac:dyDescent="0.25">
      <c r="A170" t="s">
        <v>346</v>
      </c>
      <c r="B170" s="1">
        <v>44982</v>
      </c>
      <c r="C170" t="s">
        <v>266</v>
      </c>
      <c r="D170">
        <v>2</v>
      </c>
      <c r="E170" t="str">
        <f>+CONCATENATE("T",ROUNDUP(MONTH(Datos[[#This Row],[Fecha]])/3,0))</f>
        <v>T1</v>
      </c>
      <c r="F170" t="str">
        <f>+CONCATENATE("Sem"," ",ROUNDUP(MONTH(Datos[[#This Row],[Fecha]])/6,0))</f>
        <v>Sem 1</v>
      </c>
      <c r="G170" t="s">
        <v>331</v>
      </c>
      <c r="H170" t="s">
        <v>332</v>
      </c>
      <c r="I170" t="s">
        <v>68</v>
      </c>
      <c r="J170" t="s">
        <v>74</v>
      </c>
      <c r="K170" t="s">
        <v>39</v>
      </c>
      <c r="L170" t="s">
        <v>40</v>
      </c>
      <c r="M170" t="s">
        <v>103</v>
      </c>
      <c r="N170" s="1">
        <v>44982</v>
      </c>
      <c r="O170" s="1">
        <v>44997</v>
      </c>
      <c r="P170" t="s">
        <v>29</v>
      </c>
      <c r="Q170">
        <f>+IF(OR(Datos[[#This Row],[Diagnostico]]="Inservible",Datos[[#This Row],[Estatus]]="Preventivo"),0,Datos[[#This Row],[Fecha_Final]]-Datos[[#This Row],[Día_Inicio]])</f>
        <v>0</v>
      </c>
      <c r="R170" s="2">
        <v>489</v>
      </c>
      <c r="S170" s="2">
        <v>704</v>
      </c>
      <c r="T170" t="s">
        <v>42</v>
      </c>
    </row>
    <row r="171" spans="1:20" x14ac:dyDescent="0.25">
      <c r="A171" t="s">
        <v>347</v>
      </c>
      <c r="B171" s="1">
        <v>44982</v>
      </c>
      <c r="C171" t="s">
        <v>266</v>
      </c>
      <c r="D171">
        <v>2</v>
      </c>
      <c r="E171" t="str">
        <f>+CONCATENATE("T",ROUNDUP(MONTH(Datos[[#This Row],[Fecha]])/3,0))</f>
        <v>T1</v>
      </c>
      <c r="F171" t="str">
        <f>+CONCATENATE("Sem"," ",ROUNDUP(MONTH(Datos[[#This Row],[Fecha]])/6,0))</f>
        <v>Sem 1</v>
      </c>
      <c r="G171" t="s">
        <v>257</v>
      </c>
      <c r="H171" t="s">
        <v>258</v>
      </c>
      <c r="I171" t="s">
        <v>24</v>
      </c>
      <c r="J171" t="s">
        <v>204</v>
      </c>
      <c r="K171" t="s">
        <v>161</v>
      </c>
      <c r="L171" t="s">
        <v>27</v>
      </c>
      <c r="M171">
        <v>0</v>
      </c>
      <c r="N171" s="1">
        <v>44982</v>
      </c>
      <c r="O171" s="1">
        <v>44991</v>
      </c>
      <c r="P171" t="s">
        <v>58</v>
      </c>
      <c r="Q171">
        <f>+IF(OR(Datos[[#This Row],[Diagnostico]]="Inservible",Datos[[#This Row],[Estatus]]="Preventivo"),0,Datos[[#This Row],[Fecha_Final]]-Datos[[#This Row],[Día_Inicio]])</f>
        <v>9</v>
      </c>
      <c r="R171" s="2">
        <v>1038</v>
      </c>
      <c r="S171" s="2">
        <v>231</v>
      </c>
      <c r="T171" t="s">
        <v>91</v>
      </c>
    </row>
    <row r="172" spans="1:20" x14ac:dyDescent="0.25">
      <c r="A172" t="s">
        <v>348</v>
      </c>
      <c r="B172" s="1">
        <v>44983</v>
      </c>
      <c r="C172" t="s">
        <v>266</v>
      </c>
      <c r="D172">
        <v>2</v>
      </c>
      <c r="E172" t="str">
        <f>+CONCATENATE("T",ROUNDUP(MONTH(Datos[[#This Row],[Fecha]])/3,0))</f>
        <v>T1</v>
      </c>
      <c r="F172" t="str">
        <f>+CONCATENATE("Sem"," ",ROUNDUP(MONTH(Datos[[#This Row],[Fecha]])/6,0))</f>
        <v>Sem 1</v>
      </c>
      <c r="G172" t="s">
        <v>44</v>
      </c>
      <c r="H172" t="s">
        <v>45</v>
      </c>
      <c r="I172" t="s">
        <v>24</v>
      </c>
      <c r="J172" t="s">
        <v>46</v>
      </c>
      <c r="K172" t="s">
        <v>80</v>
      </c>
      <c r="L172" t="s">
        <v>27</v>
      </c>
      <c r="M172">
        <v>0</v>
      </c>
      <c r="N172" s="1">
        <v>44983</v>
      </c>
      <c r="O172" s="1">
        <v>44991</v>
      </c>
      <c r="P172" t="s">
        <v>28</v>
      </c>
      <c r="Q172">
        <f>+IF(OR(Datos[[#This Row],[Diagnostico]]="Inservible",Datos[[#This Row],[Estatus]]="Preventivo"),0,Datos[[#This Row],[Fecha_Final]]-Datos[[#This Row],[Día_Inicio]])</f>
        <v>0</v>
      </c>
      <c r="R172" s="2">
        <v>0</v>
      </c>
      <c r="S172" s="2">
        <v>0</v>
      </c>
      <c r="T172" t="s">
        <v>29</v>
      </c>
    </row>
    <row r="173" spans="1:20" x14ac:dyDescent="0.25">
      <c r="A173" t="s">
        <v>349</v>
      </c>
      <c r="B173" s="1">
        <v>44983</v>
      </c>
      <c r="C173" t="s">
        <v>266</v>
      </c>
      <c r="D173">
        <v>2</v>
      </c>
      <c r="E173" t="str">
        <f>+CONCATENATE("T",ROUNDUP(MONTH(Datos[[#This Row],[Fecha]])/3,0))</f>
        <v>T1</v>
      </c>
      <c r="F173" t="str">
        <f>+CONCATENATE("Sem"," ",ROUNDUP(MONTH(Datos[[#This Row],[Fecha]])/6,0))</f>
        <v>Sem 1</v>
      </c>
      <c r="G173" t="s">
        <v>105</v>
      </c>
      <c r="H173" t="s">
        <v>106</v>
      </c>
      <c r="I173" t="s">
        <v>24</v>
      </c>
      <c r="J173" t="s">
        <v>107</v>
      </c>
      <c r="K173" t="s">
        <v>85</v>
      </c>
      <c r="L173" t="s">
        <v>27</v>
      </c>
      <c r="M173">
        <v>0</v>
      </c>
      <c r="N173" s="1">
        <v>44983</v>
      </c>
      <c r="O173" s="1">
        <v>44984</v>
      </c>
      <c r="P173" t="s">
        <v>58</v>
      </c>
      <c r="Q173">
        <f>+IF(OR(Datos[[#This Row],[Diagnostico]]="Inservible",Datos[[#This Row],[Estatus]]="Preventivo"),0,Datos[[#This Row],[Fecha_Final]]-Datos[[#This Row],[Día_Inicio]])</f>
        <v>1</v>
      </c>
      <c r="R173" s="2">
        <v>956</v>
      </c>
      <c r="S173" s="2">
        <v>604</v>
      </c>
      <c r="T173" t="s">
        <v>91</v>
      </c>
    </row>
    <row r="174" spans="1:20" x14ac:dyDescent="0.25">
      <c r="A174" t="s">
        <v>350</v>
      </c>
      <c r="B174" s="1">
        <v>44983</v>
      </c>
      <c r="C174" t="s">
        <v>266</v>
      </c>
      <c r="D174">
        <v>2</v>
      </c>
      <c r="E174" t="str">
        <f>+CONCATENATE("T",ROUNDUP(MONTH(Datos[[#This Row],[Fecha]])/3,0))</f>
        <v>T1</v>
      </c>
      <c r="F174" t="str">
        <f>+CONCATENATE("Sem"," ",ROUNDUP(MONTH(Datos[[#This Row],[Fecha]])/6,0))</f>
        <v>Sem 1</v>
      </c>
      <c r="G174" t="s">
        <v>215</v>
      </c>
      <c r="H174" t="s">
        <v>216</v>
      </c>
      <c r="I174" t="s">
        <v>24</v>
      </c>
      <c r="J174" t="s">
        <v>50</v>
      </c>
      <c r="K174" t="s">
        <v>39</v>
      </c>
      <c r="L174" t="s">
        <v>40</v>
      </c>
      <c r="M174" t="s">
        <v>188</v>
      </c>
      <c r="N174" s="1">
        <v>44983</v>
      </c>
      <c r="O174" s="1">
        <v>45163</v>
      </c>
      <c r="P174" t="s">
        <v>29</v>
      </c>
      <c r="Q174">
        <f>+IF(OR(Datos[[#This Row],[Diagnostico]]="Inservible",Datos[[#This Row],[Estatus]]="Preventivo"),0,Datos[[#This Row],[Fecha_Final]]-Datos[[#This Row],[Día_Inicio]])</f>
        <v>0</v>
      </c>
      <c r="R174" s="2">
        <v>1197</v>
      </c>
      <c r="S174" s="2">
        <v>920</v>
      </c>
      <c r="T174" t="s">
        <v>42</v>
      </c>
    </row>
    <row r="175" spans="1:20" x14ac:dyDescent="0.25">
      <c r="A175" t="s">
        <v>351</v>
      </c>
      <c r="B175" s="1">
        <v>44983</v>
      </c>
      <c r="C175" t="s">
        <v>266</v>
      </c>
      <c r="D175">
        <v>2</v>
      </c>
      <c r="E175" t="str">
        <f>+CONCATENATE("T",ROUNDUP(MONTH(Datos[[#This Row],[Fecha]])/3,0))</f>
        <v>T1</v>
      </c>
      <c r="F175" t="str">
        <f>+CONCATENATE("Sem"," ",ROUNDUP(MONTH(Datos[[#This Row],[Fecha]])/6,0))</f>
        <v>Sem 1</v>
      </c>
      <c r="G175" t="s">
        <v>72</v>
      </c>
      <c r="H175" t="s">
        <v>73</v>
      </c>
      <c r="I175" t="s">
        <v>24</v>
      </c>
      <c r="J175" t="s">
        <v>74</v>
      </c>
      <c r="K175" t="s">
        <v>172</v>
      </c>
      <c r="L175" t="s">
        <v>27</v>
      </c>
      <c r="M175">
        <v>0</v>
      </c>
      <c r="N175" s="1">
        <v>44983</v>
      </c>
      <c r="O175" s="1">
        <v>44990</v>
      </c>
      <c r="P175" t="s">
        <v>58</v>
      </c>
      <c r="Q175">
        <f>+IF(OR(Datos[[#This Row],[Diagnostico]]="Inservible",Datos[[#This Row],[Estatus]]="Preventivo"),0,Datos[[#This Row],[Fecha_Final]]-Datos[[#This Row],[Día_Inicio]])</f>
        <v>7</v>
      </c>
      <c r="R175" s="2">
        <v>354</v>
      </c>
      <c r="S175" s="2">
        <v>731</v>
      </c>
      <c r="T175" t="s">
        <v>64</v>
      </c>
    </row>
    <row r="176" spans="1:20" x14ac:dyDescent="0.25">
      <c r="A176" t="s">
        <v>352</v>
      </c>
      <c r="B176" s="1">
        <v>44983</v>
      </c>
      <c r="C176" t="s">
        <v>266</v>
      </c>
      <c r="D176">
        <v>2</v>
      </c>
      <c r="E176" t="str">
        <f>+CONCATENATE("T",ROUNDUP(MONTH(Datos[[#This Row],[Fecha]])/3,0))</f>
        <v>T1</v>
      </c>
      <c r="F176" t="str">
        <f>+CONCATENATE("Sem"," ",ROUNDUP(MONTH(Datos[[#This Row],[Fecha]])/6,0))</f>
        <v>Sem 1</v>
      </c>
      <c r="G176" t="s">
        <v>175</v>
      </c>
      <c r="H176" t="s">
        <v>176</v>
      </c>
      <c r="I176" t="s">
        <v>24</v>
      </c>
      <c r="J176" t="s">
        <v>177</v>
      </c>
      <c r="K176" t="s">
        <v>97</v>
      </c>
      <c r="L176" t="s">
        <v>27</v>
      </c>
      <c r="M176">
        <v>0</v>
      </c>
      <c r="N176" s="1">
        <v>44983</v>
      </c>
      <c r="O176" s="1">
        <v>45006</v>
      </c>
      <c r="P176" t="s">
        <v>58</v>
      </c>
      <c r="Q176">
        <f>+IF(OR(Datos[[#This Row],[Diagnostico]]="Inservible",Datos[[#This Row],[Estatus]]="Preventivo"),0,Datos[[#This Row],[Fecha_Final]]-Datos[[#This Row],[Día_Inicio]])</f>
        <v>23</v>
      </c>
      <c r="R176" s="2">
        <v>465</v>
      </c>
      <c r="S176" s="2">
        <v>238</v>
      </c>
      <c r="T176" t="s">
        <v>42</v>
      </c>
    </row>
    <row r="177" spans="1:20" x14ac:dyDescent="0.25">
      <c r="A177" t="s">
        <v>353</v>
      </c>
      <c r="B177" s="1">
        <v>44983</v>
      </c>
      <c r="C177" t="s">
        <v>266</v>
      </c>
      <c r="D177">
        <v>2</v>
      </c>
      <c r="E177" t="str">
        <f>+CONCATENATE("T",ROUNDUP(MONTH(Datos[[#This Row],[Fecha]])/3,0))</f>
        <v>T1</v>
      </c>
      <c r="F177" t="str">
        <f>+CONCATENATE("Sem"," ",ROUNDUP(MONTH(Datos[[#This Row],[Fecha]])/6,0))</f>
        <v>Sem 1</v>
      </c>
      <c r="G177" t="s">
        <v>31</v>
      </c>
      <c r="H177" t="s">
        <v>32</v>
      </c>
      <c r="I177" t="s">
        <v>24</v>
      </c>
      <c r="J177" t="s">
        <v>33</v>
      </c>
      <c r="K177" t="s">
        <v>178</v>
      </c>
      <c r="L177" t="s">
        <v>27</v>
      </c>
      <c r="M177">
        <v>0</v>
      </c>
      <c r="N177" s="1">
        <v>44983</v>
      </c>
      <c r="O177" s="1">
        <v>45000</v>
      </c>
      <c r="P177" t="s">
        <v>28</v>
      </c>
      <c r="Q177">
        <f>+IF(OR(Datos[[#This Row],[Diagnostico]]="Inservible",Datos[[#This Row],[Estatus]]="Preventivo"),0,Datos[[#This Row],[Fecha_Final]]-Datos[[#This Row],[Día_Inicio]])</f>
        <v>0</v>
      </c>
      <c r="R177" s="2">
        <v>0</v>
      </c>
      <c r="S177" s="2">
        <v>0</v>
      </c>
      <c r="T177" t="s">
        <v>29</v>
      </c>
    </row>
    <row r="178" spans="1:20" x14ac:dyDescent="0.25">
      <c r="A178" t="s">
        <v>354</v>
      </c>
      <c r="B178" s="1">
        <v>44984</v>
      </c>
      <c r="C178" t="s">
        <v>266</v>
      </c>
      <c r="D178">
        <v>2</v>
      </c>
      <c r="E178" t="str">
        <f>+CONCATENATE("T",ROUNDUP(MONTH(Datos[[#This Row],[Fecha]])/3,0))</f>
        <v>T1</v>
      </c>
      <c r="F178" t="str">
        <f>+CONCATENATE("Sem"," ",ROUNDUP(MONTH(Datos[[#This Row],[Fecha]])/6,0))</f>
        <v>Sem 1</v>
      </c>
      <c r="G178" t="s">
        <v>169</v>
      </c>
      <c r="H178" t="s">
        <v>170</v>
      </c>
      <c r="I178" t="s">
        <v>68</v>
      </c>
      <c r="J178" t="s">
        <v>171</v>
      </c>
      <c r="K178" t="s">
        <v>108</v>
      </c>
      <c r="L178" t="s">
        <v>27</v>
      </c>
      <c r="M178">
        <v>0</v>
      </c>
      <c r="N178" s="1">
        <v>44984</v>
      </c>
      <c r="O178" s="1">
        <v>45001</v>
      </c>
      <c r="P178" t="s">
        <v>28</v>
      </c>
      <c r="Q178">
        <f>+IF(OR(Datos[[#This Row],[Diagnostico]]="Inservible",Datos[[#This Row],[Estatus]]="Preventivo"),0,Datos[[#This Row],[Fecha_Final]]-Datos[[#This Row],[Día_Inicio]])</f>
        <v>0</v>
      </c>
      <c r="R178" s="2">
        <v>0</v>
      </c>
      <c r="S178" s="2">
        <v>0</v>
      </c>
      <c r="T178" t="s">
        <v>29</v>
      </c>
    </row>
    <row r="179" spans="1:20" x14ac:dyDescent="0.25">
      <c r="A179" t="s">
        <v>355</v>
      </c>
      <c r="B179" s="1">
        <v>44984</v>
      </c>
      <c r="C179" t="s">
        <v>266</v>
      </c>
      <c r="D179">
        <v>2</v>
      </c>
      <c r="E179" t="str">
        <f>+CONCATENATE("T",ROUNDUP(MONTH(Datos[[#This Row],[Fecha]])/3,0))</f>
        <v>T1</v>
      </c>
      <c r="F179" t="str">
        <f>+CONCATENATE("Sem"," ",ROUNDUP(MONTH(Datos[[#This Row],[Fecha]])/6,0))</f>
        <v>Sem 1</v>
      </c>
      <c r="G179" t="s">
        <v>121</v>
      </c>
      <c r="H179" t="s">
        <v>122</v>
      </c>
      <c r="I179" t="s">
        <v>24</v>
      </c>
      <c r="J179" t="s">
        <v>102</v>
      </c>
      <c r="K179" t="s">
        <v>110</v>
      </c>
      <c r="L179" t="s">
        <v>27</v>
      </c>
      <c r="M179">
        <v>0</v>
      </c>
      <c r="N179" s="1">
        <v>44984</v>
      </c>
      <c r="O179" s="1">
        <v>45010</v>
      </c>
      <c r="P179" t="s">
        <v>28</v>
      </c>
      <c r="Q179">
        <f>+IF(OR(Datos[[#This Row],[Diagnostico]]="Inservible",Datos[[#This Row],[Estatus]]="Preventivo"),0,Datos[[#This Row],[Fecha_Final]]-Datos[[#This Row],[Día_Inicio]])</f>
        <v>0</v>
      </c>
      <c r="R179" s="2">
        <v>0</v>
      </c>
      <c r="S179" s="2">
        <v>0</v>
      </c>
      <c r="T179" t="s">
        <v>29</v>
      </c>
    </row>
    <row r="180" spans="1:20" x14ac:dyDescent="0.25">
      <c r="A180" t="s">
        <v>356</v>
      </c>
      <c r="B180" s="1">
        <v>44986</v>
      </c>
      <c r="C180" t="s">
        <v>357</v>
      </c>
      <c r="D180">
        <v>3</v>
      </c>
      <c r="E180" t="str">
        <f>+CONCATENATE("T",ROUNDUP(MONTH(Datos[[#This Row],[Fecha]])/3,0))</f>
        <v>T1</v>
      </c>
      <c r="F180" t="str">
        <f>+CONCATENATE("Sem"," ",ROUNDUP(MONTH(Datos[[#This Row],[Fecha]])/6,0))</f>
        <v>Sem 1</v>
      </c>
      <c r="G180" t="s">
        <v>257</v>
      </c>
      <c r="H180" t="s">
        <v>258</v>
      </c>
      <c r="I180" t="s">
        <v>24</v>
      </c>
      <c r="J180" t="s">
        <v>204</v>
      </c>
      <c r="K180" t="s">
        <v>114</v>
      </c>
      <c r="L180" t="s">
        <v>27</v>
      </c>
      <c r="M180">
        <v>0</v>
      </c>
      <c r="N180" s="1">
        <v>44986</v>
      </c>
      <c r="O180" s="1">
        <v>44991</v>
      </c>
      <c r="P180" t="s">
        <v>58</v>
      </c>
      <c r="Q180">
        <f>+IF(OR(Datos[[#This Row],[Diagnostico]]="Inservible",Datos[[#This Row],[Estatus]]="Preventivo"),0,Datos[[#This Row],[Fecha_Final]]-Datos[[#This Row],[Día_Inicio]])</f>
        <v>5</v>
      </c>
      <c r="R180" s="2">
        <v>858</v>
      </c>
      <c r="S180" s="2">
        <v>594</v>
      </c>
      <c r="T180" t="s">
        <v>42</v>
      </c>
    </row>
    <row r="181" spans="1:20" x14ac:dyDescent="0.25">
      <c r="A181" t="s">
        <v>358</v>
      </c>
      <c r="B181" s="1">
        <v>44986</v>
      </c>
      <c r="C181" t="s">
        <v>357</v>
      </c>
      <c r="D181">
        <v>3</v>
      </c>
      <c r="E181" t="str">
        <f>+CONCATENATE("T",ROUNDUP(MONTH(Datos[[#This Row],[Fecha]])/3,0))</f>
        <v>T1</v>
      </c>
      <c r="F181" t="str">
        <f>+CONCATENATE("Sem"," ",ROUNDUP(MONTH(Datos[[#This Row],[Fecha]])/6,0))</f>
        <v>Sem 1</v>
      </c>
      <c r="G181" t="s">
        <v>66</v>
      </c>
      <c r="H181" t="s">
        <v>67</v>
      </c>
      <c r="I181" t="s">
        <v>68</v>
      </c>
      <c r="J181" t="s">
        <v>69</v>
      </c>
      <c r="K181" t="s">
        <v>119</v>
      </c>
      <c r="L181" t="s">
        <v>27</v>
      </c>
      <c r="M181">
        <v>0</v>
      </c>
      <c r="N181" s="1">
        <v>44986</v>
      </c>
      <c r="O181" s="1">
        <v>45005</v>
      </c>
      <c r="P181" t="s">
        <v>28</v>
      </c>
      <c r="Q181">
        <f>+IF(OR(Datos[[#This Row],[Diagnostico]]="Inservible",Datos[[#This Row],[Estatus]]="Preventivo"),0,Datos[[#This Row],[Fecha_Final]]-Datos[[#This Row],[Día_Inicio]])</f>
        <v>0</v>
      </c>
      <c r="R181" s="2">
        <v>0</v>
      </c>
      <c r="S181" s="2">
        <v>0</v>
      </c>
      <c r="T181" t="s">
        <v>29</v>
      </c>
    </row>
    <row r="182" spans="1:20" x14ac:dyDescent="0.25">
      <c r="A182" t="s">
        <v>359</v>
      </c>
      <c r="B182" s="1">
        <v>44986</v>
      </c>
      <c r="C182" t="s">
        <v>357</v>
      </c>
      <c r="D182">
        <v>3</v>
      </c>
      <c r="E182" t="str">
        <f>+CONCATENATE("T",ROUNDUP(MONTH(Datos[[#This Row],[Fecha]])/3,0))</f>
        <v>T1</v>
      </c>
      <c r="F182" t="str">
        <f>+CONCATENATE("Sem"," ",ROUNDUP(MONTH(Datos[[#This Row],[Fecha]])/6,0))</f>
        <v>Sem 1</v>
      </c>
      <c r="G182" t="s">
        <v>36</v>
      </c>
      <c r="H182" t="s">
        <v>37</v>
      </c>
      <c r="I182" t="s">
        <v>24</v>
      </c>
      <c r="J182" t="s">
        <v>38</v>
      </c>
      <c r="K182" t="s">
        <v>39</v>
      </c>
      <c r="L182" t="s">
        <v>40</v>
      </c>
      <c r="M182" t="s">
        <v>41</v>
      </c>
      <c r="N182" s="1">
        <v>44986</v>
      </c>
      <c r="O182" s="1">
        <v>45076</v>
      </c>
      <c r="P182" t="s">
        <v>29</v>
      </c>
      <c r="Q182">
        <f>+IF(OR(Datos[[#This Row],[Diagnostico]]="Inservible",Datos[[#This Row],[Estatus]]="Preventivo"),0,Datos[[#This Row],[Fecha_Final]]-Datos[[#This Row],[Día_Inicio]])</f>
        <v>0</v>
      </c>
      <c r="R182" s="2">
        <v>906</v>
      </c>
      <c r="S182" s="2">
        <v>923</v>
      </c>
      <c r="T182" t="s">
        <v>42</v>
      </c>
    </row>
    <row r="183" spans="1:20" x14ac:dyDescent="0.25">
      <c r="A183" t="s">
        <v>360</v>
      </c>
      <c r="B183" s="1">
        <v>44986</v>
      </c>
      <c r="C183" t="s">
        <v>357</v>
      </c>
      <c r="D183">
        <v>3</v>
      </c>
      <c r="E183" t="str">
        <f>+CONCATENATE("T",ROUNDUP(MONTH(Datos[[#This Row],[Fecha]])/3,0))</f>
        <v>T1</v>
      </c>
      <c r="F183" t="str">
        <f>+CONCATENATE("Sem"," ",ROUNDUP(MONTH(Datos[[#This Row],[Fecha]])/6,0))</f>
        <v>Sem 1</v>
      </c>
      <c r="G183" t="s">
        <v>169</v>
      </c>
      <c r="H183" t="s">
        <v>170</v>
      </c>
      <c r="I183" t="s">
        <v>68</v>
      </c>
      <c r="J183" t="s">
        <v>171</v>
      </c>
      <c r="K183" t="s">
        <v>128</v>
      </c>
      <c r="L183" t="s">
        <v>27</v>
      </c>
      <c r="M183">
        <v>0</v>
      </c>
      <c r="N183" s="1">
        <v>44986</v>
      </c>
      <c r="O183" s="1">
        <v>44988</v>
      </c>
      <c r="P183" t="s">
        <v>28</v>
      </c>
      <c r="Q183">
        <f>+IF(OR(Datos[[#This Row],[Diagnostico]]="Inservible",Datos[[#This Row],[Estatus]]="Preventivo"),0,Datos[[#This Row],[Fecha_Final]]-Datos[[#This Row],[Día_Inicio]])</f>
        <v>0</v>
      </c>
      <c r="R183" s="2">
        <v>0</v>
      </c>
      <c r="S183" s="2">
        <v>0</v>
      </c>
      <c r="T183" t="s">
        <v>29</v>
      </c>
    </row>
    <row r="184" spans="1:20" x14ac:dyDescent="0.25">
      <c r="A184" t="s">
        <v>361</v>
      </c>
      <c r="B184" s="1">
        <v>44986</v>
      </c>
      <c r="C184" t="s">
        <v>357</v>
      </c>
      <c r="D184">
        <v>3</v>
      </c>
      <c r="E184" t="str">
        <f>+CONCATENATE("T",ROUNDUP(MONTH(Datos[[#This Row],[Fecha]])/3,0))</f>
        <v>T1</v>
      </c>
      <c r="F184" t="str">
        <f>+CONCATENATE("Sem"," ",ROUNDUP(MONTH(Datos[[#This Row],[Fecha]])/6,0))</f>
        <v>Sem 1</v>
      </c>
      <c r="G184" t="s">
        <v>61</v>
      </c>
      <c r="H184" t="s">
        <v>62</v>
      </c>
      <c r="I184" t="s">
        <v>24</v>
      </c>
      <c r="J184" t="s">
        <v>46</v>
      </c>
      <c r="K184" t="s">
        <v>130</v>
      </c>
      <c r="L184" t="s">
        <v>27</v>
      </c>
      <c r="M184">
        <v>0</v>
      </c>
      <c r="N184" s="1">
        <v>44986</v>
      </c>
      <c r="O184" s="1">
        <v>45009</v>
      </c>
      <c r="P184" t="s">
        <v>28</v>
      </c>
      <c r="Q184">
        <f>+IF(OR(Datos[[#This Row],[Diagnostico]]="Inservible",Datos[[#This Row],[Estatus]]="Preventivo"),0,Datos[[#This Row],[Fecha_Final]]-Datos[[#This Row],[Día_Inicio]])</f>
        <v>0</v>
      </c>
      <c r="R184" s="2">
        <v>0</v>
      </c>
      <c r="S184" s="2">
        <v>0</v>
      </c>
      <c r="T184" t="s">
        <v>29</v>
      </c>
    </row>
    <row r="185" spans="1:20" x14ac:dyDescent="0.25">
      <c r="A185" t="s">
        <v>362</v>
      </c>
      <c r="B185" s="1">
        <v>44986</v>
      </c>
      <c r="C185" t="s">
        <v>357</v>
      </c>
      <c r="D185">
        <v>3</v>
      </c>
      <c r="E185" t="str">
        <f>+CONCATENATE("T",ROUNDUP(MONTH(Datos[[#This Row],[Fecha]])/3,0))</f>
        <v>T1</v>
      </c>
      <c r="F185" t="str">
        <f>+CONCATENATE("Sem"," ",ROUNDUP(MONTH(Datos[[#This Row],[Fecha]])/6,0))</f>
        <v>Sem 1</v>
      </c>
      <c r="G185" t="s">
        <v>335</v>
      </c>
      <c r="H185" t="s">
        <v>336</v>
      </c>
      <c r="I185" t="s">
        <v>24</v>
      </c>
      <c r="J185" t="s">
        <v>118</v>
      </c>
      <c r="K185" t="s">
        <v>135</v>
      </c>
      <c r="L185" t="s">
        <v>27</v>
      </c>
      <c r="M185">
        <v>0</v>
      </c>
      <c r="N185" s="1">
        <v>44986</v>
      </c>
      <c r="O185" s="1">
        <v>45010</v>
      </c>
      <c r="P185" t="s">
        <v>28</v>
      </c>
      <c r="Q185">
        <f>+IF(OR(Datos[[#This Row],[Diagnostico]]="Inservible",Datos[[#This Row],[Estatus]]="Preventivo"),0,Datos[[#This Row],[Fecha_Final]]-Datos[[#This Row],[Día_Inicio]])</f>
        <v>0</v>
      </c>
      <c r="R185" s="2">
        <v>0</v>
      </c>
      <c r="S185" s="2">
        <v>0</v>
      </c>
      <c r="T185" t="s">
        <v>29</v>
      </c>
    </row>
    <row r="186" spans="1:20" x14ac:dyDescent="0.25">
      <c r="A186" t="s">
        <v>363</v>
      </c>
      <c r="B186" s="1">
        <v>44987</v>
      </c>
      <c r="C186" t="s">
        <v>357</v>
      </c>
      <c r="D186">
        <v>3</v>
      </c>
      <c r="E186" t="str">
        <f>+CONCATENATE("T",ROUNDUP(MONTH(Datos[[#This Row],[Fecha]])/3,0))</f>
        <v>T1</v>
      </c>
      <c r="F186" t="str">
        <f>+CONCATENATE("Sem"," ",ROUNDUP(MONTH(Datos[[#This Row],[Fecha]])/6,0))</f>
        <v>Sem 1</v>
      </c>
      <c r="G186" t="s">
        <v>125</v>
      </c>
      <c r="H186" t="s">
        <v>126</v>
      </c>
      <c r="I186" t="s">
        <v>24</v>
      </c>
      <c r="J186" t="s">
        <v>127</v>
      </c>
      <c r="K186" t="s">
        <v>39</v>
      </c>
      <c r="L186" t="s">
        <v>40</v>
      </c>
      <c r="M186" t="s">
        <v>188</v>
      </c>
      <c r="N186" s="1">
        <v>44987</v>
      </c>
      <c r="O186" s="1">
        <v>45167</v>
      </c>
      <c r="P186" t="s">
        <v>29</v>
      </c>
      <c r="Q186">
        <f>+IF(OR(Datos[[#This Row],[Diagnostico]]="Inservible",Datos[[#This Row],[Estatus]]="Preventivo"),0,Datos[[#This Row],[Fecha_Final]]-Datos[[#This Row],[Día_Inicio]])</f>
        <v>0</v>
      </c>
      <c r="R186" s="2">
        <v>961</v>
      </c>
      <c r="S186" s="2">
        <v>693</v>
      </c>
      <c r="T186" t="s">
        <v>42</v>
      </c>
    </row>
    <row r="187" spans="1:20" x14ac:dyDescent="0.25">
      <c r="A187" t="s">
        <v>364</v>
      </c>
      <c r="B187" s="1">
        <v>44987</v>
      </c>
      <c r="C187" t="s">
        <v>357</v>
      </c>
      <c r="D187">
        <v>3</v>
      </c>
      <c r="E187" t="str">
        <f>+CONCATENATE("T",ROUNDUP(MONTH(Datos[[#This Row],[Fecha]])/3,0))</f>
        <v>T1</v>
      </c>
      <c r="F187" t="str">
        <f>+CONCATENATE("Sem"," ",ROUNDUP(MONTH(Datos[[#This Row],[Fecha]])/6,0))</f>
        <v>Sem 1</v>
      </c>
      <c r="G187" t="s">
        <v>22</v>
      </c>
      <c r="H187" t="s">
        <v>23</v>
      </c>
      <c r="I187" t="s">
        <v>24</v>
      </c>
      <c r="J187" t="s">
        <v>25</v>
      </c>
      <c r="K187" t="s">
        <v>34</v>
      </c>
      <c r="L187" t="s">
        <v>27</v>
      </c>
      <c r="M187">
        <v>0</v>
      </c>
      <c r="N187" s="1">
        <v>44987</v>
      </c>
      <c r="O187" s="1">
        <v>45016</v>
      </c>
      <c r="P187" t="s">
        <v>58</v>
      </c>
      <c r="Q187">
        <f>+IF(OR(Datos[[#This Row],[Diagnostico]]="Inservible",Datos[[#This Row],[Estatus]]="Preventivo"),0,Datos[[#This Row],[Fecha_Final]]-Datos[[#This Row],[Día_Inicio]])</f>
        <v>29</v>
      </c>
      <c r="R187" s="2">
        <v>1033</v>
      </c>
      <c r="S187" s="2">
        <v>379</v>
      </c>
      <c r="T187" t="s">
        <v>91</v>
      </c>
    </row>
    <row r="188" spans="1:20" x14ac:dyDescent="0.25">
      <c r="A188" t="s">
        <v>365</v>
      </c>
      <c r="B188" s="1">
        <v>44987</v>
      </c>
      <c r="C188" t="s">
        <v>357</v>
      </c>
      <c r="D188">
        <v>3</v>
      </c>
      <c r="E188" t="str">
        <f>+CONCATENATE("T",ROUNDUP(MONTH(Datos[[#This Row],[Fecha]])/3,0))</f>
        <v>T1</v>
      </c>
      <c r="F188" t="str">
        <f>+CONCATENATE("Sem"," ",ROUNDUP(MONTH(Datos[[#This Row],[Fecha]])/6,0))</f>
        <v>Sem 1</v>
      </c>
      <c r="G188" t="s">
        <v>215</v>
      </c>
      <c r="H188" t="s">
        <v>216</v>
      </c>
      <c r="I188" t="s">
        <v>24</v>
      </c>
      <c r="J188" t="s">
        <v>50</v>
      </c>
      <c r="K188" t="s">
        <v>39</v>
      </c>
      <c r="L188" t="s">
        <v>27</v>
      </c>
      <c r="M188">
        <v>0</v>
      </c>
      <c r="N188" s="1">
        <v>44987</v>
      </c>
      <c r="O188" s="1">
        <v>45007</v>
      </c>
      <c r="P188" t="s">
        <v>58</v>
      </c>
      <c r="Q188">
        <f>+IF(OR(Datos[[#This Row],[Diagnostico]]="Inservible",Datos[[#This Row],[Estatus]]="Preventivo"),0,Datos[[#This Row],[Fecha_Final]]-Datos[[#This Row],[Día_Inicio]])</f>
        <v>20</v>
      </c>
      <c r="R188" s="2">
        <v>682</v>
      </c>
      <c r="S188" s="2">
        <v>573</v>
      </c>
      <c r="T188" t="s">
        <v>42</v>
      </c>
    </row>
    <row r="189" spans="1:20" x14ac:dyDescent="0.25">
      <c r="A189" t="s">
        <v>366</v>
      </c>
      <c r="B189" s="1">
        <v>44988</v>
      </c>
      <c r="C189" t="s">
        <v>357</v>
      </c>
      <c r="D189">
        <v>3</v>
      </c>
      <c r="E189" t="str">
        <f>+CONCATENATE("T",ROUNDUP(MONTH(Datos[[#This Row],[Fecha]])/3,0))</f>
        <v>T1</v>
      </c>
      <c r="F189" t="str">
        <f>+CONCATENATE("Sem"," ",ROUNDUP(MONTH(Datos[[#This Row],[Fecha]])/6,0))</f>
        <v>Sem 1</v>
      </c>
      <c r="G189" t="s">
        <v>77</v>
      </c>
      <c r="H189" t="s">
        <v>78</v>
      </c>
      <c r="I189" t="s">
        <v>24</v>
      </c>
      <c r="J189" t="s">
        <v>79</v>
      </c>
      <c r="K189" t="s">
        <v>47</v>
      </c>
      <c r="L189" t="s">
        <v>27</v>
      </c>
      <c r="M189">
        <v>0</v>
      </c>
      <c r="N189" s="1">
        <v>44988</v>
      </c>
      <c r="O189" s="1">
        <v>44995</v>
      </c>
      <c r="P189" t="s">
        <v>28</v>
      </c>
      <c r="Q189">
        <f>+IF(OR(Datos[[#This Row],[Diagnostico]]="Inservible",Datos[[#This Row],[Estatus]]="Preventivo"),0,Datos[[#This Row],[Fecha_Final]]-Datos[[#This Row],[Día_Inicio]])</f>
        <v>0</v>
      </c>
      <c r="R189" s="2">
        <v>0</v>
      </c>
      <c r="S189" s="2">
        <v>0</v>
      </c>
      <c r="T189" t="s">
        <v>29</v>
      </c>
    </row>
    <row r="190" spans="1:20" x14ac:dyDescent="0.25">
      <c r="A190" t="s">
        <v>367</v>
      </c>
      <c r="B190" s="1">
        <v>44988</v>
      </c>
      <c r="C190" t="s">
        <v>357</v>
      </c>
      <c r="D190">
        <v>3</v>
      </c>
      <c r="E190" t="str">
        <f>+CONCATENATE("T",ROUNDUP(MONTH(Datos[[#This Row],[Fecha]])/3,0))</f>
        <v>T1</v>
      </c>
      <c r="F190" t="str">
        <f>+CONCATENATE("Sem"," ",ROUNDUP(MONTH(Datos[[#This Row],[Fecha]])/6,0))</f>
        <v>Sem 1</v>
      </c>
      <c r="G190" t="s">
        <v>206</v>
      </c>
      <c r="H190" t="s">
        <v>207</v>
      </c>
      <c r="I190" t="s">
        <v>24</v>
      </c>
      <c r="J190" t="s">
        <v>160</v>
      </c>
      <c r="K190" t="s">
        <v>147</v>
      </c>
      <c r="L190" t="s">
        <v>27</v>
      </c>
      <c r="M190">
        <v>0</v>
      </c>
      <c r="N190" s="1">
        <v>44988</v>
      </c>
      <c r="O190" s="1">
        <v>45007</v>
      </c>
      <c r="P190" t="s">
        <v>28</v>
      </c>
      <c r="Q190">
        <f>+IF(OR(Datos[[#This Row],[Diagnostico]]="Inservible",Datos[[#This Row],[Estatus]]="Preventivo"),0,Datos[[#This Row],[Fecha_Final]]-Datos[[#This Row],[Día_Inicio]])</f>
        <v>0</v>
      </c>
      <c r="R190" s="2">
        <v>0</v>
      </c>
      <c r="S190" s="2">
        <v>0</v>
      </c>
      <c r="T190" t="s">
        <v>29</v>
      </c>
    </row>
    <row r="191" spans="1:20" x14ac:dyDescent="0.25">
      <c r="A191" t="s">
        <v>368</v>
      </c>
      <c r="B191" s="1">
        <v>44989</v>
      </c>
      <c r="C191" t="s">
        <v>357</v>
      </c>
      <c r="D191">
        <v>3</v>
      </c>
      <c r="E191" t="str">
        <f>+CONCATENATE("T",ROUNDUP(MONTH(Datos[[#This Row],[Fecha]])/3,0))</f>
        <v>T1</v>
      </c>
      <c r="F191" t="str">
        <f>+CONCATENATE("Sem"," ",ROUNDUP(MONTH(Datos[[#This Row],[Fecha]])/6,0))</f>
        <v>Sem 1</v>
      </c>
      <c r="G191" t="s">
        <v>260</v>
      </c>
      <c r="H191" t="s">
        <v>261</v>
      </c>
      <c r="I191" t="s">
        <v>24</v>
      </c>
      <c r="J191" t="s">
        <v>33</v>
      </c>
      <c r="K191" t="s">
        <v>57</v>
      </c>
      <c r="L191" t="s">
        <v>27</v>
      </c>
      <c r="M191">
        <v>0</v>
      </c>
      <c r="N191" s="1">
        <v>44989</v>
      </c>
      <c r="O191" s="1">
        <v>45015</v>
      </c>
      <c r="P191" t="s">
        <v>28</v>
      </c>
      <c r="Q191">
        <f>+IF(OR(Datos[[#This Row],[Diagnostico]]="Inservible",Datos[[#This Row],[Estatus]]="Preventivo"),0,Datos[[#This Row],[Fecha_Final]]-Datos[[#This Row],[Día_Inicio]])</f>
        <v>0</v>
      </c>
      <c r="R191" s="2">
        <v>0</v>
      </c>
      <c r="S191" s="2">
        <v>0</v>
      </c>
      <c r="T191" t="s">
        <v>29</v>
      </c>
    </row>
    <row r="192" spans="1:20" x14ac:dyDescent="0.25">
      <c r="A192" t="s">
        <v>369</v>
      </c>
      <c r="B192" s="1">
        <v>44989</v>
      </c>
      <c r="C192" t="s">
        <v>357</v>
      </c>
      <c r="D192">
        <v>3</v>
      </c>
      <c r="E192" t="str">
        <f>+CONCATENATE("T",ROUNDUP(MONTH(Datos[[#This Row],[Fecha]])/3,0))</f>
        <v>T1</v>
      </c>
      <c r="F192" t="str">
        <f>+CONCATENATE("Sem"," ",ROUNDUP(MONTH(Datos[[#This Row],[Fecha]])/6,0))</f>
        <v>Sem 1</v>
      </c>
      <c r="G192" t="s">
        <v>169</v>
      </c>
      <c r="H192" t="s">
        <v>170</v>
      </c>
      <c r="I192" t="s">
        <v>68</v>
      </c>
      <c r="J192" t="s">
        <v>171</v>
      </c>
      <c r="K192" t="s">
        <v>63</v>
      </c>
      <c r="L192" t="s">
        <v>27</v>
      </c>
      <c r="M192">
        <v>0</v>
      </c>
      <c r="N192" s="1">
        <v>44989</v>
      </c>
      <c r="O192" s="1">
        <v>45013</v>
      </c>
      <c r="P192" t="s">
        <v>58</v>
      </c>
      <c r="Q192">
        <f>+IF(OR(Datos[[#This Row],[Diagnostico]]="Inservible",Datos[[#This Row],[Estatus]]="Preventivo"),0,Datos[[#This Row],[Fecha_Final]]-Datos[[#This Row],[Día_Inicio]])</f>
        <v>24</v>
      </c>
      <c r="R192" s="2">
        <v>296</v>
      </c>
      <c r="S192" s="2">
        <v>303</v>
      </c>
      <c r="T192" t="s">
        <v>59</v>
      </c>
    </row>
    <row r="193" spans="1:20" x14ac:dyDescent="0.25">
      <c r="A193" t="s">
        <v>370</v>
      </c>
      <c r="B193" s="1">
        <v>44989</v>
      </c>
      <c r="C193" t="s">
        <v>357</v>
      </c>
      <c r="D193">
        <v>3</v>
      </c>
      <c r="E193" t="str">
        <f>+CONCATENATE("T",ROUNDUP(MONTH(Datos[[#This Row],[Fecha]])/3,0))</f>
        <v>T1</v>
      </c>
      <c r="F193" t="str">
        <f>+CONCATENATE("Sem"," ",ROUNDUP(MONTH(Datos[[#This Row],[Fecha]])/6,0))</f>
        <v>Sem 1</v>
      </c>
      <c r="G193" t="s">
        <v>105</v>
      </c>
      <c r="H193" t="s">
        <v>106</v>
      </c>
      <c r="I193" t="s">
        <v>24</v>
      </c>
      <c r="J193" t="s">
        <v>107</v>
      </c>
      <c r="K193" t="s">
        <v>70</v>
      </c>
      <c r="L193" t="s">
        <v>27</v>
      </c>
      <c r="M193">
        <v>0</v>
      </c>
      <c r="N193" s="1">
        <v>44989</v>
      </c>
      <c r="O193" s="1">
        <v>45000</v>
      </c>
      <c r="P193" t="s">
        <v>58</v>
      </c>
      <c r="Q193">
        <f>+IF(OR(Datos[[#This Row],[Diagnostico]]="Inservible",Datos[[#This Row],[Estatus]]="Preventivo"),0,Datos[[#This Row],[Fecha_Final]]-Datos[[#This Row],[Día_Inicio]])</f>
        <v>11</v>
      </c>
      <c r="R193" s="2">
        <v>762</v>
      </c>
      <c r="S193" s="2">
        <v>532</v>
      </c>
      <c r="T193" t="s">
        <v>59</v>
      </c>
    </row>
    <row r="194" spans="1:20" x14ac:dyDescent="0.25">
      <c r="A194" t="s">
        <v>371</v>
      </c>
      <c r="B194" s="1">
        <v>44989</v>
      </c>
      <c r="C194" t="s">
        <v>357</v>
      </c>
      <c r="D194">
        <v>3</v>
      </c>
      <c r="E194" t="str">
        <f>+CONCATENATE("T",ROUNDUP(MONTH(Datos[[#This Row],[Fecha]])/3,0))</f>
        <v>T1</v>
      </c>
      <c r="F194" t="str">
        <f>+CONCATENATE("Sem"," ",ROUNDUP(MONTH(Datos[[#This Row],[Fecha]])/6,0))</f>
        <v>Sem 1</v>
      </c>
      <c r="G194" t="s">
        <v>22</v>
      </c>
      <c r="H194" t="s">
        <v>23</v>
      </c>
      <c r="I194" t="s">
        <v>24</v>
      </c>
      <c r="J194" t="s">
        <v>25</v>
      </c>
      <c r="K194" t="s">
        <v>161</v>
      </c>
      <c r="L194" t="s">
        <v>27</v>
      </c>
      <c r="M194">
        <v>0</v>
      </c>
      <c r="N194" s="1">
        <v>44989</v>
      </c>
      <c r="O194" s="1">
        <v>45017</v>
      </c>
      <c r="P194" t="s">
        <v>28</v>
      </c>
      <c r="Q194">
        <f>+IF(OR(Datos[[#This Row],[Diagnostico]]="Inservible",Datos[[#This Row],[Estatus]]="Preventivo"),0,Datos[[#This Row],[Fecha_Final]]-Datos[[#This Row],[Día_Inicio]])</f>
        <v>0</v>
      </c>
      <c r="R194" s="2">
        <v>0</v>
      </c>
      <c r="S194" s="2">
        <v>0</v>
      </c>
      <c r="T194" t="s">
        <v>29</v>
      </c>
    </row>
    <row r="195" spans="1:20" x14ac:dyDescent="0.25">
      <c r="A195" t="s">
        <v>372</v>
      </c>
      <c r="B195" s="1">
        <v>44989</v>
      </c>
      <c r="C195" t="s">
        <v>357</v>
      </c>
      <c r="D195">
        <v>3</v>
      </c>
      <c r="E195" t="str">
        <f>+CONCATENATE("T",ROUNDUP(MONTH(Datos[[#This Row],[Fecha]])/3,0))</f>
        <v>T1</v>
      </c>
      <c r="F195" t="str">
        <f>+CONCATENATE("Sem"," ",ROUNDUP(MONTH(Datos[[#This Row],[Fecha]])/6,0))</f>
        <v>Sem 1</v>
      </c>
      <c r="G195" t="s">
        <v>335</v>
      </c>
      <c r="H195" t="s">
        <v>336</v>
      </c>
      <c r="I195" t="s">
        <v>24</v>
      </c>
      <c r="J195" t="s">
        <v>118</v>
      </c>
      <c r="K195" t="s">
        <v>80</v>
      </c>
      <c r="L195" t="s">
        <v>27</v>
      </c>
      <c r="M195">
        <v>0</v>
      </c>
      <c r="N195" s="1">
        <v>44989</v>
      </c>
      <c r="O195" s="1">
        <v>45012</v>
      </c>
      <c r="P195" t="s">
        <v>28</v>
      </c>
      <c r="Q195">
        <f>+IF(OR(Datos[[#This Row],[Diagnostico]]="Inservible",Datos[[#This Row],[Estatus]]="Preventivo"),0,Datos[[#This Row],[Fecha_Final]]-Datos[[#This Row],[Día_Inicio]])</f>
        <v>0</v>
      </c>
      <c r="R195" s="2">
        <v>0</v>
      </c>
      <c r="S195" s="2">
        <v>0</v>
      </c>
      <c r="T195" t="s">
        <v>29</v>
      </c>
    </row>
    <row r="196" spans="1:20" x14ac:dyDescent="0.25">
      <c r="A196" t="s">
        <v>373</v>
      </c>
      <c r="B196" s="1">
        <v>44990</v>
      </c>
      <c r="C196" t="s">
        <v>357</v>
      </c>
      <c r="D196">
        <v>3</v>
      </c>
      <c r="E196" t="str">
        <f>+CONCATENATE("T",ROUNDUP(MONTH(Datos[[#This Row],[Fecha]])/3,0))</f>
        <v>T1</v>
      </c>
      <c r="F196" t="str">
        <f>+CONCATENATE("Sem"," ",ROUNDUP(MONTH(Datos[[#This Row],[Fecha]])/6,0))</f>
        <v>Sem 1</v>
      </c>
      <c r="G196" t="s">
        <v>169</v>
      </c>
      <c r="H196" t="s">
        <v>170</v>
      </c>
      <c r="I196" t="s">
        <v>68</v>
      </c>
      <c r="J196" t="s">
        <v>171</v>
      </c>
      <c r="K196" t="s">
        <v>85</v>
      </c>
      <c r="L196" t="s">
        <v>27</v>
      </c>
      <c r="M196">
        <v>0</v>
      </c>
      <c r="N196" s="1">
        <v>44990</v>
      </c>
      <c r="O196" s="1">
        <v>45002</v>
      </c>
      <c r="P196" t="s">
        <v>58</v>
      </c>
      <c r="Q196">
        <f>+IF(OR(Datos[[#This Row],[Diagnostico]]="Inservible",Datos[[#This Row],[Estatus]]="Preventivo"),0,Datos[[#This Row],[Fecha_Final]]-Datos[[#This Row],[Día_Inicio]])</f>
        <v>12</v>
      </c>
      <c r="R196" s="2">
        <v>707</v>
      </c>
      <c r="S196" s="2">
        <v>101</v>
      </c>
      <c r="T196" t="s">
        <v>91</v>
      </c>
    </row>
    <row r="197" spans="1:20" x14ac:dyDescent="0.25">
      <c r="A197" t="s">
        <v>374</v>
      </c>
      <c r="B197" s="1">
        <v>44990</v>
      </c>
      <c r="C197" t="s">
        <v>357</v>
      </c>
      <c r="D197">
        <v>3</v>
      </c>
      <c r="E197" t="str">
        <f>+CONCATENATE("T",ROUNDUP(MONTH(Datos[[#This Row],[Fecha]])/3,0))</f>
        <v>T1</v>
      </c>
      <c r="F197" t="str">
        <f>+CONCATENATE("Sem"," ",ROUNDUP(MONTH(Datos[[#This Row],[Fecha]])/6,0))</f>
        <v>Sem 1</v>
      </c>
      <c r="G197" t="s">
        <v>225</v>
      </c>
      <c r="H197" t="s">
        <v>226</v>
      </c>
      <c r="I197" t="s">
        <v>227</v>
      </c>
      <c r="J197" t="s">
        <v>89</v>
      </c>
      <c r="K197" t="s">
        <v>90</v>
      </c>
      <c r="L197" t="s">
        <v>27</v>
      </c>
      <c r="M197">
        <v>0</v>
      </c>
      <c r="N197" s="1">
        <v>44990</v>
      </c>
      <c r="O197" s="1">
        <v>44995</v>
      </c>
      <c r="P197" t="s">
        <v>58</v>
      </c>
      <c r="Q197">
        <f>+IF(OR(Datos[[#This Row],[Diagnostico]]="Inservible",Datos[[#This Row],[Estatus]]="Preventivo"),0,Datos[[#This Row],[Fecha_Final]]-Datos[[#This Row],[Día_Inicio]])</f>
        <v>5</v>
      </c>
      <c r="R197" s="2">
        <v>1099</v>
      </c>
      <c r="S197" s="2">
        <v>968</v>
      </c>
      <c r="T197" t="s">
        <v>91</v>
      </c>
    </row>
    <row r="198" spans="1:20" x14ac:dyDescent="0.25">
      <c r="A198" t="s">
        <v>375</v>
      </c>
      <c r="B198" s="1">
        <v>44990</v>
      </c>
      <c r="C198" t="s">
        <v>357</v>
      </c>
      <c r="D198">
        <v>3</v>
      </c>
      <c r="E198" t="str">
        <f>+CONCATENATE("T",ROUNDUP(MONTH(Datos[[#This Row],[Fecha]])/3,0))</f>
        <v>T1</v>
      </c>
      <c r="F198" t="str">
        <f>+CONCATENATE("Sem"," ",ROUNDUP(MONTH(Datos[[#This Row],[Fecha]])/6,0))</f>
        <v>Sem 1</v>
      </c>
      <c r="G198" t="s">
        <v>137</v>
      </c>
      <c r="H198" t="s">
        <v>138</v>
      </c>
      <c r="I198" t="s">
        <v>68</v>
      </c>
      <c r="J198" t="s">
        <v>139</v>
      </c>
      <c r="K198" t="s">
        <v>39</v>
      </c>
      <c r="L198" t="s">
        <v>40</v>
      </c>
      <c r="M198" t="s">
        <v>188</v>
      </c>
      <c r="N198" s="1">
        <v>44990</v>
      </c>
      <c r="O198" s="1">
        <v>45170</v>
      </c>
      <c r="P198" t="s">
        <v>29</v>
      </c>
      <c r="Q198">
        <f>+IF(OR(Datos[[#This Row],[Diagnostico]]="Inservible",Datos[[#This Row],[Estatus]]="Preventivo"),0,Datos[[#This Row],[Fecha_Final]]-Datos[[#This Row],[Día_Inicio]])</f>
        <v>0</v>
      </c>
      <c r="R198" s="2">
        <v>218</v>
      </c>
      <c r="S198" s="2">
        <v>674</v>
      </c>
      <c r="T198" t="s">
        <v>42</v>
      </c>
    </row>
    <row r="199" spans="1:20" x14ac:dyDescent="0.25">
      <c r="A199" t="s">
        <v>376</v>
      </c>
      <c r="B199" s="1">
        <v>44990</v>
      </c>
      <c r="C199" t="s">
        <v>357</v>
      </c>
      <c r="D199">
        <v>3</v>
      </c>
      <c r="E199" t="str">
        <f>+CONCATENATE("T",ROUNDUP(MONTH(Datos[[#This Row],[Fecha]])/3,0))</f>
        <v>T1</v>
      </c>
      <c r="F199" t="str">
        <f>+CONCATENATE("Sem"," ",ROUNDUP(MONTH(Datos[[#This Row],[Fecha]])/6,0))</f>
        <v>Sem 1</v>
      </c>
      <c r="G199" t="s">
        <v>175</v>
      </c>
      <c r="H199" t="s">
        <v>176</v>
      </c>
      <c r="I199" t="s">
        <v>24</v>
      </c>
      <c r="J199" t="s">
        <v>177</v>
      </c>
      <c r="K199" t="s">
        <v>97</v>
      </c>
      <c r="L199" t="s">
        <v>27</v>
      </c>
      <c r="M199">
        <v>0</v>
      </c>
      <c r="N199" s="1">
        <v>44990</v>
      </c>
      <c r="O199" s="1">
        <v>45016</v>
      </c>
      <c r="P199" t="s">
        <v>28</v>
      </c>
      <c r="Q199">
        <f>+IF(OR(Datos[[#This Row],[Diagnostico]]="Inservible",Datos[[#This Row],[Estatus]]="Preventivo"),0,Datos[[#This Row],[Fecha_Final]]-Datos[[#This Row],[Día_Inicio]])</f>
        <v>0</v>
      </c>
      <c r="R199" s="2">
        <v>0</v>
      </c>
      <c r="S199" s="2">
        <v>0</v>
      </c>
      <c r="T199" t="s">
        <v>29</v>
      </c>
    </row>
    <row r="200" spans="1:20" x14ac:dyDescent="0.25">
      <c r="A200" t="s">
        <v>377</v>
      </c>
      <c r="B200" s="1">
        <v>44990</v>
      </c>
      <c r="C200" t="s">
        <v>357</v>
      </c>
      <c r="D200">
        <v>3</v>
      </c>
      <c r="E200" t="str">
        <f>+CONCATENATE("T",ROUNDUP(MONTH(Datos[[#This Row],[Fecha]])/3,0))</f>
        <v>T1</v>
      </c>
      <c r="F200" t="str">
        <f>+CONCATENATE("Sem"," ",ROUNDUP(MONTH(Datos[[#This Row],[Fecha]])/6,0))</f>
        <v>Sem 1</v>
      </c>
      <c r="G200" t="s">
        <v>202</v>
      </c>
      <c r="H200" t="s">
        <v>203</v>
      </c>
      <c r="I200" t="s">
        <v>24</v>
      </c>
      <c r="J200" t="s">
        <v>204</v>
      </c>
      <c r="K200" t="s">
        <v>178</v>
      </c>
      <c r="L200" t="s">
        <v>27</v>
      </c>
      <c r="M200">
        <v>0</v>
      </c>
      <c r="N200" s="1">
        <v>44990</v>
      </c>
      <c r="O200" s="1">
        <v>45015</v>
      </c>
      <c r="P200" t="s">
        <v>28</v>
      </c>
      <c r="Q200">
        <f>+IF(OR(Datos[[#This Row],[Diagnostico]]="Inservible",Datos[[#This Row],[Estatus]]="Preventivo"),0,Datos[[#This Row],[Fecha_Final]]-Datos[[#This Row],[Día_Inicio]])</f>
        <v>0</v>
      </c>
      <c r="R200" s="2">
        <v>0</v>
      </c>
      <c r="S200" s="2">
        <v>0</v>
      </c>
      <c r="T200" t="s">
        <v>29</v>
      </c>
    </row>
    <row r="201" spans="1:20" x14ac:dyDescent="0.25">
      <c r="A201" t="s">
        <v>378</v>
      </c>
      <c r="B201" s="1">
        <v>44991</v>
      </c>
      <c r="C201" t="s">
        <v>357</v>
      </c>
      <c r="D201">
        <v>3</v>
      </c>
      <c r="E201" t="str">
        <f>+CONCATENATE("T",ROUNDUP(MONTH(Datos[[#This Row],[Fecha]])/3,0))</f>
        <v>T1</v>
      </c>
      <c r="F201" t="str">
        <f>+CONCATENATE("Sem"," ",ROUNDUP(MONTH(Datos[[#This Row],[Fecha]])/6,0))</f>
        <v>Sem 1</v>
      </c>
      <c r="G201" t="s">
        <v>77</v>
      </c>
      <c r="H201" t="s">
        <v>78</v>
      </c>
      <c r="I201" t="s">
        <v>24</v>
      </c>
      <c r="J201" t="s">
        <v>79</v>
      </c>
      <c r="K201" t="s">
        <v>108</v>
      </c>
      <c r="L201" t="s">
        <v>27</v>
      </c>
      <c r="M201">
        <v>0</v>
      </c>
      <c r="N201" s="1">
        <v>44991</v>
      </c>
      <c r="O201" s="1">
        <v>45020</v>
      </c>
      <c r="P201" t="s">
        <v>58</v>
      </c>
      <c r="Q201">
        <f>+IF(OR(Datos[[#This Row],[Diagnostico]]="Inservible",Datos[[#This Row],[Estatus]]="Preventivo"),0,Datos[[#This Row],[Fecha_Final]]-Datos[[#This Row],[Día_Inicio]])</f>
        <v>29</v>
      </c>
      <c r="R201" s="2">
        <v>735</v>
      </c>
      <c r="S201" s="2">
        <v>577</v>
      </c>
      <c r="T201" t="s">
        <v>42</v>
      </c>
    </row>
    <row r="202" spans="1:20" x14ac:dyDescent="0.25">
      <c r="A202" t="s">
        <v>379</v>
      </c>
      <c r="B202" s="1">
        <v>44991</v>
      </c>
      <c r="C202" t="s">
        <v>357</v>
      </c>
      <c r="D202">
        <v>3</v>
      </c>
      <c r="E202" t="str">
        <f>+CONCATENATE("T",ROUNDUP(MONTH(Datos[[#This Row],[Fecha]])/3,0))</f>
        <v>T1</v>
      </c>
      <c r="F202" t="str">
        <f>+CONCATENATE("Sem"," ",ROUNDUP(MONTH(Datos[[#This Row],[Fecha]])/6,0))</f>
        <v>Sem 1</v>
      </c>
      <c r="G202" t="s">
        <v>283</v>
      </c>
      <c r="H202" t="s">
        <v>284</v>
      </c>
      <c r="I202" t="s">
        <v>24</v>
      </c>
      <c r="J202" t="s">
        <v>192</v>
      </c>
      <c r="K202" t="s">
        <v>110</v>
      </c>
      <c r="L202" t="s">
        <v>27</v>
      </c>
      <c r="M202">
        <v>0</v>
      </c>
      <c r="N202" s="1">
        <v>44991</v>
      </c>
      <c r="O202" s="1">
        <v>45010</v>
      </c>
      <c r="P202" t="s">
        <v>58</v>
      </c>
      <c r="Q202">
        <f>+IF(OR(Datos[[#This Row],[Diagnostico]]="Inservible",Datos[[#This Row],[Estatus]]="Preventivo"),0,Datos[[#This Row],[Fecha_Final]]-Datos[[#This Row],[Día_Inicio]])</f>
        <v>19</v>
      </c>
      <c r="R202" s="2">
        <v>1162</v>
      </c>
      <c r="S202" s="2">
        <v>504</v>
      </c>
      <c r="T202" t="s">
        <v>42</v>
      </c>
    </row>
    <row r="203" spans="1:20" x14ac:dyDescent="0.25">
      <c r="A203" t="s">
        <v>380</v>
      </c>
      <c r="B203" s="1">
        <v>44991</v>
      </c>
      <c r="C203" t="s">
        <v>357</v>
      </c>
      <c r="D203">
        <v>3</v>
      </c>
      <c r="E203" t="str">
        <f>+CONCATENATE("T",ROUNDUP(MONTH(Datos[[#This Row],[Fecha]])/3,0))</f>
        <v>T1</v>
      </c>
      <c r="F203" t="str">
        <f>+CONCATENATE("Sem"," ",ROUNDUP(MONTH(Datos[[#This Row],[Fecha]])/6,0))</f>
        <v>Sem 1</v>
      </c>
      <c r="G203" t="s">
        <v>225</v>
      </c>
      <c r="H203" t="s">
        <v>226</v>
      </c>
      <c r="I203" t="s">
        <v>227</v>
      </c>
      <c r="J203" t="s">
        <v>89</v>
      </c>
      <c r="K203" t="s">
        <v>114</v>
      </c>
      <c r="L203" t="s">
        <v>27</v>
      </c>
      <c r="M203">
        <v>0</v>
      </c>
      <c r="N203" s="1">
        <v>44991</v>
      </c>
      <c r="O203" s="1">
        <v>45018</v>
      </c>
      <c r="P203" t="s">
        <v>28</v>
      </c>
      <c r="Q203">
        <f>+IF(OR(Datos[[#This Row],[Diagnostico]]="Inservible",Datos[[#This Row],[Estatus]]="Preventivo"),0,Datos[[#This Row],[Fecha_Final]]-Datos[[#This Row],[Día_Inicio]])</f>
        <v>0</v>
      </c>
      <c r="R203" s="2">
        <v>0</v>
      </c>
      <c r="S203" s="2">
        <v>0</v>
      </c>
      <c r="T203" t="s">
        <v>29</v>
      </c>
    </row>
    <row r="204" spans="1:20" x14ac:dyDescent="0.25">
      <c r="A204" t="s">
        <v>381</v>
      </c>
      <c r="B204" s="1">
        <v>44992</v>
      </c>
      <c r="C204" t="s">
        <v>357</v>
      </c>
      <c r="D204">
        <v>3</v>
      </c>
      <c r="E204" t="str">
        <f>+CONCATENATE("T",ROUNDUP(MONTH(Datos[[#This Row],[Fecha]])/3,0))</f>
        <v>T1</v>
      </c>
      <c r="F204" t="str">
        <f>+CONCATENATE("Sem"," ",ROUNDUP(MONTH(Datos[[#This Row],[Fecha]])/6,0))</f>
        <v>Sem 1</v>
      </c>
      <c r="G204" t="s">
        <v>180</v>
      </c>
      <c r="H204" t="s">
        <v>181</v>
      </c>
      <c r="I204" t="s">
        <v>24</v>
      </c>
      <c r="J204" t="s">
        <v>127</v>
      </c>
      <c r="K204" t="s">
        <v>39</v>
      </c>
      <c r="L204" t="s">
        <v>40</v>
      </c>
      <c r="M204" t="s">
        <v>208</v>
      </c>
      <c r="N204" s="1">
        <v>44992</v>
      </c>
      <c r="O204" s="1">
        <v>44999</v>
      </c>
      <c r="P204" t="s">
        <v>29</v>
      </c>
      <c r="Q204">
        <f>+IF(OR(Datos[[#This Row],[Diagnostico]]="Inservible",Datos[[#This Row],[Estatus]]="Preventivo"),0,Datos[[#This Row],[Fecha_Final]]-Datos[[#This Row],[Día_Inicio]])</f>
        <v>0</v>
      </c>
      <c r="R204" s="2">
        <v>598</v>
      </c>
      <c r="S204" s="2">
        <v>1000</v>
      </c>
      <c r="T204" t="s">
        <v>42</v>
      </c>
    </row>
    <row r="205" spans="1:20" x14ac:dyDescent="0.25">
      <c r="A205" t="s">
        <v>382</v>
      </c>
      <c r="B205" s="1">
        <v>44992</v>
      </c>
      <c r="C205" t="s">
        <v>357</v>
      </c>
      <c r="D205">
        <v>3</v>
      </c>
      <c r="E205" t="str">
        <f>+CONCATENATE("T",ROUNDUP(MONTH(Datos[[#This Row],[Fecha]])/3,0))</f>
        <v>T1</v>
      </c>
      <c r="F205" t="str">
        <f>+CONCATENATE("Sem"," ",ROUNDUP(MONTH(Datos[[#This Row],[Fecha]])/6,0))</f>
        <v>Sem 1</v>
      </c>
      <c r="G205" t="s">
        <v>66</v>
      </c>
      <c r="H205" t="s">
        <v>67</v>
      </c>
      <c r="I205" t="s">
        <v>68</v>
      </c>
      <c r="J205" t="s">
        <v>69</v>
      </c>
      <c r="K205" t="s">
        <v>123</v>
      </c>
      <c r="L205" t="s">
        <v>27</v>
      </c>
      <c r="M205">
        <v>0</v>
      </c>
      <c r="N205" s="1">
        <v>44992</v>
      </c>
      <c r="O205" s="1">
        <v>44995</v>
      </c>
      <c r="P205" t="s">
        <v>28</v>
      </c>
      <c r="Q205">
        <f>+IF(OR(Datos[[#This Row],[Diagnostico]]="Inservible",Datos[[#This Row],[Estatus]]="Preventivo"),0,Datos[[#This Row],[Fecha_Final]]-Datos[[#This Row],[Día_Inicio]])</f>
        <v>0</v>
      </c>
      <c r="R205" s="2">
        <v>0</v>
      </c>
      <c r="S205" s="2">
        <v>0</v>
      </c>
      <c r="T205" t="s">
        <v>29</v>
      </c>
    </row>
    <row r="206" spans="1:20" x14ac:dyDescent="0.25">
      <c r="A206" t="s">
        <v>383</v>
      </c>
      <c r="B206" s="1">
        <v>44992</v>
      </c>
      <c r="C206" t="s">
        <v>357</v>
      </c>
      <c r="D206">
        <v>3</v>
      </c>
      <c r="E206" t="str">
        <f>+CONCATENATE("T",ROUNDUP(MONTH(Datos[[#This Row],[Fecha]])/3,0))</f>
        <v>T1</v>
      </c>
      <c r="F206" t="str">
        <f>+CONCATENATE("Sem"," ",ROUNDUP(MONTH(Datos[[#This Row],[Fecha]])/6,0))</f>
        <v>Sem 1</v>
      </c>
      <c r="G206" t="s">
        <v>257</v>
      </c>
      <c r="H206" t="s">
        <v>258</v>
      </c>
      <c r="I206" t="s">
        <v>24</v>
      </c>
      <c r="J206" t="s">
        <v>204</v>
      </c>
      <c r="K206" t="s">
        <v>39</v>
      </c>
      <c r="L206" t="s">
        <v>40</v>
      </c>
      <c r="M206" t="s">
        <v>41</v>
      </c>
      <c r="N206" s="1">
        <v>44992</v>
      </c>
      <c r="O206" s="1">
        <v>45082</v>
      </c>
      <c r="P206" t="s">
        <v>29</v>
      </c>
      <c r="Q206">
        <f>+IF(OR(Datos[[#This Row],[Diagnostico]]="Inservible",Datos[[#This Row],[Estatus]]="Preventivo"),0,Datos[[#This Row],[Fecha_Final]]-Datos[[#This Row],[Día_Inicio]])</f>
        <v>0</v>
      </c>
      <c r="R206" s="2">
        <v>548</v>
      </c>
      <c r="S206" s="2">
        <v>139</v>
      </c>
      <c r="T206" t="s">
        <v>42</v>
      </c>
    </row>
    <row r="207" spans="1:20" x14ac:dyDescent="0.25">
      <c r="A207" t="s">
        <v>384</v>
      </c>
      <c r="B207" s="1">
        <v>44992</v>
      </c>
      <c r="C207" t="s">
        <v>357</v>
      </c>
      <c r="D207">
        <v>3</v>
      </c>
      <c r="E207" t="str">
        <f>+CONCATENATE("T",ROUNDUP(MONTH(Datos[[#This Row],[Fecha]])/3,0))</f>
        <v>T1</v>
      </c>
      <c r="F207" t="str">
        <f>+CONCATENATE("Sem"," ",ROUNDUP(MONTH(Datos[[#This Row],[Fecha]])/6,0))</f>
        <v>Sem 1</v>
      </c>
      <c r="G207" t="s">
        <v>132</v>
      </c>
      <c r="H207" t="s">
        <v>133</v>
      </c>
      <c r="I207" t="s">
        <v>24</v>
      </c>
      <c r="J207" t="s">
        <v>134</v>
      </c>
      <c r="K207" t="s">
        <v>130</v>
      </c>
      <c r="L207" t="s">
        <v>27</v>
      </c>
      <c r="M207">
        <v>0</v>
      </c>
      <c r="N207" s="1">
        <v>44992</v>
      </c>
      <c r="O207" s="1">
        <v>45003</v>
      </c>
      <c r="P207" t="s">
        <v>58</v>
      </c>
      <c r="Q207">
        <f>+IF(OR(Datos[[#This Row],[Diagnostico]]="Inservible",Datos[[#This Row],[Estatus]]="Preventivo"),0,Datos[[#This Row],[Fecha_Final]]-Datos[[#This Row],[Día_Inicio]])</f>
        <v>11</v>
      </c>
      <c r="R207" s="2">
        <v>445</v>
      </c>
      <c r="S207" s="2">
        <v>850</v>
      </c>
      <c r="T207" t="s">
        <v>42</v>
      </c>
    </row>
    <row r="208" spans="1:20" x14ac:dyDescent="0.25">
      <c r="A208" t="s">
        <v>385</v>
      </c>
      <c r="B208" s="1">
        <v>44993</v>
      </c>
      <c r="C208" t="s">
        <v>357</v>
      </c>
      <c r="D208">
        <v>3</v>
      </c>
      <c r="E208" t="str">
        <f>+CONCATENATE("T",ROUNDUP(MONTH(Datos[[#This Row],[Fecha]])/3,0))</f>
        <v>T1</v>
      </c>
      <c r="F208" t="str">
        <f>+CONCATENATE("Sem"," ",ROUNDUP(MONTH(Datos[[#This Row],[Fecha]])/6,0))</f>
        <v>Sem 1</v>
      </c>
      <c r="G208" t="s">
        <v>66</v>
      </c>
      <c r="H208" t="s">
        <v>67</v>
      </c>
      <c r="I208" t="s">
        <v>68</v>
      </c>
      <c r="J208" t="s">
        <v>69</v>
      </c>
      <c r="K208" t="s">
        <v>39</v>
      </c>
      <c r="L208" t="s">
        <v>40</v>
      </c>
      <c r="M208" t="s">
        <v>41</v>
      </c>
      <c r="N208" s="1">
        <v>44993</v>
      </c>
      <c r="O208" s="1">
        <v>45083</v>
      </c>
      <c r="P208" t="s">
        <v>29</v>
      </c>
      <c r="Q208">
        <f>+IF(OR(Datos[[#This Row],[Diagnostico]]="Inservible",Datos[[#This Row],[Estatus]]="Preventivo"),0,Datos[[#This Row],[Fecha_Final]]-Datos[[#This Row],[Día_Inicio]])</f>
        <v>0</v>
      </c>
      <c r="R208" s="2">
        <v>938</v>
      </c>
      <c r="S208" s="2">
        <v>780</v>
      </c>
      <c r="T208" t="s">
        <v>42</v>
      </c>
    </row>
    <row r="209" spans="1:20" x14ac:dyDescent="0.25">
      <c r="A209" t="s">
        <v>386</v>
      </c>
      <c r="B209" s="1">
        <v>44993</v>
      </c>
      <c r="C209" t="s">
        <v>357</v>
      </c>
      <c r="D209">
        <v>3</v>
      </c>
      <c r="E209" t="str">
        <f>+CONCATENATE("T",ROUNDUP(MONTH(Datos[[#This Row],[Fecha]])/3,0))</f>
        <v>T1</v>
      </c>
      <c r="F209" t="str">
        <f>+CONCATENATE("Sem"," ",ROUNDUP(MONTH(Datos[[#This Row],[Fecha]])/6,0))</f>
        <v>Sem 1</v>
      </c>
      <c r="G209" t="s">
        <v>44</v>
      </c>
      <c r="H209" t="s">
        <v>45</v>
      </c>
      <c r="I209" t="s">
        <v>24</v>
      </c>
      <c r="J209" t="s">
        <v>46</v>
      </c>
      <c r="K209" t="s">
        <v>26</v>
      </c>
      <c r="L209" t="s">
        <v>27</v>
      </c>
      <c r="M209">
        <v>0</v>
      </c>
      <c r="N209" s="1">
        <v>44993</v>
      </c>
      <c r="O209" s="1">
        <v>44997</v>
      </c>
      <c r="P209" t="s">
        <v>28</v>
      </c>
      <c r="Q209">
        <f>+IF(OR(Datos[[#This Row],[Diagnostico]]="Inservible",Datos[[#This Row],[Estatus]]="Preventivo"),0,Datos[[#This Row],[Fecha_Final]]-Datos[[#This Row],[Día_Inicio]])</f>
        <v>0</v>
      </c>
      <c r="R209" s="2">
        <v>0</v>
      </c>
      <c r="S209" s="2">
        <v>0</v>
      </c>
      <c r="T209" t="s">
        <v>29</v>
      </c>
    </row>
    <row r="210" spans="1:20" x14ac:dyDescent="0.25">
      <c r="A210" t="s">
        <v>387</v>
      </c>
      <c r="B210" s="1">
        <v>44993</v>
      </c>
      <c r="C210" t="s">
        <v>357</v>
      </c>
      <c r="D210">
        <v>3</v>
      </c>
      <c r="E210" t="str">
        <f>+CONCATENATE("T",ROUNDUP(MONTH(Datos[[#This Row],[Fecha]])/3,0))</f>
        <v>T1</v>
      </c>
      <c r="F210" t="str">
        <f>+CONCATENATE("Sem"," ",ROUNDUP(MONTH(Datos[[#This Row],[Fecha]])/6,0))</f>
        <v>Sem 1</v>
      </c>
      <c r="G210" t="s">
        <v>36</v>
      </c>
      <c r="H210" t="s">
        <v>37</v>
      </c>
      <c r="I210" t="s">
        <v>24</v>
      </c>
      <c r="J210" t="s">
        <v>38</v>
      </c>
      <c r="K210" t="s">
        <v>39</v>
      </c>
      <c r="L210" t="s">
        <v>40</v>
      </c>
      <c r="M210" t="s">
        <v>188</v>
      </c>
      <c r="N210" s="1">
        <v>44993</v>
      </c>
      <c r="O210" s="1">
        <v>45173</v>
      </c>
      <c r="P210" t="s">
        <v>29</v>
      </c>
      <c r="Q210">
        <f>+IF(OR(Datos[[#This Row],[Diagnostico]]="Inservible",Datos[[#This Row],[Estatus]]="Preventivo"),0,Datos[[#This Row],[Fecha_Final]]-Datos[[#This Row],[Día_Inicio]])</f>
        <v>0</v>
      </c>
      <c r="R210" s="2">
        <v>296</v>
      </c>
      <c r="S210" s="2">
        <v>794</v>
      </c>
      <c r="T210" t="s">
        <v>42</v>
      </c>
    </row>
    <row r="211" spans="1:20" x14ac:dyDescent="0.25">
      <c r="A211" t="s">
        <v>388</v>
      </c>
      <c r="B211" s="1">
        <v>44993</v>
      </c>
      <c r="C211" t="s">
        <v>357</v>
      </c>
      <c r="D211">
        <v>3</v>
      </c>
      <c r="E211" t="str">
        <f>+CONCATENATE("T",ROUNDUP(MONTH(Datos[[#This Row],[Fecha]])/3,0))</f>
        <v>T1</v>
      </c>
      <c r="F211" t="str">
        <f>+CONCATENATE("Sem"," ",ROUNDUP(MONTH(Datos[[#This Row],[Fecha]])/6,0))</f>
        <v>Sem 1</v>
      </c>
      <c r="G211" t="s">
        <v>49</v>
      </c>
      <c r="H211" t="s">
        <v>23</v>
      </c>
      <c r="I211" t="s">
        <v>24</v>
      </c>
      <c r="J211" t="s">
        <v>50</v>
      </c>
      <c r="K211" t="s">
        <v>39</v>
      </c>
      <c r="L211" t="s">
        <v>27</v>
      </c>
      <c r="M211">
        <v>0</v>
      </c>
      <c r="N211" s="1">
        <v>44993</v>
      </c>
      <c r="O211" s="1">
        <v>45008</v>
      </c>
      <c r="P211" t="s">
        <v>28</v>
      </c>
      <c r="Q211">
        <f>+IF(OR(Datos[[#This Row],[Diagnostico]]="Inservible",Datos[[#This Row],[Estatus]]="Preventivo"),0,Datos[[#This Row],[Fecha_Final]]-Datos[[#This Row],[Día_Inicio]])</f>
        <v>0</v>
      </c>
      <c r="R211" s="2">
        <v>0</v>
      </c>
      <c r="S211" s="2">
        <v>0</v>
      </c>
      <c r="T211" t="s">
        <v>29</v>
      </c>
    </row>
    <row r="212" spans="1:20" x14ac:dyDescent="0.25">
      <c r="A212" t="s">
        <v>389</v>
      </c>
      <c r="B212" s="1">
        <v>44993</v>
      </c>
      <c r="C212" t="s">
        <v>357</v>
      </c>
      <c r="D212">
        <v>3</v>
      </c>
      <c r="E212" t="str">
        <f>+CONCATENATE("T",ROUNDUP(MONTH(Datos[[#This Row],[Fecha]])/3,0))</f>
        <v>T1</v>
      </c>
      <c r="F212" t="str">
        <f>+CONCATENATE("Sem"," ",ROUNDUP(MONTH(Datos[[#This Row],[Fecha]])/6,0))</f>
        <v>Sem 1</v>
      </c>
      <c r="G212" t="s">
        <v>141</v>
      </c>
      <c r="H212" t="s">
        <v>142</v>
      </c>
      <c r="I212" t="s">
        <v>24</v>
      </c>
      <c r="J212" t="s">
        <v>143</v>
      </c>
      <c r="K212" t="s">
        <v>39</v>
      </c>
      <c r="L212" t="s">
        <v>40</v>
      </c>
      <c r="M212" t="s">
        <v>196</v>
      </c>
      <c r="N212" s="1">
        <v>44993</v>
      </c>
      <c r="O212" s="1">
        <v>45023</v>
      </c>
      <c r="P212" t="s">
        <v>29</v>
      </c>
      <c r="Q212">
        <f>+IF(OR(Datos[[#This Row],[Diagnostico]]="Inservible",Datos[[#This Row],[Estatus]]="Preventivo"),0,Datos[[#This Row],[Fecha_Final]]-Datos[[#This Row],[Día_Inicio]])</f>
        <v>0</v>
      </c>
      <c r="R212" s="2">
        <v>202</v>
      </c>
      <c r="S212" s="2">
        <v>935</v>
      </c>
      <c r="T212" t="s">
        <v>42</v>
      </c>
    </row>
    <row r="213" spans="1:20" x14ac:dyDescent="0.25">
      <c r="A213" t="s">
        <v>390</v>
      </c>
      <c r="B213" s="1">
        <v>44994</v>
      </c>
      <c r="C213" t="s">
        <v>357</v>
      </c>
      <c r="D213">
        <v>3</v>
      </c>
      <c r="E213" t="str">
        <f>+CONCATENATE("T",ROUNDUP(MONTH(Datos[[#This Row],[Fecha]])/3,0))</f>
        <v>T1</v>
      </c>
      <c r="F213" t="str">
        <f>+CONCATENATE("Sem"," ",ROUNDUP(MONTH(Datos[[#This Row],[Fecha]])/6,0))</f>
        <v>Sem 1</v>
      </c>
      <c r="G213" t="s">
        <v>44</v>
      </c>
      <c r="H213" t="s">
        <v>45</v>
      </c>
      <c r="I213" t="s">
        <v>24</v>
      </c>
      <c r="J213" t="s">
        <v>46</v>
      </c>
      <c r="K213" t="s">
        <v>147</v>
      </c>
      <c r="L213" t="s">
        <v>27</v>
      </c>
      <c r="M213">
        <v>0</v>
      </c>
      <c r="N213" s="1">
        <v>44994</v>
      </c>
      <c r="O213" s="1">
        <v>45005</v>
      </c>
      <c r="P213" t="s">
        <v>28</v>
      </c>
      <c r="Q213">
        <f>+IF(OR(Datos[[#This Row],[Diagnostico]]="Inservible",Datos[[#This Row],[Estatus]]="Preventivo"),0,Datos[[#This Row],[Fecha_Final]]-Datos[[#This Row],[Día_Inicio]])</f>
        <v>0</v>
      </c>
      <c r="R213" s="2">
        <v>0</v>
      </c>
      <c r="S213" s="2">
        <v>0</v>
      </c>
      <c r="T213" t="s">
        <v>29</v>
      </c>
    </row>
    <row r="214" spans="1:20" x14ac:dyDescent="0.25">
      <c r="A214" t="s">
        <v>391</v>
      </c>
      <c r="B214" s="1">
        <v>44994</v>
      </c>
      <c r="C214" t="s">
        <v>357</v>
      </c>
      <c r="D214">
        <v>3</v>
      </c>
      <c r="E214" t="str">
        <f>+CONCATENATE("T",ROUNDUP(MONTH(Datos[[#This Row],[Fecha]])/3,0))</f>
        <v>T1</v>
      </c>
      <c r="F214" t="str">
        <f>+CONCATENATE("Sem"," ",ROUNDUP(MONTH(Datos[[#This Row],[Fecha]])/6,0))</f>
        <v>Sem 1</v>
      </c>
      <c r="G214" t="s">
        <v>61</v>
      </c>
      <c r="H214" t="s">
        <v>62</v>
      </c>
      <c r="I214" t="s">
        <v>24</v>
      </c>
      <c r="J214" t="s">
        <v>46</v>
      </c>
      <c r="K214" t="s">
        <v>39</v>
      </c>
      <c r="L214" t="s">
        <v>40</v>
      </c>
      <c r="M214" t="s">
        <v>41</v>
      </c>
      <c r="N214" s="1">
        <v>44994</v>
      </c>
      <c r="O214" s="1">
        <v>45084</v>
      </c>
      <c r="P214" t="s">
        <v>29</v>
      </c>
      <c r="Q214">
        <f>+IF(OR(Datos[[#This Row],[Diagnostico]]="Inservible",Datos[[#This Row],[Estatus]]="Preventivo"),0,Datos[[#This Row],[Fecha_Final]]-Datos[[#This Row],[Día_Inicio]])</f>
        <v>0</v>
      </c>
      <c r="R214" s="2">
        <v>342</v>
      </c>
      <c r="S214" s="2">
        <v>570</v>
      </c>
      <c r="T214" t="s">
        <v>42</v>
      </c>
    </row>
    <row r="215" spans="1:20" x14ac:dyDescent="0.25">
      <c r="A215" t="s">
        <v>392</v>
      </c>
      <c r="B215" s="1">
        <v>44995</v>
      </c>
      <c r="C215" t="s">
        <v>357</v>
      </c>
      <c r="D215">
        <v>3</v>
      </c>
      <c r="E215" t="str">
        <f>+CONCATENATE("T",ROUNDUP(MONTH(Datos[[#This Row],[Fecha]])/3,0))</f>
        <v>T1</v>
      </c>
      <c r="F215" t="str">
        <f>+CONCATENATE("Sem"," ",ROUNDUP(MONTH(Datos[[#This Row],[Fecha]])/6,0))</f>
        <v>Sem 1</v>
      </c>
      <c r="G215" t="s">
        <v>183</v>
      </c>
      <c r="H215" t="s">
        <v>184</v>
      </c>
      <c r="I215" t="s">
        <v>24</v>
      </c>
      <c r="J215" t="s">
        <v>139</v>
      </c>
      <c r="K215" t="s">
        <v>63</v>
      </c>
      <c r="L215" t="s">
        <v>27</v>
      </c>
      <c r="M215">
        <v>0</v>
      </c>
      <c r="N215" s="1">
        <v>44995</v>
      </c>
      <c r="O215" s="1">
        <v>45004</v>
      </c>
      <c r="P215" t="s">
        <v>28</v>
      </c>
      <c r="Q215">
        <f>+IF(OR(Datos[[#This Row],[Diagnostico]]="Inservible",Datos[[#This Row],[Estatus]]="Preventivo"),0,Datos[[#This Row],[Fecha_Final]]-Datos[[#This Row],[Día_Inicio]])</f>
        <v>0</v>
      </c>
      <c r="R215" s="2">
        <v>0</v>
      </c>
      <c r="S215" s="2">
        <v>0</v>
      </c>
      <c r="T215" t="s">
        <v>29</v>
      </c>
    </row>
    <row r="216" spans="1:20" x14ac:dyDescent="0.25">
      <c r="A216" t="s">
        <v>393</v>
      </c>
      <c r="B216" s="1">
        <v>44995</v>
      </c>
      <c r="C216" t="s">
        <v>357</v>
      </c>
      <c r="D216">
        <v>3</v>
      </c>
      <c r="E216" t="str">
        <f>+CONCATENATE("T",ROUNDUP(MONTH(Datos[[#This Row],[Fecha]])/3,0))</f>
        <v>T1</v>
      </c>
      <c r="F216" t="str">
        <f>+CONCATENATE("Sem"," ",ROUNDUP(MONTH(Datos[[#This Row],[Fecha]])/6,0))</f>
        <v>Sem 1</v>
      </c>
      <c r="G216" t="s">
        <v>257</v>
      </c>
      <c r="H216" t="s">
        <v>258</v>
      </c>
      <c r="I216" t="s">
        <v>24</v>
      </c>
      <c r="J216" t="s">
        <v>204</v>
      </c>
      <c r="K216" t="s">
        <v>39</v>
      </c>
      <c r="L216" t="s">
        <v>40</v>
      </c>
      <c r="M216" t="s">
        <v>208</v>
      </c>
      <c r="N216" s="1">
        <v>44995</v>
      </c>
      <c r="O216" s="1">
        <v>45002</v>
      </c>
      <c r="P216" t="s">
        <v>29</v>
      </c>
      <c r="Q216">
        <f>+IF(OR(Datos[[#This Row],[Diagnostico]]="Inservible",Datos[[#This Row],[Estatus]]="Preventivo"),0,Datos[[#This Row],[Fecha_Final]]-Datos[[#This Row],[Día_Inicio]])</f>
        <v>0</v>
      </c>
      <c r="R216" s="2">
        <v>796</v>
      </c>
      <c r="S216" s="2">
        <v>880</v>
      </c>
      <c r="T216" t="s">
        <v>42</v>
      </c>
    </row>
    <row r="217" spans="1:20" x14ac:dyDescent="0.25">
      <c r="A217" t="s">
        <v>394</v>
      </c>
      <c r="B217" s="1">
        <v>44995</v>
      </c>
      <c r="C217" t="s">
        <v>357</v>
      </c>
      <c r="D217">
        <v>3</v>
      </c>
      <c r="E217" t="str">
        <f>+CONCATENATE("T",ROUNDUP(MONTH(Datos[[#This Row],[Fecha]])/3,0))</f>
        <v>T1</v>
      </c>
      <c r="F217" t="str">
        <f>+CONCATENATE("Sem"," ",ROUNDUP(MONTH(Datos[[#This Row],[Fecha]])/6,0))</f>
        <v>Sem 1</v>
      </c>
      <c r="G217" t="s">
        <v>61</v>
      </c>
      <c r="H217" t="s">
        <v>62</v>
      </c>
      <c r="I217" t="s">
        <v>24</v>
      </c>
      <c r="J217" t="s">
        <v>46</v>
      </c>
      <c r="K217" t="s">
        <v>161</v>
      </c>
      <c r="L217" t="s">
        <v>27</v>
      </c>
      <c r="M217">
        <v>0</v>
      </c>
      <c r="N217" s="1">
        <v>44995</v>
      </c>
      <c r="O217" s="1">
        <v>45023</v>
      </c>
      <c r="P217" t="s">
        <v>28</v>
      </c>
      <c r="Q217">
        <f>+IF(OR(Datos[[#This Row],[Diagnostico]]="Inservible",Datos[[#This Row],[Estatus]]="Preventivo"),0,Datos[[#This Row],[Fecha_Final]]-Datos[[#This Row],[Día_Inicio]])</f>
        <v>0</v>
      </c>
      <c r="R217" s="2">
        <v>0</v>
      </c>
      <c r="S217" s="2">
        <v>0</v>
      </c>
      <c r="T217" t="s">
        <v>29</v>
      </c>
    </row>
    <row r="218" spans="1:20" x14ac:dyDescent="0.25">
      <c r="A218" t="s">
        <v>395</v>
      </c>
      <c r="B218" s="1">
        <v>44996</v>
      </c>
      <c r="C218" t="s">
        <v>357</v>
      </c>
      <c r="D218">
        <v>3</v>
      </c>
      <c r="E218" t="str">
        <f>+CONCATENATE("T",ROUNDUP(MONTH(Datos[[#This Row],[Fecha]])/3,0))</f>
        <v>T1</v>
      </c>
      <c r="F218" t="str">
        <f>+CONCATENATE("Sem"," ",ROUNDUP(MONTH(Datos[[#This Row],[Fecha]])/6,0))</f>
        <v>Sem 1</v>
      </c>
      <c r="G218" t="s">
        <v>154</v>
      </c>
      <c r="H218" t="s">
        <v>155</v>
      </c>
      <c r="I218" t="s">
        <v>68</v>
      </c>
      <c r="J218" t="s">
        <v>156</v>
      </c>
      <c r="K218" t="s">
        <v>80</v>
      </c>
      <c r="L218" t="s">
        <v>27</v>
      </c>
      <c r="M218">
        <v>0</v>
      </c>
      <c r="N218" s="1">
        <v>44996</v>
      </c>
      <c r="O218" s="1">
        <v>44998</v>
      </c>
      <c r="P218" t="s">
        <v>58</v>
      </c>
      <c r="Q218">
        <f>+IF(OR(Datos[[#This Row],[Diagnostico]]="Inservible",Datos[[#This Row],[Estatus]]="Preventivo"),0,Datos[[#This Row],[Fecha_Final]]-Datos[[#This Row],[Día_Inicio]])</f>
        <v>2</v>
      </c>
      <c r="R218" s="2">
        <v>1117</v>
      </c>
      <c r="S218" s="2">
        <v>639</v>
      </c>
      <c r="T218" t="s">
        <v>42</v>
      </c>
    </row>
    <row r="219" spans="1:20" x14ac:dyDescent="0.25">
      <c r="A219" t="s">
        <v>396</v>
      </c>
      <c r="B219" s="1">
        <v>44996</v>
      </c>
      <c r="C219" t="s">
        <v>357</v>
      </c>
      <c r="D219">
        <v>3</v>
      </c>
      <c r="E219" t="str">
        <f>+CONCATENATE("T",ROUNDUP(MONTH(Datos[[#This Row],[Fecha]])/3,0))</f>
        <v>T1</v>
      </c>
      <c r="F219" t="str">
        <f>+CONCATENATE("Sem"," ",ROUNDUP(MONTH(Datos[[#This Row],[Fecha]])/6,0))</f>
        <v>Sem 1</v>
      </c>
      <c r="G219" t="s">
        <v>31</v>
      </c>
      <c r="H219" t="s">
        <v>32</v>
      </c>
      <c r="I219" t="s">
        <v>24</v>
      </c>
      <c r="J219" t="s">
        <v>33</v>
      </c>
      <c r="K219" t="s">
        <v>85</v>
      </c>
      <c r="L219" t="s">
        <v>27</v>
      </c>
      <c r="M219">
        <v>0</v>
      </c>
      <c r="N219" s="1">
        <v>44996</v>
      </c>
      <c r="O219" s="1">
        <v>44997</v>
      </c>
      <c r="P219" t="s">
        <v>58</v>
      </c>
      <c r="Q219">
        <f>+IF(OR(Datos[[#This Row],[Diagnostico]]="Inservible",Datos[[#This Row],[Estatus]]="Preventivo"),0,Datos[[#This Row],[Fecha_Final]]-Datos[[#This Row],[Día_Inicio]])</f>
        <v>1</v>
      </c>
      <c r="R219" s="2">
        <v>914</v>
      </c>
      <c r="S219" s="2">
        <v>465</v>
      </c>
      <c r="T219" t="s">
        <v>64</v>
      </c>
    </row>
    <row r="220" spans="1:20" x14ac:dyDescent="0.25">
      <c r="A220" t="s">
        <v>397</v>
      </c>
      <c r="B220" s="1">
        <v>44996</v>
      </c>
      <c r="C220" t="s">
        <v>357</v>
      </c>
      <c r="D220">
        <v>3</v>
      </c>
      <c r="E220" t="str">
        <f>+CONCATENATE("T",ROUNDUP(MONTH(Datos[[#This Row],[Fecha]])/3,0))</f>
        <v>T1</v>
      </c>
      <c r="F220" t="str">
        <f>+CONCATENATE("Sem"," ",ROUNDUP(MONTH(Datos[[#This Row],[Fecha]])/6,0))</f>
        <v>Sem 1</v>
      </c>
      <c r="G220" t="s">
        <v>125</v>
      </c>
      <c r="H220" t="s">
        <v>126</v>
      </c>
      <c r="I220" t="s">
        <v>24</v>
      </c>
      <c r="J220" t="s">
        <v>127</v>
      </c>
      <c r="K220" t="s">
        <v>90</v>
      </c>
      <c r="L220" t="s">
        <v>27</v>
      </c>
      <c r="M220">
        <v>0</v>
      </c>
      <c r="N220" s="1">
        <v>44996</v>
      </c>
      <c r="O220" s="1">
        <v>45003</v>
      </c>
      <c r="P220" t="s">
        <v>58</v>
      </c>
      <c r="Q220">
        <f>+IF(OR(Datos[[#This Row],[Diagnostico]]="Inservible",Datos[[#This Row],[Estatus]]="Preventivo"),0,Datos[[#This Row],[Fecha_Final]]-Datos[[#This Row],[Día_Inicio]])</f>
        <v>7</v>
      </c>
      <c r="R220" s="2">
        <v>391</v>
      </c>
      <c r="S220" s="2">
        <v>129</v>
      </c>
      <c r="T220" t="s">
        <v>91</v>
      </c>
    </row>
    <row r="221" spans="1:20" x14ac:dyDescent="0.25">
      <c r="A221" t="s">
        <v>398</v>
      </c>
      <c r="B221" s="1">
        <v>44997</v>
      </c>
      <c r="C221" t="s">
        <v>357</v>
      </c>
      <c r="D221">
        <v>3</v>
      </c>
      <c r="E221" t="str">
        <f>+CONCATENATE("T",ROUNDUP(MONTH(Datos[[#This Row],[Fecha]])/3,0))</f>
        <v>T1</v>
      </c>
      <c r="F221" t="str">
        <f>+CONCATENATE("Sem"," ",ROUNDUP(MONTH(Datos[[#This Row],[Fecha]])/6,0))</f>
        <v>Sem 1</v>
      </c>
      <c r="G221" t="s">
        <v>66</v>
      </c>
      <c r="H221" t="s">
        <v>67</v>
      </c>
      <c r="I221" t="s">
        <v>68</v>
      </c>
      <c r="J221" t="s">
        <v>69</v>
      </c>
      <c r="K221" t="s">
        <v>172</v>
      </c>
      <c r="L221" t="s">
        <v>27</v>
      </c>
      <c r="M221">
        <v>0</v>
      </c>
      <c r="N221" s="1">
        <v>44997</v>
      </c>
      <c r="O221" s="1">
        <v>44998</v>
      </c>
      <c r="P221" t="s">
        <v>28</v>
      </c>
      <c r="Q221">
        <f>+IF(OR(Datos[[#This Row],[Diagnostico]]="Inservible",Datos[[#This Row],[Estatus]]="Preventivo"),0,Datos[[#This Row],[Fecha_Final]]-Datos[[#This Row],[Día_Inicio]])</f>
        <v>0</v>
      </c>
      <c r="R221" s="2">
        <v>0</v>
      </c>
      <c r="S221" s="2">
        <v>0</v>
      </c>
      <c r="T221" t="s">
        <v>29</v>
      </c>
    </row>
    <row r="222" spans="1:20" x14ac:dyDescent="0.25">
      <c r="A222" t="s">
        <v>399</v>
      </c>
      <c r="B222" s="1">
        <v>44998</v>
      </c>
      <c r="C222" t="s">
        <v>357</v>
      </c>
      <c r="D222">
        <v>3</v>
      </c>
      <c r="E222" t="str">
        <f>+CONCATENATE("T",ROUNDUP(MONTH(Datos[[#This Row],[Fecha]])/3,0))</f>
        <v>T1</v>
      </c>
      <c r="F222" t="str">
        <f>+CONCATENATE("Sem"," ",ROUNDUP(MONTH(Datos[[#This Row],[Fecha]])/6,0))</f>
        <v>Sem 1</v>
      </c>
      <c r="G222" t="s">
        <v>49</v>
      </c>
      <c r="H222" t="s">
        <v>23</v>
      </c>
      <c r="I222" t="s">
        <v>24</v>
      </c>
      <c r="J222" t="s">
        <v>50</v>
      </c>
      <c r="K222" t="s">
        <v>39</v>
      </c>
      <c r="L222" t="s">
        <v>40</v>
      </c>
      <c r="M222" t="s">
        <v>188</v>
      </c>
      <c r="N222" s="1">
        <v>44998</v>
      </c>
      <c r="O222" s="1">
        <v>45178</v>
      </c>
      <c r="P222" t="s">
        <v>29</v>
      </c>
      <c r="Q222">
        <f>+IF(OR(Datos[[#This Row],[Diagnostico]]="Inservible",Datos[[#This Row],[Estatus]]="Preventivo"),0,Datos[[#This Row],[Fecha_Final]]-Datos[[#This Row],[Día_Inicio]])</f>
        <v>0</v>
      </c>
      <c r="R222" s="2">
        <v>526</v>
      </c>
      <c r="S222" s="2">
        <v>979</v>
      </c>
      <c r="T222" t="s">
        <v>42</v>
      </c>
    </row>
    <row r="223" spans="1:20" x14ac:dyDescent="0.25">
      <c r="A223" t="s">
        <v>400</v>
      </c>
      <c r="B223" s="1">
        <v>44998</v>
      </c>
      <c r="C223" t="s">
        <v>357</v>
      </c>
      <c r="D223">
        <v>3</v>
      </c>
      <c r="E223" t="str">
        <f>+CONCATENATE("T",ROUNDUP(MONTH(Datos[[#This Row],[Fecha]])/3,0))</f>
        <v>T1</v>
      </c>
      <c r="F223" t="str">
        <f>+CONCATENATE("Sem"," ",ROUNDUP(MONTH(Datos[[#This Row],[Fecha]])/6,0))</f>
        <v>Sem 1</v>
      </c>
      <c r="G223" t="s">
        <v>206</v>
      </c>
      <c r="H223" t="s">
        <v>207</v>
      </c>
      <c r="I223" t="s">
        <v>24</v>
      </c>
      <c r="J223" t="s">
        <v>160</v>
      </c>
      <c r="K223" t="s">
        <v>178</v>
      </c>
      <c r="L223" t="s">
        <v>27</v>
      </c>
      <c r="M223">
        <v>0</v>
      </c>
      <c r="N223" s="1">
        <v>44998</v>
      </c>
      <c r="O223" s="1">
        <v>45005</v>
      </c>
      <c r="P223" t="s">
        <v>58</v>
      </c>
      <c r="Q223">
        <f>+IF(OR(Datos[[#This Row],[Diagnostico]]="Inservible",Datos[[#This Row],[Estatus]]="Preventivo"),0,Datos[[#This Row],[Fecha_Final]]-Datos[[#This Row],[Día_Inicio]])</f>
        <v>7</v>
      </c>
      <c r="R223" s="2">
        <v>1196</v>
      </c>
      <c r="S223" s="2">
        <v>778</v>
      </c>
      <c r="T223" t="s">
        <v>59</v>
      </c>
    </row>
    <row r="224" spans="1:20" x14ac:dyDescent="0.25">
      <c r="A224" t="s">
        <v>401</v>
      </c>
      <c r="B224" s="1">
        <v>44999</v>
      </c>
      <c r="C224" t="s">
        <v>357</v>
      </c>
      <c r="D224">
        <v>3</v>
      </c>
      <c r="E224" t="str">
        <f>+CONCATENATE("T",ROUNDUP(MONTH(Datos[[#This Row],[Fecha]])/3,0))</f>
        <v>T1</v>
      </c>
      <c r="F224" t="str">
        <f>+CONCATENATE("Sem"," ",ROUNDUP(MONTH(Datos[[#This Row],[Fecha]])/6,0))</f>
        <v>Sem 1</v>
      </c>
      <c r="G224" t="s">
        <v>72</v>
      </c>
      <c r="H224" t="s">
        <v>73</v>
      </c>
      <c r="I224" t="s">
        <v>24</v>
      </c>
      <c r="J224" t="s">
        <v>74</v>
      </c>
      <c r="K224" t="s">
        <v>108</v>
      </c>
      <c r="L224" t="s">
        <v>27</v>
      </c>
      <c r="M224">
        <v>0</v>
      </c>
      <c r="N224" s="1">
        <v>44999</v>
      </c>
      <c r="O224" s="1">
        <v>45025</v>
      </c>
      <c r="P224" t="s">
        <v>28</v>
      </c>
      <c r="Q224">
        <f>+IF(OR(Datos[[#This Row],[Diagnostico]]="Inservible",Datos[[#This Row],[Estatus]]="Preventivo"),0,Datos[[#This Row],[Fecha_Final]]-Datos[[#This Row],[Día_Inicio]])</f>
        <v>0</v>
      </c>
      <c r="R224" s="2">
        <v>0</v>
      </c>
      <c r="S224" s="2">
        <v>0</v>
      </c>
      <c r="T224" t="s">
        <v>29</v>
      </c>
    </row>
    <row r="225" spans="1:20" x14ac:dyDescent="0.25">
      <c r="A225" t="s">
        <v>402</v>
      </c>
      <c r="B225" s="1">
        <v>45000</v>
      </c>
      <c r="C225" t="s">
        <v>357</v>
      </c>
      <c r="D225">
        <v>3</v>
      </c>
      <c r="E225" t="str">
        <f>+CONCATENATE("T",ROUNDUP(MONTH(Datos[[#This Row],[Fecha]])/3,0))</f>
        <v>T1</v>
      </c>
      <c r="F225" t="str">
        <f>+CONCATENATE("Sem"," ",ROUNDUP(MONTH(Datos[[#This Row],[Fecha]])/6,0))</f>
        <v>Sem 1</v>
      </c>
      <c r="G225" t="s">
        <v>141</v>
      </c>
      <c r="H225" t="s">
        <v>142</v>
      </c>
      <c r="I225" t="s">
        <v>24</v>
      </c>
      <c r="J225" t="s">
        <v>143</v>
      </c>
      <c r="K225" t="s">
        <v>110</v>
      </c>
      <c r="L225" t="s">
        <v>27</v>
      </c>
      <c r="M225">
        <v>0</v>
      </c>
      <c r="N225" s="1">
        <v>45000</v>
      </c>
      <c r="O225" s="1">
        <v>45030</v>
      </c>
      <c r="P225" t="s">
        <v>58</v>
      </c>
      <c r="Q225">
        <f>+IF(OR(Datos[[#This Row],[Diagnostico]]="Inservible",Datos[[#This Row],[Estatus]]="Preventivo"),0,Datos[[#This Row],[Fecha_Final]]-Datos[[#This Row],[Día_Inicio]])</f>
        <v>30</v>
      </c>
      <c r="R225" s="2">
        <v>1145</v>
      </c>
      <c r="S225" s="2">
        <v>439</v>
      </c>
      <c r="T225" t="s">
        <v>64</v>
      </c>
    </row>
    <row r="226" spans="1:20" x14ac:dyDescent="0.25">
      <c r="A226" t="s">
        <v>403</v>
      </c>
      <c r="B226" s="1">
        <v>45000</v>
      </c>
      <c r="C226" t="s">
        <v>357</v>
      </c>
      <c r="D226">
        <v>3</v>
      </c>
      <c r="E226" t="str">
        <f>+CONCATENATE("T",ROUNDUP(MONTH(Datos[[#This Row],[Fecha]])/3,0))</f>
        <v>T1</v>
      </c>
      <c r="F226" t="str">
        <f>+CONCATENATE("Sem"," ",ROUNDUP(MONTH(Datos[[#This Row],[Fecha]])/6,0))</f>
        <v>Sem 1</v>
      </c>
      <c r="G226" t="s">
        <v>190</v>
      </c>
      <c r="H226" t="s">
        <v>191</v>
      </c>
      <c r="I226" t="s">
        <v>24</v>
      </c>
      <c r="J226" t="s">
        <v>192</v>
      </c>
      <c r="K226" t="s">
        <v>114</v>
      </c>
      <c r="L226" t="s">
        <v>27</v>
      </c>
      <c r="M226">
        <v>0</v>
      </c>
      <c r="N226" s="1">
        <v>45000</v>
      </c>
      <c r="O226" s="1">
        <v>45025</v>
      </c>
      <c r="P226" t="s">
        <v>58</v>
      </c>
      <c r="Q226">
        <f>+IF(OR(Datos[[#This Row],[Diagnostico]]="Inservible",Datos[[#This Row],[Estatus]]="Preventivo"),0,Datos[[#This Row],[Fecha_Final]]-Datos[[#This Row],[Día_Inicio]])</f>
        <v>25</v>
      </c>
      <c r="R226" s="2">
        <v>239</v>
      </c>
      <c r="S226" s="2">
        <v>782</v>
      </c>
      <c r="T226" t="s">
        <v>59</v>
      </c>
    </row>
    <row r="227" spans="1:20" x14ac:dyDescent="0.25">
      <c r="A227" t="s">
        <v>404</v>
      </c>
      <c r="B227" s="1">
        <v>45000</v>
      </c>
      <c r="C227" t="s">
        <v>357</v>
      </c>
      <c r="D227">
        <v>3</v>
      </c>
      <c r="E227" t="str">
        <f>+CONCATENATE("T",ROUNDUP(MONTH(Datos[[#This Row],[Fecha]])/3,0))</f>
        <v>T1</v>
      </c>
      <c r="F227" t="str">
        <f>+CONCATENATE("Sem"," ",ROUNDUP(MONTH(Datos[[#This Row],[Fecha]])/6,0))</f>
        <v>Sem 1</v>
      </c>
      <c r="G227" t="s">
        <v>87</v>
      </c>
      <c r="H227" t="s">
        <v>88</v>
      </c>
      <c r="I227" t="s">
        <v>68</v>
      </c>
      <c r="J227" t="s">
        <v>89</v>
      </c>
      <c r="K227" t="s">
        <v>119</v>
      </c>
      <c r="L227" t="s">
        <v>27</v>
      </c>
      <c r="M227">
        <v>0</v>
      </c>
      <c r="N227" s="1">
        <v>45000</v>
      </c>
      <c r="O227" s="1">
        <v>45027</v>
      </c>
      <c r="P227" t="s">
        <v>28</v>
      </c>
      <c r="Q227">
        <f>+IF(OR(Datos[[#This Row],[Diagnostico]]="Inservible",Datos[[#This Row],[Estatus]]="Preventivo"),0,Datos[[#This Row],[Fecha_Final]]-Datos[[#This Row],[Día_Inicio]])</f>
        <v>0</v>
      </c>
      <c r="R227" s="2">
        <v>0</v>
      </c>
      <c r="S227" s="2">
        <v>0</v>
      </c>
      <c r="T227" t="s">
        <v>29</v>
      </c>
    </row>
    <row r="228" spans="1:20" x14ac:dyDescent="0.25">
      <c r="A228" t="s">
        <v>405</v>
      </c>
      <c r="B228" s="1">
        <v>45001</v>
      </c>
      <c r="C228" t="s">
        <v>357</v>
      </c>
      <c r="D228">
        <v>3</v>
      </c>
      <c r="E228" t="str">
        <f>+CONCATENATE("T",ROUNDUP(MONTH(Datos[[#This Row],[Fecha]])/3,0))</f>
        <v>T1</v>
      </c>
      <c r="F228" t="str">
        <f>+CONCATENATE("Sem"," ",ROUNDUP(MONTH(Datos[[#This Row],[Fecha]])/6,0))</f>
        <v>Sem 1</v>
      </c>
      <c r="G228" t="s">
        <v>36</v>
      </c>
      <c r="H228" t="s">
        <v>37</v>
      </c>
      <c r="I228" t="s">
        <v>24</v>
      </c>
      <c r="J228" t="s">
        <v>38</v>
      </c>
      <c r="K228" t="s">
        <v>123</v>
      </c>
      <c r="L228" t="s">
        <v>27</v>
      </c>
      <c r="M228">
        <v>0</v>
      </c>
      <c r="N228" s="1">
        <v>45001</v>
      </c>
      <c r="O228" s="1">
        <v>45004</v>
      </c>
      <c r="P228" t="s">
        <v>28</v>
      </c>
      <c r="Q228">
        <f>+IF(OR(Datos[[#This Row],[Diagnostico]]="Inservible",Datos[[#This Row],[Estatus]]="Preventivo"),0,Datos[[#This Row],[Fecha_Final]]-Datos[[#This Row],[Día_Inicio]])</f>
        <v>0</v>
      </c>
      <c r="R228" s="2">
        <v>0</v>
      </c>
      <c r="S228" s="2">
        <v>0</v>
      </c>
      <c r="T228" t="s">
        <v>29</v>
      </c>
    </row>
    <row r="229" spans="1:20" x14ac:dyDescent="0.25">
      <c r="A229" t="s">
        <v>406</v>
      </c>
      <c r="B229" s="1">
        <v>45001</v>
      </c>
      <c r="C229" t="s">
        <v>357</v>
      </c>
      <c r="D229">
        <v>3</v>
      </c>
      <c r="E229" t="str">
        <f>+CONCATENATE("T",ROUNDUP(MONTH(Datos[[#This Row],[Fecha]])/3,0))</f>
        <v>T1</v>
      </c>
      <c r="F229" t="str">
        <f>+CONCATENATE("Sem"," ",ROUNDUP(MONTH(Datos[[#This Row],[Fecha]])/6,0))</f>
        <v>Sem 1</v>
      </c>
      <c r="G229" t="s">
        <v>331</v>
      </c>
      <c r="H229" t="s">
        <v>332</v>
      </c>
      <c r="I229" t="s">
        <v>68</v>
      </c>
      <c r="J229" t="s">
        <v>74</v>
      </c>
      <c r="K229" t="s">
        <v>128</v>
      </c>
      <c r="L229" t="s">
        <v>27</v>
      </c>
      <c r="M229">
        <v>0</v>
      </c>
      <c r="N229" s="1">
        <v>45001</v>
      </c>
      <c r="O229" s="1">
        <v>45014</v>
      </c>
      <c r="P229" t="s">
        <v>28</v>
      </c>
      <c r="Q229">
        <f>+IF(OR(Datos[[#This Row],[Diagnostico]]="Inservible",Datos[[#This Row],[Estatus]]="Preventivo"),0,Datos[[#This Row],[Fecha_Final]]-Datos[[#This Row],[Día_Inicio]])</f>
        <v>0</v>
      </c>
      <c r="R229" s="2">
        <v>0</v>
      </c>
      <c r="S229" s="2">
        <v>0</v>
      </c>
      <c r="T229" t="s">
        <v>29</v>
      </c>
    </row>
    <row r="230" spans="1:20" x14ac:dyDescent="0.25">
      <c r="A230" t="s">
        <v>407</v>
      </c>
      <c r="B230" s="1">
        <v>45001</v>
      </c>
      <c r="C230" t="s">
        <v>357</v>
      </c>
      <c r="D230">
        <v>3</v>
      </c>
      <c r="E230" t="str">
        <f>+CONCATENATE("T",ROUNDUP(MONTH(Datos[[#This Row],[Fecha]])/3,0))</f>
        <v>T1</v>
      </c>
      <c r="F230" t="str">
        <f>+CONCATENATE("Sem"," ",ROUNDUP(MONTH(Datos[[#This Row],[Fecha]])/6,0))</f>
        <v>Sem 1</v>
      </c>
      <c r="G230" t="s">
        <v>206</v>
      </c>
      <c r="H230" t="s">
        <v>207</v>
      </c>
      <c r="I230" t="s">
        <v>24</v>
      </c>
      <c r="J230" t="s">
        <v>160</v>
      </c>
      <c r="K230" t="s">
        <v>39</v>
      </c>
      <c r="L230" t="s">
        <v>40</v>
      </c>
      <c r="M230" t="s">
        <v>208</v>
      </c>
      <c r="N230" s="1">
        <v>45001</v>
      </c>
      <c r="O230" s="1">
        <v>45008</v>
      </c>
      <c r="P230" t="s">
        <v>29</v>
      </c>
      <c r="Q230">
        <f>+IF(OR(Datos[[#This Row],[Diagnostico]]="Inservible",Datos[[#This Row],[Estatus]]="Preventivo"),0,Datos[[#This Row],[Fecha_Final]]-Datos[[#This Row],[Día_Inicio]])</f>
        <v>0</v>
      </c>
      <c r="R230" s="2">
        <v>247</v>
      </c>
      <c r="S230" s="2">
        <v>549</v>
      </c>
      <c r="T230" t="s">
        <v>42</v>
      </c>
    </row>
    <row r="231" spans="1:20" x14ac:dyDescent="0.25">
      <c r="A231" t="s">
        <v>408</v>
      </c>
      <c r="B231" s="1">
        <v>45002</v>
      </c>
      <c r="C231" t="s">
        <v>357</v>
      </c>
      <c r="D231">
        <v>3</v>
      </c>
      <c r="E231" t="str">
        <f>+CONCATENATE("T",ROUNDUP(MONTH(Datos[[#This Row],[Fecha]])/3,0))</f>
        <v>T1</v>
      </c>
      <c r="F231" t="str">
        <f>+CONCATENATE("Sem"," ",ROUNDUP(MONTH(Datos[[#This Row],[Fecha]])/6,0))</f>
        <v>Sem 1</v>
      </c>
      <c r="G231" t="s">
        <v>22</v>
      </c>
      <c r="H231" t="s">
        <v>23</v>
      </c>
      <c r="I231" t="s">
        <v>24</v>
      </c>
      <c r="J231" t="s">
        <v>25</v>
      </c>
      <c r="K231" t="s">
        <v>135</v>
      </c>
      <c r="L231" t="s">
        <v>27</v>
      </c>
      <c r="M231">
        <v>0</v>
      </c>
      <c r="N231" s="1">
        <v>45002</v>
      </c>
      <c r="O231" s="1">
        <v>45005</v>
      </c>
      <c r="P231" t="s">
        <v>58</v>
      </c>
      <c r="Q231">
        <f>+IF(OR(Datos[[#This Row],[Diagnostico]]="Inservible",Datos[[#This Row],[Estatus]]="Preventivo"),0,Datos[[#This Row],[Fecha_Final]]-Datos[[#This Row],[Día_Inicio]])</f>
        <v>3</v>
      </c>
      <c r="R231" s="2">
        <v>1105</v>
      </c>
      <c r="S231" s="2">
        <v>651</v>
      </c>
      <c r="T231" t="s">
        <v>91</v>
      </c>
    </row>
    <row r="232" spans="1:20" x14ac:dyDescent="0.25">
      <c r="A232" t="s">
        <v>409</v>
      </c>
      <c r="B232" s="1">
        <v>45002</v>
      </c>
      <c r="C232" t="s">
        <v>357</v>
      </c>
      <c r="D232">
        <v>3</v>
      </c>
      <c r="E232" t="str">
        <f>+CONCATENATE("T",ROUNDUP(MONTH(Datos[[#This Row],[Fecha]])/3,0))</f>
        <v>T1</v>
      </c>
      <c r="F232" t="str">
        <f>+CONCATENATE("Sem"," ",ROUNDUP(MONTH(Datos[[#This Row],[Fecha]])/6,0))</f>
        <v>Sem 1</v>
      </c>
      <c r="G232" t="s">
        <v>286</v>
      </c>
      <c r="H232" t="s">
        <v>287</v>
      </c>
      <c r="I232" t="s">
        <v>24</v>
      </c>
      <c r="J232" t="s">
        <v>38</v>
      </c>
      <c r="K232" t="s">
        <v>39</v>
      </c>
      <c r="L232" t="s">
        <v>40</v>
      </c>
      <c r="M232" t="s">
        <v>103</v>
      </c>
      <c r="N232" s="1">
        <v>45002</v>
      </c>
      <c r="O232" s="1">
        <v>45017</v>
      </c>
      <c r="P232" t="s">
        <v>29</v>
      </c>
      <c r="Q232">
        <f>+IF(OR(Datos[[#This Row],[Diagnostico]]="Inservible",Datos[[#This Row],[Estatus]]="Preventivo"),0,Datos[[#This Row],[Fecha_Final]]-Datos[[#This Row],[Día_Inicio]])</f>
        <v>0</v>
      </c>
      <c r="R232" s="2">
        <v>411</v>
      </c>
      <c r="S232" s="2">
        <v>722</v>
      </c>
      <c r="T232" t="s">
        <v>42</v>
      </c>
    </row>
    <row r="233" spans="1:20" x14ac:dyDescent="0.25">
      <c r="A233" t="s">
        <v>410</v>
      </c>
      <c r="B233" s="1">
        <v>45002</v>
      </c>
      <c r="C233" t="s">
        <v>357</v>
      </c>
      <c r="D233">
        <v>3</v>
      </c>
      <c r="E233" t="str">
        <f>+CONCATENATE("T",ROUNDUP(MONTH(Datos[[#This Row],[Fecha]])/3,0))</f>
        <v>T1</v>
      </c>
      <c r="F233" t="str">
        <f>+CONCATENATE("Sem"," ",ROUNDUP(MONTH(Datos[[#This Row],[Fecha]])/6,0))</f>
        <v>Sem 1</v>
      </c>
      <c r="G233" t="s">
        <v>158</v>
      </c>
      <c r="H233" t="s">
        <v>159</v>
      </c>
      <c r="I233" t="s">
        <v>101</v>
      </c>
      <c r="J233" t="s">
        <v>160</v>
      </c>
      <c r="K233" t="s">
        <v>34</v>
      </c>
      <c r="L233" t="s">
        <v>27</v>
      </c>
      <c r="M233">
        <v>0</v>
      </c>
      <c r="N233" s="1">
        <v>45002</v>
      </c>
      <c r="O233" s="1">
        <v>45029</v>
      </c>
      <c r="P233" t="s">
        <v>28</v>
      </c>
      <c r="Q233">
        <f>+IF(OR(Datos[[#This Row],[Diagnostico]]="Inservible",Datos[[#This Row],[Estatus]]="Preventivo"),0,Datos[[#This Row],[Fecha_Final]]-Datos[[#This Row],[Día_Inicio]])</f>
        <v>0</v>
      </c>
      <c r="R233" s="2">
        <v>0</v>
      </c>
      <c r="S233" s="2">
        <v>0</v>
      </c>
      <c r="T233" t="s">
        <v>29</v>
      </c>
    </row>
    <row r="234" spans="1:20" x14ac:dyDescent="0.25">
      <c r="A234" t="s">
        <v>411</v>
      </c>
      <c r="B234" s="1">
        <v>45002</v>
      </c>
      <c r="C234" t="s">
        <v>357</v>
      </c>
      <c r="D234">
        <v>3</v>
      </c>
      <c r="E234" t="str">
        <f>+CONCATENATE("T",ROUNDUP(MONTH(Datos[[#This Row],[Fecha]])/3,0))</f>
        <v>T1</v>
      </c>
      <c r="F234" t="str">
        <f>+CONCATENATE("Sem"," ",ROUNDUP(MONTH(Datos[[#This Row],[Fecha]])/6,0))</f>
        <v>Sem 1</v>
      </c>
      <c r="G234" t="s">
        <v>66</v>
      </c>
      <c r="H234" t="s">
        <v>67</v>
      </c>
      <c r="I234" t="s">
        <v>68</v>
      </c>
      <c r="J234" t="s">
        <v>69</v>
      </c>
      <c r="K234" t="s">
        <v>39</v>
      </c>
      <c r="L234" t="s">
        <v>40</v>
      </c>
      <c r="M234" t="s">
        <v>51</v>
      </c>
      <c r="N234" s="1">
        <v>45002</v>
      </c>
      <c r="O234" s="1">
        <v>45062</v>
      </c>
      <c r="P234" t="s">
        <v>29</v>
      </c>
      <c r="Q234">
        <f>+IF(OR(Datos[[#This Row],[Diagnostico]]="Inservible",Datos[[#This Row],[Estatus]]="Preventivo"),0,Datos[[#This Row],[Fecha_Final]]-Datos[[#This Row],[Día_Inicio]])</f>
        <v>0</v>
      </c>
      <c r="R234" s="2">
        <v>460</v>
      </c>
      <c r="S234" s="2">
        <v>183</v>
      </c>
      <c r="T234" t="s">
        <v>42</v>
      </c>
    </row>
    <row r="235" spans="1:20" x14ac:dyDescent="0.25">
      <c r="A235" t="s">
        <v>412</v>
      </c>
      <c r="B235" s="1">
        <v>45003</v>
      </c>
      <c r="C235" t="s">
        <v>357</v>
      </c>
      <c r="D235">
        <v>3</v>
      </c>
      <c r="E235" t="str">
        <f>+CONCATENATE("T",ROUNDUP(MONTH(Datos[[#This Row],[Fecha]])/3,0))</f>
        <v>T1</v>
      </c>
      <c r="F235" t="str">
        <f>+CONCATENATE("Sem"," ",ROUNDUP(MONTH(Datos[[#This Row],[Fecha]])/6,0))</f>
        <v>Sem 1</v>
      </c>
      <c r="G235" t="s">
        <v>286</v>
      </c>
      <c r="H235" t="s">
        <v>287</v>
      </c>
      <c r="I235" t="s">
        <v>24</v>
      </c>
      <c r="J235" t="s">
        <v>38</v>
      </c>
      <c r="K235" t="s">
        <v>47</v>
      </c>
      <c r="L235" t="s">
        <v>27</v>
      </c>
      <c r="M235">
        <v>0</v>
      </c>
      <c r="N235" s="1">
        <v>45003</v>
      </c>
      <c r="O235" s="1">
        <v>45006</v>
      </c>
      <c r="P235" t="s">
        <v>28</v>
      </c>
      <c r="Q235">
        <f>+IF(OR(Datos[[#This Row],[Diagnostico]]="Inservible",Datos[[#This Row],[Estatus]]="Preventivo"),0,Datos[[#This Row],[Fecha_Final]]-Datos[[#This Row],[Día_Inicio]])</f>
        <v>0</v>
      </c>
      <c r="R235" s="2">
        <v>0</v>
      </c>
      <c r="S235" s="2">
        <v>0</v>
      </c>
      <c r="T235" t="s">
        <v>29</v>
      </c>
    </row>
    <row r="236" spans="1:20" x14ac:dyDescent="0.25">
      <c r="A236" t="s">
        <v>413</v>
      </c>
      <c r="B236" s="1">
        <v>45003</v>
      </c>
      <c r="C236" t="s">
        <v>357</v>
      </c>
      <c r="D236">
        <v>3</v>
      </c>
      <c r="E236" t="str">
        <f>+CONCATENATE("T",ROUNDUP(MONTH(Datos[[#This Row],[Fecha]])/3,0))</f>
        <v>T1</v>
      </c>
      <c r="F236" t="str">
        <f>+CONCATENATE("Sem"," ",ROUNDUP(MONTH(Datos[[#This Row],[Fecha]])/6,0))</f>
        <v>Sem 1</v>
      </c>
      <c r="G236" t="s">
        <v>116</v>
      </c>
      <c r="H236" t="s">
        <v>117</v>
      </c>
      <c r="I236" t="s">
        <v>24</v>
      </c>
      <c r="J236" t="s">
        <v>118</v>
      </c>
      <c r="K236" t="s">
        <v>147</v>
      </c>
      <c r="L236" t="s">
        <v>27</v>
      </c>
      <c r="M236">
        <v>0</v>
      </c>
      <c r="N236" s="1">
        <v>45003</v>
      </c>
      <c r="O236" s="1">
        <v>45014</v>
      </c>
      <c r="P236" t="s">
        <v>28</v>
      </c>
      <c r="Q236">
        <f>+IF(OR(Datos[[#This Row],[Diagnostico]]="Inservible",Datos[[#This Row],[Estatus]]="Preventivo"),0,Datos[[#This Row],[Fecha_Final]]-Datos[[#This Row],[Día_Inicio]])</f>
        <v>0</v>
      </c>
      <c r="R236" s="2">
        <v>0</v>
      </c>
      <c r="S236" s="2">
        <v>0</v>
      </c>
      <c r="T236" t="s">
        <v>29</v>
      </c>
    </row>
    <row r="237" spans="1:20" x14ac:dyDescent="0.25">
      <c r="A237" t="s">
        <v>414</v>
      </c>
      <c r="B237" s="1">
        <v>45003</v>
      </c>
      <c r="C237" t="s">
        <v>357</v>
      </c>
      <c r="D237">
        <v>3</v>
      </c>
      <c r="E237" t="str">
        <f>+CONCATENATE("T",ROUNDUP(MONTH(Datos[[#This Row],[Fecha]])/3,0))</f>
        <v>T1</v>
      </c>
      <c r="F237" t="str">
        <f>+CONCATENATE("Sem"," ",ROUNDUP(MONTH(Datos[[#This Row],[Fecha]])/6,0))</f>
        <v>Sem 1</v>
      </c>
      <c r="G237" t="s">
        <v>36</v>
      </c>
      <c r="H237" t="s">
        <v>37</v>
      </c>
      <c r="I237" t="s">
        <v>24</v>
      </c>
      <c r="J237" t="s">
        <v>38</v>
      </c>
      <c r="K237" t="s">
        <v>57</v>
      </c>
      <c r="L237" t="s">
        <v>27</v>
      </c>
      <c r="M237">
        <v>0</v>
      </c>
      <c r="N237" s="1">
        <v>45003</v>
      </c>
      <c r="O237" s="1">
        <v>45031</v>
      </c>
      <c r="P237" t="s">
        <v>28</v>
      </c>
      <c r="Q237">
        <f>+IF(OR(Datos[[#This Row],[Diagnostico]]="Inservible",Datos[[#This Row],[Estatus]]="Preventivo"),0,Datos[[#This Row],[Fecha_Final]]-Datos[[#This Row],[Día_Inicio]])</f>
        <v>0</v>
      </c>
      <c r="R237" s="2">
        <v>0</v>
      </c>
      <c r="S237" s="2">
        <v>0</v>
      </c>
      <c r="T237" t="s">
        <v>29</v>
      </c>
    </row>
    <row r="238" spans="1:20" x14ac:dyDescent="0.25">
      <c r="A238" t="s">
        <v>415</v>
      </c>
      <c r="B238" s="1">
        <v>45003</v>
      </c>
      <c r="C238" t="s">
        <v>357</v>
      </c>
      <c r="D238">
        <v>3</v>
      </c>
      <c r="E238" t="str">
        <f>+CONCATENATE("T",ROUNDUP(MONTH(Datos[[#This Row],[Fecha]])/3,0))</f>
        <v>T1</v>
      </c>
      <c r="F238" t="str">
        <f>+CONCATENATE("Sem"," ",ROUNDUP(MONTH(Datos[[#This Row],[Fecha]])/6,0))</f>
        <v>Sem 1</v>
      </c>
      <c r="G238" t="s">
        <v>154</v>
      </c>
      <c r="H238" t="s">
        <v>155</v>
      </c>
      <c r="I238" t="s">
        <v>68</v>
      </c>
      <c r="J238" t="s">
        <v>156</v>
      </c>
      <c r="K238" t="s">
        <v>63</v>
      </c>
      <c r="L238" t="s">
        <v>27</v>
      </c>
      <c r="M238">
        <v>0</v>
      </c>
      <c r="N238" s="1">
        <v>45003</v>
      </c>
      <c r="O238" s="1">
        <v>45027</v>
      </c>
      <c r="P238" t="s">
        <v>28</v>
      </c>
      <c r="Q238">
        <f>+IF(OR(Datos[[#This Row],[Diagnostico]]="Inservible",Datos[[#This Row],[Estatus]]="Preventivo"),0,Datos[[#This Row],[Fecha_Final]]-Datos[[#This Row],[Día_Inicio]])</f>
        <v>0</v>
      </c>
      <c r="R238" s="2">
        <v>0</v>
      </c>
      <c r="S238" s="2">
        <v>0</v>
      </c>
      <c r="T238" t="s">
        <v>29</v>
      </c>
    </row>
    <row r="239" spans="1:20" x14ac:dyDescent="0.25">
      <c r="A239" t="s">
        <v>416</v>
      </c>
      <c r="B239" s="1">
        <v>45003</v>
      </c>
      <c r="C239" t="s">
        <v>357</v>
      </c>
      <c r="D239">
        <v>3</v>
      </c>
      <c r="E239" t="str">
        <f>+CONCATENATE("T",ROUNDUP(MONTH(Datos[[#This Row],[Fecha]])/3,0))</f>
        <v>T1</v>
      </c>
      <c r="F239" t="str">
        <f>+CONCATENATE("Sem"," ",ROUNDUP(MONTH(Datos[[#This Row],[Fecha]])/6,0))</f>
        <v>Sem 1</v>
      </c>
      <c r="G239" t="s">
        <v>180</v>
      </c>
      <c r="H239" t="s">
        <v>181</v>
      </c>
      <c r="I239" t="s">
        <v>24</v>
      </c>
      <c r="J239" t="s">
        <v>127</v>
      </c>
      <c r="K239" t="s">
        <v>70</v>
      </c>
      <c r="L239" t="s">
        <v>27</v>
      </c>
      <c r="M239">
        <v>0</v>
      </c>
      <c r="N239" s="1">
        <v>45003</v>
      </c>
      <c r="O239" s="1">
        <v>45026</v>
      </c>
      <c r="P239" t="s">
        <v>58</v>
      </c>
      <c r="Q239">
        <f>+IF(OR(Datos[[#This Row],[Diagnostico]]="Inservible",Datos[[#This Row],[Estatus]]="Preventivo"),0,Datos[[#This Row],[Fecha_Final]]-Datos[[#This Row],[Día_Inicio]])</f>
        <v>23</v>
      </c>
      <c r="R239" s="2">
        <v>1200</v>
      </c>
      <c r="S239" s="2">
        <v>815</v>
      </c>
      <c r="T239" t="s">
        <v>91</v>
      </c>
    </row>
    <row r="240" spans="1:20" x14ac:dyDescent="0.25">
      <c r="A240" t="s">
        <v>417</v>
      </c>
      <c r="B240" s="1">
        <v>45004</v>
      </c>
      <c r="C240" t="s">
        <v>357</v>
      </c>
      <c r="D240">
        <v>3</v>
      </c>
      <c r="E240" t="str">
        <f>+CONCATENATE("T",ROUNDUP(MONTH(Datos[[#This Row],[Fecha]])/3,0))</f>
        <v>T1</v>
      </c>
      <c r="F240" t="str">
        <f>+CONCATENATE("Sem"," ",ROUNDUP(MONTH(Datos[[#This Row],[Fecha]])/6,0))</f>
        <v>Sem 1</v>
      </c>
      <c r="G240" t="s">
        <v>125</v>
      </c>
      <c r="H240" t="s">
        <v>126</v>
      </c>
      <c r="I240" t="s">
        <v>24</v>
      </c>
      <c r="J240" t="s">
        <v>127</v>
      </c>
      <c r="K240" t="s">
        <v>39</v>
      </c>
      <c r="L240" t="s">
        <v>40</v>
      </c>
      <c r="M240" t="s">
        <v>51</v>
      </c>
      <c r="N240" s="1">
        <v>45004</v>
      </c>
      <c r="O240" s="1">
        <v>45064</v>
      </c>
      <c r="P240" t="s">
        <v>29</v>
      </c>
      <c r="Q240">
        <f>+IF(OR(Datos[[#This Row],[Diagnostico]]="Inservible",Datos[[#This Row],[Estatus]]="Preventivo"),0,Datos[[#This Row],[Fecha_Final]]-Datos[[#This Row],[Día_Inicio]])</f>
        <v>0</v>
      </c>
      <c r="R240" s="2">
        <v>336</v>
      </c>
      <c r="S240" s="2">
        <v>243</v>
      </c>
      <c r="T240" t="s">
        <v>42</v>
      </c>
    </row>
    <row r="241" spans="1:20" x14ac:dyDescent="0.25">
      <c r="A241" t="s">
        <v>418</v>
      </c>
      <c r="B241" s="1">
        <v>45005</v>
      </c>
      <c r="C241" t="s">
        <v>357</v>
      </c>
      <c r="D241">
        <v>3</v>
      </c>
      <c r="E241" t="str">
        <f>+CONCATENATE("T",ROUNDUP(MONTH(Datos[[#This Row],[Fecha]])/3,0))</f>
        <v>T1</v>
      </c>
      <c r="F241" t="str">
        <f>+CONCATENATE("Sem"," ",ROUNDUP(MONTH(Datos[[#This Row],[Fecha]])/6,0))</f>
        <v>Sem 1</v>
      </c>
      <c r="G241" t="s">
        <v>82</v>
      </c>
      <c r="H241" t="s">
        <v>83</v>
      </c>
      <c r="I241" t="s">
        <v>24</v>
      </c>
      <c r="J241" t="s">
        <v>84</v>
      </c>
      <c r="K241" t="s">
        <v>80</v>
      </c>
      <c r="L241" t="s">
        <v>27</v>
      </c>
      <c r="M241">
        <v>0</v>
      </c>
      <c r="N241" s="1">
        <v>45005</v>
      </c>
      <c r="O241" s="1">
        <v>45033</v>
      </c>
      <c r="P241" t="s">
        <v>28</v>
      </c>
      <c r="Q241">
        <f>+IF(OR(Datos[[#This Row],[Diagnostico]]="Inservible",Datos[[#This Row],[Estatus]]="Preventivo"),0,Datos[[#This Row],[Fecha_Final]]-Datos[[#This Row],[Día_Inicio]])</f>
        <v>0</v>
      </c>
      <c r="R241" s="2">
        <v>0</v>
      </c>
      <c r="S241" s="2">
        <v>0</v>
      </c>
      <c r="T241" t="s">
        <v>29</v>
      </c>
    </row>
    <row r="242" spans="1:20" x14ac:dyDescent="0.25">
      <c r="A242" t="s">
        <v>419</v>
      </c>
      <c r="B242" s="1">
        <v>45005</v>
      </c>
      <c r="C242" t="s">
        <v>357</v>
      </c>
      <c r="D242">
        <v>3</v>
      </c>
      <c r="E242" t="str">
        <f>+CONCATENATE("T",ROUNDUP(MONTH(Datos[[#This Row],[Fecha]])/3,0))</f>
        <v>T1</v>
      </c>
      <c r="F242" t="str">
        <f>+CONCATENATE("Sem"," ",ROUNDUP(MONTH(Datos[[#This Row],[Fecha]])/6,0))</f>
        <v>Sem 1</v>
      </c>
      <c r="G242" t="s">
        <v>112</v>
      </c>
      <c r="H242" t="s">
        <v>113</v>
      </c>
      <c r="I242" t="s">
        <v>24</v>
      </c>
      <c r="J242" t="s">
        <v>79</v>
      </c>
      <c r="K242" t="s">
        <v>39</v>
      </c>
      <c r="L242" t="s">
        <v>40</v>
      </c>
      <c r="M242" t="s">
        <v>51</v>
      </c>
      <c r="N242" s="1">
        <v>45005</v>
      </c>
      <c r="O242" s="1">
        <v>45065</v>
      </c>
      <c r="P242" t="s">
        <v>29</v>
      </c>
      <c r="Q242">
        <f>+IF(OR(Datos[[#This Row],[Diagnostico]]="Inservible",Datos[[#This Row],[Estatus]]="Preventivo"),0,Datos[[#This Row],[Fecha_Final]]-Datos[[#This Row],[Día_Inicio]])</f>
        <v>0</v>
      </c>
      <c r="R242" s="2">
        <v>1049</v>
      </c>
      <c r="S242" s="2">
        <v>407</v>
      </c>
      <c r="T242" t="s">
        <v>42</v>
      </c>
    </row>
    <row r="243" spans="1:20" x14ac:dyDescent="0.25">
      <c r="A243" t="s">
        <v>420</v>
      </c>
      <c r="B243" s="1">
        <v>45005</v>
      </c>
      <c r="C243" t="s">
        <v>357</v>
      </c>
      <c r="D243">
        <v>3</v>
      </c>
      <c r="E243" t="str">
        <f>+CONCATENATE("T",ROUNDUP(MONTH(Datos[[#This Row],[Fecha]])/3,0))</f>
        <v>T1</v>
      </c>
      <c r="F243" t="str">
        <f>+CONCATENATE("Sem"," ",ROUNDUP(MONTH(Datos[[#This Row],[Fecha]])/6,0))</f>
        <v>Sem 1</v>
      </c>
      <c r="G243" t="s">
        <v>49</v>
      </c>
      <c r="H243" t="s">
        <v>23</v>
      </c>
      <c r="I243" t="s">
        <v>24</v>
      </c>
      <c r="J243" t="s">
        <v>50</v>
      </c>
      <c r="K243" t="s">
        <v>90</v>
      </c>
      <c r="L243" t="s">
        <v>27</v>
      </c>
      <c r="M243">
        <v>0</v>
      </c>
      <c r="N243" s="1">
        <v>45005</v>
      </c>
      <c r="O243" s="1">
        <v>45028</v>
      </c>
      <c r="P243" t="s">
        <v>58</v>
      </c>
      <c r="Q243">
        <f>+IF(OR(Datos[[#This Row],[Diagnostico]]="Inservible",Datos[[#This Row],[Estatus]]="Preventivo"),0,Datos[[#This Row],[Fecha_Final]]-Datos[[#This Row],[Día_Inicio]])</f>
        <v>23</v>
      </c>
      <c r="R243" s="2">
        <v>912</v>
      </c>
      <c r="S243" s="2">
        <v>997</v>
      </c>
      <c r="T243" t="s">
        <v>91</v>
      </c>
    </row>
    <row r="244" spans="1:20" x14ac:dyDescent="0.25">
      <c r="A244" t="s">
        <v>421</v>
      </c>
      <c r="B244" s="1">
        <v>45006</v>
      </c>
      <c r="C244" t="s">
        <v>357</v>
      </c>
      <c r="D244">
        <v>3</v>
      </c>
      <c r="E244" t="str">
        <f>+CONCATENATE("T",ROUNDUP(MONTH(Datos[[#This Row],[Fecha]])/3,0))</f>
        <v>T1</v>
      </c>
      <c r="F244" t="str">
        <f>+CONCATENATE("Sem"," ",ROUNDUP(MONTH(Datos[[#This Row],[Fecha]])/6,0))</f>
        <v>Sem 1</v>
      </c>
      <c r="G244" t="s">
        <v>286</v>
      </c>
      <c r="H244" t="s">
        <v>287</v>
      </c>
      <c r="I244" t="s">
        <v>24</v>
      </c>
      <c r="J244" t="s">
        <v>38</v>
      </c>
      <c r="K244" t="s">
        <v>172</v>
      </c>
      <c r="L244" t="s">
        <v>27</v>
      </c>
      <c r="M244">
        <v>0</v>
      </c>
      <c r="N244" s="1">
        <v>45006</v>
      </c>
      <c r="O244" s="1">
        <v>45014</v>
      </c>
      <c r="P244" t="s">
        <v>58</v>
      </c>
      <c r="Q244">
        <f>+IF(OR(Datos[[#This Row],[Diagnostico]]="Inservible",Datos[[#This Row],[Estatus]]="Preventivo"),0,Datos[[#This Row],[Fecha_Final]]-Datos[[#This Row],[Día_Inicio]])</f>
        <v>8</v>
      </c>
      <c r="R244" s="2">
        <v>1196</v>
      </c>
      <c r="S244" s="2">
        <v>249</v>
      </c>
      <c r="T244" t="s">
        <v>91</v>
      </c>
    </row>
    <row r="245" spans="1:20" x14ac:dyDescent="0.25">
      <c r="A245" t="s">
        <v>422</v>
      </c>
      <c r="B245" s="1">
        <v>45006</v>
      </c>
      <c r="C245" t="s">
        <v>357</v>
      </c>
      <c r="D245">
        <v>3</v>
      </c>
      <c r="E245" t="str">
        <f>+CONCATENATE("T",ROUNDUP(MONTH(Datos[[#This Row],[Fecha]])/3,0))</f>
        <v>T1</v>
      </c>
      <c r="F245" t="str">
        <f>+CONCATENATE("Sem"," ",ROUNDUP(MONTH(Datos[[#This Row],[Fecha]])/6,0))</f>
        <v>Sem 1</v>
      </c>
      <c r="G245" t="s">
        <v>158</v>
      </c>
      <c r="H245" t="s">
        <v>159</v>
      </c>
      <c r="I245" t="s">
        <v>101</v>
      </c>
      <c r="J245" t="s">
        <v>160</v>
      </c>
      <c r="K245" t="s">
        <v>97</v>
      </c>
      <c r="L245" t="s">
        <v>27</v>
      </c>
      <c r="M245">
        <v>0</v>
      </c>
      <c r="N245" s="1">
        <v>45006</v>
      </c>
      <c r="O245" s="1">
        <v>45008</v>
      </c>
      <c r="P245" t="s">
        <v>28</v>
      </c>
      <c r="Q245">
        <f>+IF(OR(Datos[[#This Row],[Diagnostico]]="Inservible",Datos[[#This Row],[Estatus]]="Preventivo"),0,Datos[[#This Row],[Fecha_Final]]-Datos[[#This Row],[Día_Inicio]])</f>
        <v>0</v>
      </c>
      <c r="R245" s="2">
        <v>0</v>
      </c>
      <c r="S245" s="2">
        <v>0</v>
      </c>
      <c r="T245" t="s">
        <v>29</v>
      </c>
    </row>
    <row r="246" spans="1:20" x14ac:dyDescent="0.25">
      <c r="A246" t="s">
        <v>423</v>
      </c>
      <c r="B246" s="1">
        <v>45007</v>
      </c>
      <c r="C246" t="s">
        <v>357</v>
      </c>
      <c r="D246">
        <v>3</v>
      </c>
      <c r="E246" t="str">
        <f>+CONCATENATE("T",ROUNDUP(MONTH(Datos[[#This Row],[Fecha]])/3,0))</f>
        <v>T1</v>
      </c>
      <c r="F246" t="str">
        <f>+CONCATENATE("Sem"," ",ROUNDUP(MONTH(Datos[[#This Row],[Fecha]])/6,0))</f>
        <v>Sem 1</v>
      </c>
      <c r="G246" t="s">
        <v>158</v>
      </c>
      <c r="H246" t="s">
        <v>159</v>
      </c>
      <c r="I246" t="s">
        <v>101</v>
      </c>
      <c r="J246" t="s">
        <v>160</v>
      </c>
      <c r="K246" t="s">
        <v>39</v>
      </c>
      <c r="L246" t="s">
        <v>40</v>
      </c>
      <c r="M246" t="s">
        <v>188</v>
      </c>
      <c r="N246" s="1">
        <v>45007</v>
      </c>
      <c r="O246" s="1">
        <v>45187</v>
      </c>
      <c r="P246" t="s">
        <v>29</v>
      </c>
      <c r="Q246">
        <f>+IF(OR(Datos[[#This Row],[Diagnostico]]="Inservible",Datos[[#This Row],[Estatus]]="Preventivo"),0,Datos[[#This Row],[Fecha_Final]]-Datos[[#This Row],[Día_Inicio]])</f>
        <v>0</v>
      </c>
      <c r="R246" s="2">
        <v>601</v>
      </c>
      <c r="S246" s="2">
        <v>233</v>
      </c>
      <c r="T246" t="s">
        <v>42</v>
      </c>
    </row>
    <row r="247" spans="1:20" x14ac:dyDescent="0.25">
      <c r="A247" t="s">
        <v>424</v>
      </c>
      <c r="B247" s="1">
        <v>45007</v>
      </c>
      <c r="C247" t="s">
        <v>357</v>
      </c>
      <c r="D247">
        <v>3</v>
      </c>
      <c r="E247" t="str">
        <f>+CONCATENATE("T",ROUNDUP(MONTH(Datos[[#This Row],[Fecha]])/3,0))</f>
        <v>T1</v>
      </c>
      <c r="F247" t="str">
        <f>+CONCATENATE("Sem"," ",ROUNDUP(MONTH(Datos[[#This Row],[Fecha]])/6,0))</f>
        <v>Sem 1</v>
      </c>
      <c r="G247" t="s">
        <v>149</v>
      </c>
      <c r="H247" t="s">
        <v>150</v>
      </c>
      <c r="I247" t="s">
        <v>68</v>
      </c>
      <c r="J247" t="s">
        <v>151</v>
      </c>
      <c r="K247" t="s">
        <v>108</v>
      </c>
      <c r="L247" t="s">
        <v>27</v>
      </c>
      <c r="M247">
        <v>0</v>
      </c>
      <c r="N247" s="1">
        <v>45007</v>
      </c>
      <c r="O247" s="1">
        <v>45028</v>
      </c>
      <c r="P247" t="s">
        <v>28</v>
      </c>
      <c r="Q247">
        <f>+IF(OR(Datos[[#This Row],[Diagnostico]]="Inservible",Datos[[#This Row],[Estatus]]="Preventivo"),0,Datos[[#This Row],[Fecha_Final]]-Datos[[#This Row],[Día_Inicio]])</f>
        <v>0</v>
      </c>
      <c r="R247" s="2">
        <v>0</v>
      </c>
      <c r="S247" s="2">
        <v>0</v>
      </c>
      <c r="T247" t="s">
        <v>29</v>
      </c>
    </row>
    <row r="248" spans="1:20" x14ac:dyDescent="0.25">
      <c r="A248" t="s">
        <v>425</v>
      </c>
      <c r="B248" s="1">
        <v>45007</v>
      </c>
      <c r="C248" t="s">
        <v>357</v>
      </c>
      <c r="D248">
        <v>3</v>
      </c>
      <c r="E248" t="str">
        <f>+CONCATENATE("T",ROUNDUP(MONTH(Datos[[#This Row],[Fecha]])/3,0))</f>
        <v>T1</v>
      </c>
      <c r="F248" t="str">
        <f>+CONCATENATE("Sem"," ",ROUNDUP(MONTH(Datos[[#This Row],[Fecha]])/6,0))</f>
        <v>Sem 1</v>
      </c>
      <c r="G248" t="s">
        <v>112</v>
      </c>
      <c r="H248" t="s">
        <v>113</v>
      </c>
      <c r="I248" t="s">
        <v>24</v>
      </c>
      <c r="J248" t="s">
        <v>79</v>
      </c>
      <c r="K248" t="s">
        <v>39</v>
      </c>
      <c r="L248" t="s">
        <v>40</v>
      </c>
      <c r="M248" t="s">
        <v>103</v>
      </c>
      <c r="N248" s="1">
        <v>45007</v>
      </c>
      <c r="O248" s="1">
        <v>45022</v>
      </c>
      <c r="P248" t="s">
        <v>29</v>
      </c>
      <c r="Q248">
        <f>+IF(OR(Datos[[#This Row],[Diagnostico]]="Inservible",Datos[[#This Row],[Estatus]]="Preventivo"),0,Datos[[#This Row],[Fecha_Final]]-Datos[[#This Row],[Día_Inicio]])</f>
        <v>0</v>
      </c>
      <c r="R248" s="2">
        <v>914</v>
      </c>
      <c r="S248" s="2">
        <v>515</v>
      </c>
      <c r="T248" t="s">
        <v>42</v>
      </c>
    </row>
    <row r="249" spans="1:20" x14ac:dyDescent="0.25">
      <c r="A249" t="s">
        <v>426</v>
      </c>
      <c r="B249" s="1">
        <v>45007</v>
      </c>
      <c r="C249" t="s">
        <v>357</v>
      </c>
      <c r="D249">
        <v>3</v>
      </c>
      <c r="E249" t="str">
        <f>+CONCATENATE("T",ROUNDUP(MONTH(Datos[[#This Row],[Fecha]])/3,0))</f>
        <v>T1</v>
      </c>
      <c r="F249" t="str">
        <f>+CONCATENATE("Sem"," ",ROUNDUP(MONTH(Datos[[#This Row],[Fecha]])/6,0))</f>
        <v>Sem 1</v>
      </c>
      <c r="G249" t="s">
        <v>121</v>
      </c>
      <c r="H249" t="s">
        <v>122</v>
      </c>
      <c r="I249" t="s">
        <v>24</v>
      </c>
      <c r="J249" t="s">
        <v>102</v>
      </c>
      <c r="K249" t="s">
        <v>114</v>
      </c>
      <c r="L249" t="s">
        <v>27</v>
      </c>
      <c r="M249">
        <v>0</v>
      </c>
      <c r="N249" s="1">
        <v>45007</v>
      </c>
      <c r="O249" s="1">
        <v>45010</v>
      </c>
      <c r="P249" t="s">
        <v>28</v>
      </c>
      <c r="Q249">
        <f>+IF(OR(Datos[[#This Row],[Diagnostico]]="Inservible",Datos[[#This Row],[Estatus]]="Preventivo"),0,Datos[[#This Row],[Fecha_Final]]-Datos[[#This Row],[Día_Inicio]])</f>
        <v>0</v>
      </c>
      <c r="R249" s="2">
        <v>0</v>
      </c>
      <c r="S249" s="2">
        <v>0</v>
      </c>
      <c r="T249" t="s">
        <v>29</v>
      </c>
    </row>
    <row r="250" spans="1:20" x14ac:dyDescent="0.25">
      <c r="A250" t="s">
        <v>427</v>
      </c>
      <c r="B250" s="1">
        <v>45007</v>
      </c>
      <c r="C250" t="s">
        <v>357</v>
      </c>
      <c r="D250">
        <v>3</v>
      </c>
      <c r="E250" t="str">
        <f>+CONCATENATE("T",ROUNDUP(MONTH(Datos[[#This Row],[Fecha]])/3,0))</f>
        <v>T1</v>
      </c>
      <c r="F250" t="str">
        <f>+CONCATENATE("Sem"," ",ROUNDUP(MONTH(Datos[[#This Row],[Fecha]])/6,0))</f>
        <v>Sem 1</v>
      </c>
      <c r="G250" t="s">
        <v>94</v>
      </c>
      <c r="H250" t="s">
        <v>95</v>
      </c>
      <c r="I250" t="s">
        <v>68</v>
      </c>
      <c r="J250" t="s">
        <v>96</v>
      </c>
      <c r="K250" t="s">
        <v>39</v>
      </c>
      <c r="L250" t="s">
        <v>40</v>
      </c>
      <c r="M250" t="s">
        <v>41</v>
      </c>
      <c r="N250" s="1">
        <v>45007</v>
      </c>
      <c r="O250" s="1">
        <v>45097</v>
      </c>
      <c r="P250" t="s">
        <v>29</v>
      </c>
      <c r="Q250">
        <f>+IF(OR(Datos[[#This Row],[Diagnostico]]="Inservible",Datos[[#This Row],[Estatus]]="Preventivo"),0,Datos[[#This Row],[Fecha_Final]]-Datos[[#This Row],[Día_Inicio]])</f>
        <v>0</v>
      </c>
      <c r="R250" s="2">
        <v>579</v>
      </c>
      <c r="S250" s="2">
        <v>472</v>
      </c>
      <c r="T250" t="s">
        <v>42</v>
      </c>
    </row>
    <row r="251" spans="1:20" x14ac:dyDescent="0.25">
      <c r="A251" t="s">
        <v>428</v>
      </c>
      <c r="B251" s="1">
        <v>45007</v>
      </c>
      <c r="C251" t="s">
        <v>357</v>
      </c>
      <c r="D251">
        <v>3</v>
      </c>
      <c r="E251" t="str">
        <f>+CONCATENATE("T",ROUNDUP(MONTH(Datos[[#This Row],[Fecha]])/3,0))</f>
        <v>T1</v>
      </c>
      <c r="F251" t="str">
        <f>+CONCATENATE("Sem"," ",ROUNDUP(MONTH(Datos[[#This Row],[Fecha]])/6,0))</f>
        <v>Sem 1</v>
      </c>
      <c r="G251" t="s">
        <v>105</v>
      </c>
      <c r="H251" t="s">
        <v>106</v>
      </c>
      <c r="I251" t="s">
        <v>24</v>
      </c>
      <c r="J251" t="s">
        <v>107</v>
      </c>
      <c r="K251" t="s">
        <v>123</v>
      </c>
      <c r="L251" t="s">
        <v>27</v>
      </c>
      <c r="M251">
        <v>0</v>
      </c>
      <c r="N251" s="1">
        <v>45007</v>
      </c>
      <c r="O251" s="1">
        <v>45016</v>
      </c>
      <c r="P251" t="s">
        <v>58</v>
      </c>
      <c r="Q251">
        <f>+IF(OR(Datos[[#This Row],[Diagnostico]]="Inservible",Datos[[#This Row],[Estatus]]="Preventivo"),0,Datos[[#This Row],[Fecha_Final]]-Datos[[#This Row],[Día_Inicio]])</f>
        <v>9</v>
      </c>
      <c r="R251" s="2">
        <v>981</v>
      </c>
      <c r="S251" s="2">
        <v>289</v>
      </c>
      <c r="T251" t="s">
        <v>64</v>
      </c>
    </row>
    <row r="252" spans="1:20" x14ac:dyDescent="0.25">
      <c r="A252" t="s">
        <v>429</v>
      </c>
      <c r="B252" s="1">
        <v>45007</v>
      </c>
      <c r="C252" t="s">
        <v>357</v>
      </c>
      <c r="D252">
        <v>3</v>
      </c>
      <c r="E252" t="str">
        <f>+CONCATENATE("T",ROUNDUP(MONTH(Datos[[#This Row],[Fecha]])/3,0))</f>
        <v>T1</v>
      </c>
      <c r="F252" t="str">
        <f>+CONCATENATE("Sem"," ",ROUNDUP(MONTH(Datos[[#This Row],[Fecha]])/6,0))</f>
        <v>Sem 1</v>
      </c>
      <c r="G252" t="s">
        <v>190</v>
      </c>
      <c r="H252" t="s">
        <v>191</v>
      </c>
      <c r="I252" t="s">
        <v>24</v>
      </c>
      <c r="J252" t="s">
        <v>192</v>
      </c>
      <c r="K252" t="s">
        <v>39</v>
      </c>
      <c r="L252" t="s">
        <v>40</v>
      </c>
      <c r="M252" t="s">
        <v>196</v>
      </c>
      <c r="N252" s="1">
        <v>45007</v>
      </c>
      <c r="O252" s="1">
        <v>45037</v>
      </c>
      <c r="P252" t="s">
        <v>29</v>
      </c>
      <c r="Q252">
        <f>+IF(OR(Datos[[#This Row],[Diagnostico]]="Inservible",Datos[[#This Row],[Estatus]]="Preventivo"),0,Datos[[#This Row],[Fecha_Final]]-Datos[[#This Row],[Día_Inicio]])</f>
        <v>0</v>
      </c>
      <c r="R252" s="2">
        <v>713</v>
      </c>
      <c r="S252" s="2">
        <v>730</v>
      </c>
      <c r="T252" t="s">
        <v>42</v>
      </c>
    </row>
    <row r="253" spans="1:20" x14ac:dyDescent="0.25">
      <c r="A253" t="s">
        <v>430</v>
      </c>
      <c r="B253" s="1">
        <v>45008</v>
      </c>
      <c r="C253" t="s">
        <v>357</v>
      </c>
      <c r="D253">
        <v>3</v>
      </c>
      <c r="E253" t="str">
        <f>+CONCATENATE("T",ROUNDUP(MONTH(Datos[[#This Row],[Fecha]])/3,0))</f>
        <v>T1</v>
      </c>
      <c r="F253" t="str">
        <f>+CONCATENATE("Sem"," ",ROUNDUP(MONTH(Datos[[#This Row],[Fecha]])/6,0))</f>
        <v>Sem 1</v>
      </c>
      <c r="G253" t="s">
        <v>94</v>
      </c>
      <c r="H253" t="s">
        <v>95</v>
      </c>
      <c r="I253" t="s">
        <v>68</v>
      </c>
      <c r="J253" t="s">
        <v>96</v>
      </c>
      <c r="K253" t="s">
        <v>130</v>
      </c>
      <c r="L253" t="s">
        <v>27</v>
      </c>
      <c r="M253">
        <v>0</v>
      </c>
      <c r="N253" s="1">
        <v>45008</v>
      </c>
      <c r="O253" s="1">
        <v>45022</v>
      </c>
      <c r="P253" t="s">
        <v>58</v>
      </c>
      <c r="Q253">
        <f>+IF(OR(Datos[[#This Row],[Diagnostico]]="Inservible",Datos[[#This Row],[Estatus]]="Preventivo"),0,Datos[[#This Row],[Fecha_Final]]-Datos[[#This Row],[Día_Inicio]])</f>
        <v>14</v>
      </c>
      <c r="R253" s="2">
        <v>585</v>
      </c>
      <c r="S253" s="2">
        <v>477</v>
      </c>
      <c r="T253" t="s">
        <v>91</v>
      </c>
    </row>
    <row r="254" spans="1:20" x14ac:dyDescent="0.25">
      <c r="A254" t="s">
        <v>431</v>
      </c>
      <c r="B254" s="1">
        <v>45008</v>
      </c>
      <c r="C254" t="s">
        <v>357</v>
      </c>
      <c r="D254">
        <v>3</v>
      </c>
      <c r="E254" t="str">
        <f>+CONCATENATE("T",ROUNDUP(MONTH(Datos[[#This Row],[Fecha]])/3,0))</f>
        <v>T1</v>
      </c>
      <c r="F254" t="str">
        <f>+CONCATENATE("Sem"," ",ROUNDUP(MONTH(Datos[[#This Row],[Fecha]])/6,0))</f>
        <v>Sem 1</v>
      </c>
      <c r="G254" t="s">
        <v>105</v>
      </c>
      <c r="H254" t="s">
        <v>106</v>
      </c>
      <c r="I254" t="s">
        <v>24</v>
      </c>
      <c r="J254" t="s">
        <v>107</v>
      </c>
      <c r="K254" t="s">
        <v>135</v>
      </c>
      <c r="L254" t="s">
        <v>27</v>
      </c>
      <c r="M254">
        <v>0</v>
      </c>
      <c r="N254" s="1">
        <v>45008</v>
      </c>
      <c r="O254" s="1">
        <v>45027</v>
      </c>
      <c r="P254" t="s">
        <v>58</v>
      </c>
      <c r="Q254">
        <f>+IF(OR(Datos[[#This Row],[Diagnostico]]="Inservible",Datos[[#This Row],[Estatus]]="Preventivo"),0,Datos[[#This Row],[Fecha_Final]]-Datos[[#This Row],[Día_Inicio]])</f>
        <v>19</v>
      </c>
      <c r="R254" s="2">
        <v>452</v>
      </c>
      <c r="S254" s="2">
        <v>481</v>
      </c>
      <c r="T254" t="s">
        <v>42</v>
      </c>
    </row>
    <row r="255" spans="1:20" x14ac:dyDescent="0.25">
      <c r="A255" t="s">
        <v>432</v>
      </c>
      <c r="B255" s="1">
        <v>45008</v>
      </c>
      <c r="C255" t="s">
        <v>357</v>
      </c>
      <c r="D255">
        <v>3</v>
      </c>
      <c r="E255" t="str">
        <f>+CONCATENATE("T",ROUNDUP(MONTH(Datos[[#This Row],[Fecha]])/3,0))</f>
        <v>T1</v>
      </c>
      <c r="F255" t="str">
        <f>+CONCATENATE("Sem"," ",ROUNDUP(MONTH(Datos[[#This Row],[Fecha]])/6,0))</f>
        <v>Sem 1</v>
      </c>
      <c r="G255" t="s">
        <v>246</v>
      </c>
      <c r="H255" t="s">
        <v>247</v>
      </c>
      <c r="I255" t="s">
        <v>24</v>
      </c>
      <c r="J255" t="s">
        <v>156</v>
      </c>
      <c r="K255" t="s">
        <v>26</v>
      </c>
      <c r="L255" t="s">
        <v>27</v>
      </c>
      <c r="M255">
        <v>0</v>
      </c>
      <c r="N255" s="1">
        <v>45008</v>
      </c>
      <c r="O255" s="1">
        <v>45011</v>
      </c>
      <c r="P255" t="s">
        <v>28</v>
      </c>
      <c r="Q255">
        <f>+IF(OR(Datos[[#This Row],[Diagnostico]]="Inservible",Datos[[#This Row],[Estatus]]="Preventivo"),0,Datos[[#This Row],[Fecha_Final]]-Datos[[#This Row],[Día_Inicio]])</f>
        <v>0</v>
      </c>
      <c r="R255" s="2">
        <v>0</v>
      </c>
      <c r="S255" s="2">
        <v>0</v>
      </c>
      <c r="T255" t="s">
        <v>29</v>
      </c>
    </row>
    <row r="256" spans="1:20" x14ac:dyDescent="0.25">
      <c r="A256" t="s">
        <v>433</v>
      </c>
      <c r="B256" s="1">
        <v>45009</v>
      </c>
      <c r="C256" t="s">
        <v>357</v>
      </c>
      <c r="D256">
        <v>3</v>
      </c>
      <c r="E256" t="str">
        <f>+CONCATENATE("T",ROUNDUP(MONTH(Datos[[#This Row],[Fecha]])/3,0))</f>
        <v>T1</v>
      </c>
      <c r="F256" t="str">
        <f>+CONCATENATE("Sem"," ",ROUNDUP(MONTH(Datos[[#This Row],[Fecha]])/6,0))</f>
        <v>Sem 1</v>
      </c>
      <c r="G256" t="s">
        <v>53</v>
      </c>
      <c r="H256" t="s">
        <v>54</v>
      </c>
      <c r="I256" t="s">
        <v>55</v>
      </c>
      <c r="J256" t="s">
        <v>56</v>
      </c>
      <c r="K256" t="s">
        <v>39</v>
      </c>
      <c r="L256" t="s">
        <v>40</v>
      </c>
      <c r="M256" t="s">
        <v>75</v>
      </c>
      <c r="N256" s="1">
        <v>45009</v>
      </c>
      <c r="O256" s="1">
        <v>45369</v>
      </c>
      <c r="P256" t="s">
        <v>29</v>
      </c>
      <c r="Q256">
        <f>+IF(OR(Datos[[#This Row],[Diagnostico]]="Inservible",Datos[[#This Row],[Estatus]]="Preventivo"),0,Datos[[#This Row],[Fecha_Final]]-Datos[[#This Row],[Día_Inicio]])</f>
        <v>0</v>
      </c>
      <c r="R256" s="2">
        <v>431</v>
      </c>
      <c r="S256" s="2">
        <v>935</v>
      </c>
      <c r="T256" t="s">
        <v>42</v>
      </c>
    </row>
    <row r="257" spans="1:20" x14ac:dyDescent="0.25">
      <c r="A257" t="s">
        <v>434</v>
      </c>
      <c r="B257" s="1">
        <v>45009</v>
      </c>
      <c r="C257" t="s">
        <v>357</v>
      </c>
      <c r="D257">
        <v>3</v>
      </c>
      <c r="E257" t="str">
        <f>+CONCATENATE("T",ROUNDUP(MONTH(Datos[[#This Row],[Fecha]])/3,0))</f>
        <v>T1</v>
      </c>
      <c r="F257" t="str">
        <f>+CONCATENATE("Sem"," ",ROUNDUP(MONTH(Datos[[#This Row],[Fecha]])/6,0))</f>
        <v>Sem 1</v>
      </c>
      <c r="G257" t="s">
        <v>215</v>
      </c>
      <c r="H257" t="s">
        <v>216</v>
      </c>
      <c r="I257" t="s">
        <v>24</v>
      </c>
      <c r="J257" t="s">
        <v>50</v>
      </c>
      <c r="K257" t="s">
        <v>39</v>
      </c>
      <c r="L257" t="s">
        <v>27</v>
      </c>
      <c r="M257">
        <v>0</v>
      </c>
      <c r="N257" s="1">
        <v>45009</v>
      </c>
      <c r="O257" s="1">
        <v>45038</v>
      </c>
      <c r="P257" t="s">
        <v>28</v>
      </c>
      <c r="Q257">
        <f>+IF(OR(Datos[[#This Row],[Diagnostico]]="Inservible",Datos[[#This Row],[Estatus]]="Preventivo"),0,Datos[[#This Row],[Fecha_Final]]-Datos[[#This Row],[Día_Inicio]])</f>
        <v>0</v>
      </c>
      <c r="R257" s="2">
        <v>0</v>
      </c>
      <c r="S257" s="2">
        <v>0</v>
      </c>
      <c r="T257" t="s">
        <v>29</v>
      </c>
    </row>
    <row r="258" spans="1:20" x14ac:dyDescent="0.25">
      <c r="A258" t="s">
        <v>435</v>
      </c>
      <c r="B258" s="1">
        <v>45009</v>
      </c>
      <c r="C258" t="s">
        <v>357</v>
      </c>
      <c r="D258">
        <v>3</v>
      </c>
      <c r="E258" t="str">
        <f>+CONCATENATE("T",ROUNDUP(MONTH(Datos[[#This Row],[Fecha]])/3,0))</f>
        <v>T1</v>
      </c>
      <c r="F258" t="str">
        <f>+CONCATENATE("Sem"," ",ROUNDUP(MONTH(Datos[[#This Row],[Fecha]])/6,0))</f>
        <v>Sem 1</v>
      </c>
      <c r="G258" t="s">
        <v>169</v>
      </c>
      <c r="H258" t="s">
        <v>170</v>
      </c>
      <c r="I258" t="s">
        <v>68</v>
      </c>
      <c r="J258" t="s">
        <v>171</v>
      </c>
      <c r="K258" t="s">
        <v>39</v>
      </c>
      <c r="L258" t="s">
        <v>40</v>
      </c>
      <c r="M258" t="s">
        <v>103</v>
      </c>
      <c r="N258" s="1">
        <v>45009</v>
      </c>
      <c r="O258" s="1">
        <v>45024</v>
      </c>
      <c r="P258" t="s">
        <v>29</v>
      </c>
      <c r="Q258">
        <f>+IF(OR(Datos[[#This Row],[Diagnostico]]="Inservible",Datos[[#This Row],[Estatus]]="Preventivo"),0,Datos[[#This Row],[Fecha_Final]]-Datos[[#This Row],[Día_Inicio]])</f>
        <v>0</v>
      </c>
      <c r="R258" s="2">
        <v>201</v>
      </c>
      <c r="S258" s="2">
        <v>607</v>
      </c>
      <c r="T258" t="s">
        <v>42</v>
      </c>
    </row>
    <row r="259" spans="1:20" x14ac:dyDescent="0.25">
      <c r="A259" t="s">
        <v>436</v>
      </c>
      <c r="B259" s="1">
        <v>45009</v>
      </c>
      <c r="C259" t="s">
        <v>357</v>
      </c>
      <c r="D259">
        <v>3</v>
      </c>
      <c r="E259" t="str">
        <f>+CONCATENATE("T",ROUNDUP(MONTH(Datos[[#This Row],[Fecha]])/3,0))</f>
        <v>T1</v>
      </c>
      <c r="F259" t="str">
        <f>+CONCATENATE("Sem"," ",ROUNDUP(MONTH(Datos[[#This Row],[Fecha]])/6,0))</f>
        <v>Sem 1</v>
      </c>
      <c r="G259" t="s">
        <v>175</v>
      </c>
      <c r="H259" t="s">
        <v>176</v>
      </c>
      <c r="I259" t="s">
        <v>24</v>
      </c>
      <c r="J259" t="s">
        <v>177</v>
      </c>
      <c r="K259" t="s">
        <v>147</v>
      </c>
      <c r="L259" t="s">
        <v>27</v>
      </c>
      <c r="M259">
        <v>0</v>
      </c>
      <c r="N259" s="1">
        <v>45009</v>
      </c>
      <c r="O259" s="1">
        <v>45015</v>
      </c>
      <c r="P259" t="s">
        <v>28</v>
      </c>
      <c r="Q259">
        <f>+IF(OR(Datos[[#This Row],[Diagnostico]]="Inservible",Datos[[#This Row],[Estatus]]="Preventivo"),0,Datos[[#This Row],[Fecha_Final]]-Datos[[#This Row],[Día_Inicio]])</f>
        <v>0</v>
      </c>
      <c r="R259" s="2">
        <v>0</v>
      </c>
      <c r="S259" s="2">
        <v>0</v>
      </c>
      <c r="T259" t="s">
        <v>29</v>
      </c>
    </row>
    <row r="260" spans="1:20" x14ac:dyDescent="0.25">
      <c r="A260" t="s">
        <v>437</v>
      </c>
      <c r="B260" s="1">
        <v>45010</v>
      </c>
      <c r="C260" t="s">
        <v>357</v>
      </c>
      <c r="D260">
        <v>3</v>
      </c>
      <c r="E260" t="str">
        <f>+CONCATENATE("T",ROUNDUP(MONTH(Datos[[#This Row],[Fecha]])/3,0))</f>
        <v>T1</v>
      </c>
      <c r="F260" t="str">
        <f>+CONCATENATE("Sem"," ",ROUNDUP(MONTH(Datos[[#This Row],[Fecha]])/6,0))</f>
        <v>Sem 1</v>
      </c>
      <c r="G260" t="s">
        <v>36</v>
      </c>
      <c r="H260" t="s">
        <v>37</v>
      </c>
      <c r="I260" t="s">
        <v>24</v>
      </c>
      <c r="J260" t="s">
        <v>38</v>
      </c>
      <c r="K260" t="s">
        <v>57</v>
      </c>
      <c r="L260" t="s">
        <v>27</v>
      </c>
      <c r="M260">
        <v>0</v>
      </c>
      <c r="N260" s="1">
        <v>45010</v>
      </c>
      <c r="O260" s="1">
        <v>45030</v>
      </c>
      <c r="P260" t="s">
        <v>28</v>
      </c>
      <c r="Q260">
        <f>+IF(OR(Datos[[#This Row],[Diagnostico]]="Inservible",Datos[[#This Row],[Estatus]]="Preventivo"),0,Datos[[#This Row],[Fecha_Final]]-Datos[[#This Row],[Día_Inicio]])</f>
        <v>0</v>
      </c>
      <c r="R260" s="2">
        <v>0</v>
      </c>
      <c r="S260" s="2">
        <v>0</v>
      </c>
      <c r="T260" t="s">
        <v>29</v>
      </c>
    </row>
    <row r="261" spans="1:20" x14ac:dyDescent="0.25">
      <c r="A261" t="s">
        <v>438</v>
      </c>
      <c r="B261" s="1">
        <v>45010</v>
      </c>
      <c r="C261" t="s">
        <v>357</v>
      </c>
      <c r="D261">
        <v>3</v>
      </c>
      <c r="E261" t="str">
        <f>+CONCATENATE("T",ROUNDUP(MONTH(Datos[[#This Row],[Fecha]])/3,0))</f>
        <v>T1</v>
      </c>
      <c r="F261" t="str">
        <f>+CONCATENATE("Sem"," ",ROUNDUP(MONTH(Datos[[#This Row],[Fecha]])/6,0))</f>
        <v>Sem 1</v>
      </c>
      <c r="G261" t="s">
        <v>283</v>
      </c>
      <c r="H261" t="s">
        <v>284</v>
      </c>
      <c r="I261" t="s">
        <v>24</v>
      </c>
      <c r="J261" t="s">
        <v>192</v>
      </c>
      <c r="K261" t="s">
        <v>63</v>
      </c>
      <c r="L261" t="s">
        <v>27</v>
      </c>
      <c r="M261">
        <v>0</v>
      </c>
      <c r="N261" s="1">
        <v>45010</v>
      </c>
      <c r="O261" s="1">
        <v>45033</v>
      </c>
      <c r="P261" t="s">
        <v>58</v>
      </c>
      <c r="Q261">
        <f>+IF(OR(Datos[[#This Row],[Diagnostico]]="Inservible",Datos[[#This Row],[Estatus]]="Preventivo"),0,Datos[[#This Row],[Fecha_Final]]-Datos[[#This Row],[Día_Inicio]])</f>
        <v>23</v>
      </c>
      <c r="R261" s="2">
        <v>368</v>
      </c>
      <c r="S261" s="2">
        <v>594</v>
      </c>
      <c r="T261" t="s">
        <v>42</v>
      </c>
    </row>
    <row r="262" spans="1:20" x14ac:dyDescent="0.25">
      <c r="A262" t="s">
        <v>439</v>
      </c>
      <c r="B262" s="1">
        <v>45010</v>
      </c>
      <c r="C262" t="s">
        <v>357</v>
      </c>
      <c r="D262">
        <v>3</v>
      </c>
      <c r="E262" t="str">
        <f>+CONCATENATE("T",ROUNDUP(MONTH(Datos[[#This Row],[Fecha]])/3,0))</f>
        <v>T1</v>
      </c>
      <c r="F262" t="str">
        <f>+CONCATENATE("Sem"," ",ROUNDUP(MONTH(Datos[[#This Row],[Fecha]])/6,0))</f>
        <v>Sem 1</v>
      </c>
      <c r="G262" t="s">
        <v>154</v>
      </c>
      <c r="H262" t="s">
        <v>155</v>
      </c>
      <c r="I262" t="s">
        <v>68</v>
      </c>
      <c r="J262" t="s">
        <v>156</v>
      </c>
      <c r="K262" t="s">
        <v>70</v>
      </c>
      <c r="L262" t="s">
        <v>27</v>
      </c>
      <c r="M262">
        <v>0</v>
      </c>
      <c r="N262" s="1">
        <v>45010</v>
      </c>
      <c r="O262" s="1">
        <v>45014</v>
      </c>
      <c r="P262" t="s">
        <v>58</v>
      </c>
      <c r="Q262">
        <f>+IF(OR(Datos[[#This Row],[Diagnostico]]="Inservible",Datos[[#This Row],[Estatus]]="Preventivo"),0,Datos[[#This Row],[Fecha_Final]]-Datos[[#This Row],[Día_Inicio]])</f>
        <v>4</v>
      </c>
      <c r="R262" s="2">
        <v>1021</v>
      </c>
      <c r="S262" s="2">
        <v>622</v>
      </c>
      <c r="T262" t="s">
        <v>91</v>
      </c>
    </row>
    <row r="263" spans="1:20" x14ac:dyDescent="0.25">
      <c r="A263" t="s">
        <v>440</v>
      </c>
      <c r="B263" s="1">
        <v>45010</v>
      </c>
      <c r="C263" t="s">
        <v>357</v>
      </c>
      <c r="D263">
        <v>3</v>
      </c>
      <c r="E263" t="str">
        <f>+CONCATENATE("T",ROUNDUP(MONTH(Datos[[#This Row],[Fecha]])/3,0))</f>
        <v>T1</v>
      </c>
      <c r="F263" t="str">
        <f>+CONCATENATE("Sem"," ",ROUNDUP(MONTH(Datos[[#This Row],[Fecha]])/6,0))</f>
        <v>Sem 1</v>
      </c>
      <c r="G263" t="s">
        <v>286</v>
      </c>
      <c r="H263" t="s">
        <v>287</v>
      </c>
      <c r="I263" t="s">
        <v>24</v>
      </c>
      <c r="J263" t="s">
        <v>38</v>
      </c>
      <c r="K263" t="s">
        <v>161</v>
      </c>
      <c r="L263" t="s">
        <v>27</v>
      </c>
      <c r="M263">
        <v>0</v>
      </c>
      <c r="N263" s="1">
        <v>45010</v>
      </c>
      <c r="O263" s="1">
        <v>45035</v>
      </c>
      <c r="P263" t="s">
        <v>28</v>
      </c>
      <c r="Q263">
        <f>+IF(OR(Datos[[#This Row],[Diagnostico]]="Inservible",Datos[[#This Row],[Estatus]]="Preventivo"),0,Datos[[#This Row],[Fecha_Final]]-Datos[[#This Row],[Día_Inicio]])</f>
        <v>0</v>
      </c>
      <c r="R263" s="2">
        <v>0</v>
      </c>
      <c r="S263" s="2">
        <v>0</v>
      </c>
      <c r="T263" t="s">
        <v>29</v>
      </c>
    </row>
    <row r="264" spans="1:20" x14ac:dyDescent="0.25">
      <c r="A264" t="s">
        <v>441</v>
      </c>
      <c r="B264" s="1">
        <v>45011</v>
      </c>
      <c r="C264" t="s">
        <v>357</v>
      </c>
      <c r="D264">
        <v>3</v>
      </c>
      <c r="E264" t="str">
        <f>+CONCATENATE("T",ROUNDUP(MONTH(Datos[[#This Row],[Fecha]])/3,0))</f>
        <v>T1</v>
      </c>
      <c r="F264" t="str">
        <f>+CONCATENATE("Sem"," ",ROUNDUP(MONTH(Datos[[#This Row],[Fecha]])/6,0))</f>
        <v>Sem 1</v>
      </c>
      <c r="G264" t="s">
        <v>77</v>
      </c>
      <c r="H264" t="s">
        <v>78</v>
      </c>
      <c r="I264" t="s">
        <v>24</v>
      </c>
      <c r="J264" t="s">
        <v>79</v>
      </c>
      <c r="K264" t="s">
        <v>80</v>
      </c>
      <c r="L264" t="s">
        <v>27</v>
      </c>
      <c r="M264">
        <v>0</v>
      </c>
      <c r="N264" s="1">
        <v>45011</v>
      </c>
      <c r="O264" s="1">
        <v>45029</v>
      </c>
      <c r="P264" t="s">
        <v>58</v>
      </c>
      <c r="Q264">
        <f>+IF(OR(Datos[[#This Row],[Diagnostico]]="Inservible",Datos[[#This Row],[Estatus]]="Preventivo"),0,Datos[[#This Row],[Fecha_Final]]-Datos[[#This Row],[Día_Inicio]])</f>
        <v>18</v>
      </c>
      <c r="R264" s="2">
        <v>558</v>
      </c>
      <c r="S264" s="2">
        <v>289</v>
      </c>
      <c r="T264" t="s">
        <v>59</v>
      </c>
    </row>
    <row r="265" spans="1:20" x14ac:dyDescent="0.25">
      <c r="A265" t="s">
        <v>442</v>
      </c>
      <c r="B265" s="1">
        <v>45011</v>
      </c>
      <c r="C265" t="s">
        <v>357</v>
      </c>
      <c r="D265">
        <v>3</v>
      </c>
      <c r="E265" t="str">
        <f>+CONCATENATE("T",ROUNDUP(MONTH(Datos[[#This Row],[Fecha]])/3,0))</f>
        <v>T1</v>
      </c>
      <c r="F265" t="str">
        <f>+CONCATENATE("Sem"," ",ROUNDUP(MONTH(Datos[[#This Row],[Fecha]])/6,0))</f>
        <v>Sem 1</v>
      </c>
      <c r="G265" t="s">
        <v>137</v>
      </c>
      <c r="H265" t="s">
        <v>138</v>
      </c>
      <c r="I265" t="s">
        <v>68</v>
      </c>
      <c r="J265" t="s">
        <v>139</v>
      </c>
      <c r="K265" t="s">
        <v>85</v>
      </c>
      <c r="L265" t="s">
        <v>27</v>
      </c>
      <c r="M265">
        <v>0</v>
      </c>
      <c r="N265" s="1">
        <v>45011</v>
      </c>
      <c r="O265" s="1">
        <v>45035</v>
      </c>
      <c r="P265" t="s">
        <v>28</v>
      </c>
      <c r="Q265">
        <f>+IF(OR(Datos[[#This Row],[Diagnostico]]="Inservible",Datos[[#This Row],[Estatus]]="Preventivo"),0,Datos[[#This Row],[Fecha_Final]]-Datos[[#This Row],[Día_Inicio]])</f>
        <v>0</v>
      </c>
      <c r="R265" s="2">
        <v>0</v>
      </c>
      <c r="S265" s="2">
        <v>0</v>
      </c>
      <c r="T265" t="s">
        <v>29</v>
      </c>
    </row>
    <row r="266" spans="1:20" x14ac:dyDescent="0.25">
      <c r="A266" t="s">
        <v>443</v>
      </c>
      <c r="B266" s="1">
        <v>45012</v>
      </c>
      <c r="C266" t="s">
        <v>357</v>
      </c>
      <c r="D266">
        <v>3</v>
      </c>
      <c r="E266" t="str">
        <f>+CONCATENATE("T",ROUNDUP(MONTH(Datos[[#This Row],[Fecha]])/3,0))</f>
        <v>T1</v>
      </c>
      <c r="F266" t="str">
        <f>+CONCATENATE("Sem"," ",ROUNDUP(MONTH(Datos[[#This Row],[Fecha]])/6,0))</f>
        <v>Sem 1</v>
      </c>
      <c r="G266" t="s">
        <v>158</v>
      </c>
      <c r="H266" t="s">
        <v>159</v>
      </c>
      <c r="I266" t="s">
        <v>101</v>
      </c>
      <c r="J266" t="s">
        <v>160</v>
      </c>
      <c r="K266" t="s">
        <v>90</v>
      </c>
      <c r="L266" t="s">
        <v>27</v>
      </c>
      <c r="M266">
        <v>0</v>
      </c>
      <c r="N266" s="1">
        <v>45012</v>
      </c>
      <c r="O266" s="1">
        <v>45031</v>
      </c>
      <c r="P266" t="s">
        <v>28</v>
      </c>
      <c r="Q266">
        <f>+IF(OR(Datos[[#This Row],[Diagnostico]]="Inservible",Datos[[#This Row],[Estatus]]="Preventivo"),0,Datos[[#This Row],[Fecha_Final]]-Datos[[#This Row],[Día_Inicio]])</f>
        <v>0</v>
      </c>
      <c r="R266" s="2">
        <v>0</v>
      </c>
      <c r="S266" s="2">
        <v>0</v>
      </c>
      <c r="T266" t="s">
        <v>29</v>
      </c>
    </row>
    <row r="267" spans="1:20" x14ac:dyDescent="0.25">
      <c r="A267" t="s">
        <v>444</v>
      </c>
      <c r="B267" s="1">
        <v>45013</v>
      </c>
      <c r="C267" t="s">
        <v>357</v>
      </c>
      <c r="D267">
        <v>3</v>
      </c>
      <c r="E267" t="str">
        <f>+CONCATENATE("T",ROUNDUP(MONTH(Datos[[#This Row],[Fecha]])/3,0))</f>
        <v>T1</v>
      </c>
      <c r="F267" t="str">
        <f>+CONCATENATE("Sem"," ",ROUNDUP(MONTH(Datos[[#This Row],[Fecha]])/6,0))</f>
        <v>Sem 1</v>
      </c>
      <c r="G267" t="s">
        <v>169</v>
      </c>
      <c r="H267" t="s">
        <v>170</v>
      </c>
      <c r="I267" t="s">
        <v>68</v>
      </c>
      <c r="J267" t="s">
        <v>171</v>
      </c>
      <c r="K267" t="s">
        <v>172</v>
      </c>
      <c r="L267" t="s">
        <v>27</v>
      </c>
      <c r="M267">
        <v>0</v>
      </c>
      <c r="N267" s="1">
        <v>45013</v>
      </c>
      <c r="O267" s="1">
        <v>45043</v>
      </c>
      <c r="P267" t="s">
        <v>58</v>
      </c>
      <c r="Q267">
        <f>+IF(OR(Datos[[#This Row],[Diagnostico]]="Inservible",Datos[[#This Row],[Estatus]]="Preventivo"),0,Datos[[#This Row],[Fecha_Final]]-Datos[[#This Row],[Día_Inicio]])</f>
        <v>30</v>
      </c>
      <c r="R267" s="2">
        <v>1118</v>
      </c>
      <c r="S267" s="2">
        <v>401</v>
      </c>
      <c r="T267" t="s">
        <v>91</v>
      </c>
    </row>
    <row r="268" spans="1:20" x14ac:dyDescent="0.25">
      <c r="A268" t="s">
        <v>445</v>
      </c>
      <c r="B268" s="1">
        <v>45013</v>
      </c>
      <c r="C268" t="s">
        <v>357</v>
      </c>
      <c r="D268">
        <v>3</v>
      </c>
      <c r="E268" t="str">
        <f>+CONCATENATE("T",ROUNDUP(MONTH(Datos[[#This Row],[Fecha]])/3,0))</f>
        <v>T1</v>
      </c>
      <c r="F268" t="str">
        <f>+CONCATENATE("Sem"," ",ROUNDUP(MONTH(Datos[[#This Row],[Fecha]])/6,0))</f>
        <v>Sem 1</v>
      </c>
      <c r="G268" t="s">
        <v>87</v>
      </c>
      <c r="H268" t="s">
        <v>88</v>
      </c>
      <c r="I268" t="s">
        <v>68</v>
      </c>
      <c r="J268" t="s">
        <v>89</v>
      </c>
      <c r="K268" t="s">
        <v>97</v>
      </c>
      <c r="L268" t="s">
        <v>27</v>
      </c>
      <c r="M268">
        <v>0</v>
      </c>
      <c r="N268" s="1">
        <v>45013</v>
      </c>
      <c r="O268" s="1">
        <v>45021</v>
      </c>
      <c r="P268" t="s">
        <v>58</v>
      </c>
      <c r="Q268">
        <f>+IF(OR(Datos[[#This Row],[Diagnostico]]="Inservible",Datos[[#This Row],[Estatus]]="Preventivo"),0,Datos[[#This Row],[Fecha_Final]]-Datos[[#This Row],[Día_Inicio]])</f>
        <v>8</v>
      </c>
      <c r="R268" s="2">
        <v>888</v>
      </c>
      <c r="S268" s="2">
        <v>667</v>
      </c>
      <c r="T268" t="s">
        <v>59</v>
      </c>
    </row>
    <row r="269" spans="1:20" x14ac:dyDescent="0.25">
      <c r="A269" t="s">
        <v>446</v>
      </c>
      <c r="B269" s="1">
        <v>45013</v>
      </c>
      <c r="C269" t="s">
        <v>357</v>
      </c>
      <c r="D269">
        <v>3</v>
      </c>
      <c r="E269" t="str">
        <f>+CONCATENATE("T",ROUNDUP(MONTH(Datos[[#This Row],[Fecha]])/3,0))</f>
        <v>T1</v>
      </c>
      <c r="F269" t="str">
        <f>+CONCATENATE("Sem"," ",ROUNDUP(MONTH(Datos[[#This Row],[Fecha]])/6,0))</f>
        <v>Sem 1</v>
      </c>
      <c r="G269" t="s">
        <v>132</v>
      </c>
      <c r="H269" t="s">
        <v>133</v>
      </c>
      <c r="I269" t="s">
        <v>24</v>
      </c>
      <c r="J269" t="s">
        <v>134</v>
      </c>
      <c r="K269" t="s">
        <v>178</v>
      </c>
      <c r="L269" t="s">
        <v>27</v>
      </c>
      <c r="M269">
        <v>0</v>
      </c>
      <c r="N269" s="1">
        <v>45013</v>
      </c>
      <c r="O269" s="1">
        <v>45042</v>
      </c>
      <c r="P269" t="s">
        <v>58</v>
      </c>
      <c r="Q269">
        <f>+IF(OR(Datos[[#This Row],[Diagnostico]]="Inservible",Datos[[#This Row],[Estatus]]="Preventivo"),0,Datos[[#This Row],[Fecha_Final]]-Datos[[#This Row],[Día_Inicio]])</f>
        <v>29</v>
      </c>
      <c r="R269" s="2">
        <v>650</v>
      </c>
      <c r="S269" s="2">
        <v>537</v>
      </c>
      <c r="T269" t="s">
        <v>64</v>
      </c>
    </row>
    <row r="270" spans="1:20" x14ac:dyDescent="0.25">
      <c r="A270" t="s">
        <v>447</v>
      </c>
      <c r="B270" s="1">
        <v>45014</v>
      </c>
      <c r="C270" t="s">
        <v>357</v>
      </c>
      <c r="D270">
        <v>3</v>
      </c>
      <c r="E270" t="str">
        <f>+CONCATENATE("T",ROUNDUP(MONTH(Datos[[#This Row],[Fecha]])/3,0))</f>
        <v>T1</v>
      </c>
      <c r="F270" t="str">
        <f>+CONCATENATE("Sem"," ",ROUNDUP(MONTH(Datos[[#This Row],[Fecha]])/6,0))</f>
        <v>Sem 1</v>
      </c>
      <c r="G270" t="s">
        <v>225</v>
      </c>
      <c r="H270" t="s">
        <v>226</v>
      </c>
      <c r="I270" t="s">
        <v>227</v>
      </c>
      <c r="J270" t="s">
        <v>89</v>
      </c>
      <c r="K270" t="s">
        <v>39</v>
      </c>
      <c r="L270" t="s">
        <v>40</v>
      </c>
      <c r="M270" t="s">
        <v>208</v>
      </c>
      <c r="N270" s="1">
        <v>45014</v>
      </c>
      <c r="O270" s="1">
        <v>45021</v>
      </c>
      <c r="P270" t="s">
        <v>29</v>
      </c>
      <c r="Q270">
        <f>+IF(OR(Datos[[#This Row],[Diagnostico]]="Inservible",Datos[[#This Row],[Estatus]]="Preventivo"),0,Datos[[#This Row],[Fecha_Final]]-Datos[[#This Row],[Día_Inicio]])</f>
        <v>0</v>
      </c>
      <c r="R270" s="2">
        <v>451</v>
      </c>
      <c r="S270" s="2">
        <v>810</v>
      </c>
      <c r="T270" t="s">
        <v>42</v>
      </c>
    </row>
    <row r="271" spans="1:20" x14ac:dyDescent="0.25">
      <c r="A271" t="s">
        <v>448</v>
      </c>
      <c r="B271" s="1">
        <v>45015</v>
      </c>
      <c r="C271" t="s">
        <v>357</v>
      </c>
      <c r="D271">
        <v>3</v>
      </c>
      <c r="E271" t="str">
        <f>+CONCATENATE("T",ROUNDUP(MONTH(Datos[[#This Row],[Fecha]])/3,0))</f>
        <v>T1</v>
      </c>
      <c r="F271" t="str">
        <f>+CONCATENATE("Sem"," ",ROUNDUP(MONTH(Datos[[#This Row],[Fecha]])/6,0))</f>
        <v>Sem 1</v>
      </c>
      <c r="G271" t="s">
        <v>202</v>
      </c>
      <c r="H271" t="s">
        <v>203</v>
      </c>
      <c r="I271" t="s">
        <v>24</v>
      </c>
      <c r="J271" t="s">
        <v>204</v>
      </c>
      <c r="K271" t="s">
        <v>110</v>
      </c>
      <c r="L271" t="s">
        <v>27</v>
      </c>
      <c r="M271">
        <v>0</v>
      </c>
      <c r="N271" s="1">
        <v>45015</v>
      </c>
      <c r="O271" s="1">
        <v>45031</v>
      </c>
      <c r="P271" t="s">
        <v>28</v>
      </c>
      <c r="Q271">
        <f>+IF(OR(Datos[[#This Row],[Diagnostico]]="Inservible",Datos[[#This Row],[Estatus]]="Preventivo"),0,Datos[[#This Row],[Fecha_Final]]-Datos[[#This Row],[Día_Inicio]])</f>
        <v>0</v>
      </c>
      <c r="R271" s="2">
        <v>0</v>
      </c>
      <c r="S271" s="2">
        <v>0</v>
      </c>
      <c r="T271" t="s">
        <v>29</v>
      </c>
    </row>
    <row r="272" spans="1:20" x14ac:dyDescent="0.25">
      <c r="A272" t="s">
        <v>449</v>
      </c>
      <c r="B272" s="1">
        <v>45015</v>
      </c>
      <c r="C272" t="s">
        <v>357</v>
      </c>
      <c r="D272">
        <v>3</v>
      </c>
      <c r="E272" t="str">
        <f>+CONCATENATE("T",ROUNDUP(MONTH(Datos[[#This Row],[Fecha]])/3,0))</f>
        <v>T1</v>
      </c>
      <c r="F272" t="str">
        <f>+CONCATENATE("Sem"," ",ROUNDUP(MONTH(Datos[[#This Row],[Fecha]])/6,0))</f>
        <v>Sem 1</v>
      </c>
      <c r="G272" t="s">
        <v>149</v>
      </c>
      <c r="H272" t="s">
        <v>150</v>
      </c>
      <c r="I272" t="s">
        <v>68</v>
      </c>
      <c r="J272" t="s">
        <v>151</v>
      </c>
      <c r="K272" t="s">
        <v>39</v>
      </c>
      <c r="L272" t="s">
        <v>40</v>
      </c>
      <c r="M272" t="s">
        <v>208</v>
      </c>
      <c r="N272" s="1">
        <v>45015</v>
      </c>
      <c r="O272" s="1">
        <v>45022</v>
      </c>
      <c r="P272" t="s">
        <v>29</v>
      </c>
      <c r="Q272">
        <f>+IF(OR(Datos[[#This Row],[Diagnostico]]="Inservible",Datos[[#This Row],[Estatus]]="Preventivo"),0,Datos[[#This Row],[Fecha_Final]]-Datos[[#This Row],[Día_Inicio]])</f>
        <v>0</v>
      </c>
      <c r="R272" s="2">
        <v>1033</v>
      </c>
      <c r="S272" s="2">
        <v>339</v>
      </c>
      <c r="T272" t="s">
        <v>42</v>
      </c>
    </row>
    <row r="273" spans="1:20" x14ac:dyDescent="0.25">
      <c r="A273" t="s">
        <v>450</v>
      </c>
      <c r="B273" s="1">
        <v>45017</v>
      </c>
      <c r="C273" t="s">
        <v>451</v>
      </c>
      <c r="D273">
        <v>4</v>
      </c>
      <c r="E273" t="str">
        <f>+CONCATENATE("T",ROUNDUP(MONTH(Datos[[#This Row],[Fecha]])/3,0))</f>
        <v>T2</v>
      </c>
      <c r="F273" t="str">
        <f>+CONCATENATE("Sem"," ",ROUNDUP(MONTH(Datos[[#This Row],[Fecha]])/6,0))</f>
        <v>Sem 1</v>
      </c>
      <c r="G273" t="s">
        <v>105</v>
      </c>
      <c r="H273" t="s">
        <v>106</v>
      </c>
      <c r="I273" t="s">
        <v>24</v>
      </c>
      <c r="J273" t="s">
        <v>107</v>
      </c>
      <c r="K273" t="s">
        <v>119</v>
      </c>
      <c r="L273" t="s">
        <v>27</v>
      </c>
      <c r="M273">
        <v>0</v>
      </c>
      <c r="N273" s="1">
        <v>45017</v>
      </c>
      <c r="O273" s="1">
        <v>45030</v>
      </c>
      <c r="P273" t="s">
        <v>28</v>
      </c>
      <c r="Q273">
        <f>+IF(OR(Datos[[#This Row],[Diagnostico]]="Inservible",Datos[[#This Row],[Estatus]]="Preventivo"),0,Datos[[#This Row],[Fecha_Final]]-Datos[[#This Row],[Día_Inicio]])</f>
        <v>0</v>
      </c>
      <c r="R273" s="2">
        <v>0</v>
      </c>
      <c r="S273" s="2">
        <v>0</v>
      </c>
      <c r="T273" t="s">
        <v>29</v>
      </c>
    </row>
    <row r="274" spans="1:20" x14ac:dyDescent="0.25">
      <c r="A274" t="s">
        <v>452</v>
      </c>
      <c r="B274" s="1">
        <v>45018</v>
      </c>
      <c r="C274" t="s">
        <v>451</v>
      </c>
      <c r="D274">
        <v>4</v>
      </c>
      <c r="E274" t="str">
        <f>+CONCATENATE("T",ROUNDUP(MONTH(Datos[[#This Row],[Fecha]])/3,0))</f>
        <v>T2</v>
      </c>
      <c r="F274" t="str">
        <f>+CONCATENATE("Sem"," ",ROUNDUP(MONTH(Datos[[#This Row],[Fecha]])/6,0))</f>
        <v>Sem 1</v>
      </c>
      <c r="G274" t="s">
        <v>286</v>
      </c>
      <c r="H274" t="s">
        <v>287</v>
      </c>
      <c r="I274" t="s">
        <v>24</v>
      </c>
      <c r="J274" t="s">
        <v>38</v>
      </c>
      <c r="K274" t="s">
        <v>123</v>
      </c>
      <c r="L274" t="s">
        <v>27</v>
      </c>
      <c r="M274">
        <v>0</v>
      </c>
      <c r="N274" s="1">
        <v>45018</v>
      </c>
      <c r="O274" s="1">
        <v>45033</v>
      </c>
      <c r="P274" t="s">
        <v>28</v>
      </c>
      <c r="Q274">
        <f>+IF(OR(Datos[[#This Row],[Diagnostico]]="Inservible",Datos[[#This Row],[Estatus]]="Preventivo"),0,Datos[[#This Row],[Fecha_Final]]-Datos[[#This Row],[Día_Inicio]])</f>
        <v>0</v>
      </c>
      <c r="R274" s="2">
        <v>0</v>
      </c>
      <c r="S274" s="2">
        <v>0</v>
      </c>
      <c r="T274" t="s">
        <v>29</v>
      </c>
    </row>
    <row r="275" spans="1:20" x14ac:dyDescent="0.25">
      <c r="A275" t="s">
        <v>453</v>
      </c>
      <c r="B275" s="1">
        <v>45019</v>
      </c>
      <c r="C275" t="s">
        <v>451</v>
      </c>
      <c r="D275">
        <v>4</v>
      </c>
      <c r="E275" t="str">
        <f>+CONCATENATE("T",ROUNDUP(MONTH(Datos[[#This Row],[Fecha]])/3,0))</f>
        <v>T2</v>
      </c>
      <c r="F275" t="str">
        <f>+CONCATENATE("Sem"," ",ROUNDUP(MONTH(Datos[[#This Row],[Fecha]])/6,0))</f>
        <v>Sem 1</v>
      </c>
      <c r="G275" t="s">
        <v>105</v>
      </c>
      <c r="H275" t="s">
        <v>106</v>
      </c>
      <c r="I275" t="s">
        <v>24</v>
      </c>
      <c r="J275" t="s">
        <v>107</v>
      </c>
      <c r="K275" t="s">
        <v>128</v>
      </c>
      <c r="L275" t="s">
        <v>27</v>
      </c>
      <c r="M275">
        <v>0</v>
      </c>
      <c r="N275" s="1">
        <v>45019</v>
      </c>
      <c r="O275" s="1">
        <v>45022</v>
      </c>
      <c r="P275" t="s">
        <v>28</v>
      </c>
      <c r="Q275">
        <f>+IF(OR(Datos[[#This Row],[Diagnostico]]="Inservible",Datos[[#This Row],[Estatus]]="Preventivo"),0,Datos[[#This Row],[Fecha_Final]]-Datos[[#This Row],[Día_Inicio]])</f>
        <v>0</v>
      </c>
      <c r="R275" s="2">
        <v>0</v>
      </c>
      <c r="S275" s="2">
        <v>0</v>
      </c>
      <c r="T275" t="s">
        <v>29</v>
      </c>
    </row>
    <row r="276" spans="1:20" x14ac:dyDescent="0.25">
      <c r="A276" t="s">
        <v>454</v>
      </c>
      <c r="B276" s="1">
        <v>45019</v>
      </c>
      <c r="C276" t="s">
        <v>451</v>
      </c>
      <c r="D276">
        <v>4</v>
      </c>
      <c r="E276" t="str">
        <f>+CONCATENATE("T",ROUNDUP(MONTH(Datos[[#This Row],[Fecha]])/3,0))</f>
        <v>T2</v>
      </c>
      <c r="F276" t="str">
        <f>+CONCATENATE("Sem"," ",ROUNDUP(MONTH(Datos[[#This Row],[Fecha]])/6,0))</f>
        <v>Sem 1</v>
      </c>
      <c r="G276" t="s">
        <v>190</v>
      </c>
      <c r="H276" t="s">
        <v>191</v>
      </c>
      <c r="I276" t="s">
        <v>24</v>
      </c>
      <c r="J276" t="s">
        <v>192</v>
      </c>
      <c r="K276" t="s">
        <v>130</v>
      </c>
      <c r="L276" t="s">
        <v>27</v>
      </c>
      <c r="M276">
        <v>0</v>
      </c>
      <c r="N276" s="1">
        <v>45019</v>
      </c>
      <c r="O276" s="1">
        <v>45036</v>
      </c>
      <c r="P276" t="s">
        <v>28</v>
      </c>
      <c r="Q276">
        <f>+IF(OR(Datos[[#This Row],[Diagnostico]]="Inservible",Datos[[#This Row],[Estatus]]="Preventivo"),0,Datos[[#This Row],[Fecha_Final]]-Datos[[#This Row],[Día_Inicio]])</f>
        <v>0</v>
      </c>
      <c r="R276" s="2">
        <v>0</v>
      </c>
      <c r="S276" s="2">
        <v>0</v>
      </c>
      <c r="T276" t="s">
        <v>29</v>
      </c>
    </row>
    <row r="277" spans="1:20" x14ac:dyDescent="0.25">
      <c r="A277" t="s">
        <v>455</v>
      </c>
      <c r="B277" s="1">
        <v>45019</v>
      </c>
      <c r="C277" t="s">
        <v>451</v>
      </c>
      <c r="D277">
        <v>4</v>
      </c>
      <c r="E277" t="str">
        <f>+CONCATENATE("T",ROUNDUP(MONTH(Datos[[#This Row],[Fecha]])/3,0))</f>
        <v>T2</v>
      </c>
      <c r="F277" t="str">
        <f>+CONCATENATE("Sem"," ",ROUNDUP(MONTH(Datos[[#This Row],[Fecha]])/6,0))</f>
        <v>Sem 1</v>
      </c>
      <c r="G277" t="s">
        <v>202</v>
      </c>
      <c r="H277" t="s">
        <v>203</v>
      </c>
      <c r="I277" t="s">
        <v>24</v>
      </c>
      <c r="J277" t="s">
        <v>204</v>
      </c>
      <c r="K277" t="s">
        <v>135</v>
      </c>
      <c r="L277" t="s">
        <v>27</v>
      </c>
      <c r="M277">
        <v>0</v>
      </c>
      <c r="N277" s="1">
        <v>45019</v>
      </c>
      <c r="O277" s="1">
        <v>45034</v>
      </c>
      <c r="P277" t="s">
        <v>58</v>
      </c>
      <c r="Q277">
        <f>+IF(OR(Datos[[#This Row],[Diagnostico]]="Inservible",Datos[[#This Row],[Estatus]]="Preventivo"),0,Datos[[#This Row],[Fecha_Final]]-Datos[[#This Row],[Día_Inicio]])</f>
        <v>15</v>
      </c>
      <c r="R277" s="2">
        <v>684</v>
      </c>
      <c r="S277" s="2">
        <v>344</v>
      </c>
      <c r="T277" t="s">
        <v>42</v>
      </c>
    </row>
    <row r="278" spans="1:20" x14ac:dyDescent="0.25">
      <c r="A278" t="s">
        <v>456</v>
      </c>
      <c r="B278" s="1">
        <v>45019</v>
      </c>
      <c r="C278" t="s">
        <v>451</v>
      </c>
      <c r="D278">
        <v>4</v>
      </c>
      <c r="E278" t="str">
        <f>+CONCATENATE("T",ROUNDUP(MONTH(Datos[[#This Row],[Fecha]])/3,0))</f>
        <v>T2</v>
      </c>
      <c r="F278" t="str">
        <f>+CONCATENATE("Sem"," ",ROUNDUP(MONTH(Datos[[#This Row],[Fecha]])/6,0))</f>
        <v>Sem 1</v>
      </c>
      <c r="G278" t="s">
        <v>53</v>
      </c>
      <c r="H278" t="s">
        <v>54</v>
      </c>
      <c r="I278" t="s">
        <v>55</v>
      </c>
      <c r="J278" t="s">
        <v>56</v>
      </c>
      <c r="K278" t="s">
        <v>39</v>
      </c>
      <c r="L278" t="s">
        <v>40</v>
      </c>
      <c r="M278" t="s">
        <v>51</v>
      </c>
      <c r="N278" s="1">
        <v>45019</v>
      </c>
      <c r="O278" s="1">
        <v>45079</v>
      </c>
      <c r="P278" t="s">
        <v>29</v>
      </c>
      <c r="Q278">
        <f>+IF(OR(Datos[[#This Row],[Diagnostico]]="Inservible",Datos[[#This Row],[Estatus]]="Preventivo"),0,Datos[[#This Row],[Fecha_Final]]-Datos[[#This Row],[Día_Inicio]])</f>
        <v>0</v>
      </c>
      <c r="R278" s="2">
        <v>366</v>
      </c>
      <c r="S278" s="2">
        <v>144</v>
      </c>
      <c r="T278" t="s">
        <v>42</v>
      </c>
    </row>
    <row r="279" spans="1:20" x14ac:dyDescent="0.25">
      <c r="A279" t="s">
        <v>457</v>
      </c>
      <c r="B279" s="1">
        <v>45019</v>
      </c>
      <c r="C279" t="s">
        <v>451</v>
      </c>
      <c r="D279">
        <v>4</v>
      </c>
      <c r="E279" t="str">
        <f>+CONCATENATE("T",ROUNDUP(MONTH(Datos[[#This Row],[Fecha]])/3,0))</f>
        <v>T2</v>
      </c>
      <c r="F279" t="str">
        <f>+CONCATENATE("Sem"," ",ROUNDUP(MONTH(Datos[[#This Row],[Fecha]])/6,0))</f>
        <v>Sem 1</v>
      </c>
      <c r="G279" t="s">
        <v>137</v>
      </c>
      <c r="H279" t="s">
        <v>138</v>
      </c>
      <c r="I279" t="s">
        <v>68</v>
      </c>
      <c r="J279" t="s">
        <v>139</v>
      </c>
      <c r="K279" t="s">
        <v>34</v>
      </c>
      <c r="L279" t="s">
        <v>27</v>
      </c>
      <c r="M279">
        <v>0</v>
      </c>
      <c r="N279" s="1">
        <v>45019</v>
      </c>
      <c r="O279" s="1">
        <v>45047</v>
      </c>
      <c r="P279" t="s">
        <v>58</v>
      </c>
      <c r="Q279">
        <f>+IF(OR(Datos[[#This Row],[Diagnostico]]="Inservible",Datos[[#This Row],[Estatus]]="Preventivo"),0,Datos[[#This Row],[Fecha_Final]]-Datos[[#This Row],[Día_Inicio]])</f>
        <v>28</v>
      </c>
      <c r="R279" s="2">
        <v>293</v>
      </c>
      <c r="S279" s="2">
        <v>576</v>
      </c>
      <c r="T279" t="s">
        <v>42</v>
      </c>
    </row>
    <row r="280" spans="1:20" x14ac:dyDescent="0.25">
      <c r="A280" t="s">
        <v>458</v>
      </c>
      <c r="B280" s="1">
        <v>45019</v>
      </c>
      <c r="C280" t="s">
        <v>451</v>
      </c>
      <c r="D280">
        <v>4</v>
      </c>
      <c r="E280" t="str">
        <f>+CONCATENATE("T",ROUNDUP(MONTH(Datos[[#This Row],[Fecha]])/3,0))</f>
        <v>T2</v>
      </c>
      <c r="F280" t="str">
        <f>+CONCATENATE("Sem"," ",ROUNDUP(MONTH(Datos[[#This Row],[Fecha]])/6,0))</f>
        <v>Sem 1</v>
      </c>
      <c r="G280" t="s">
        <v>105</v>
      </c>
      <c r="H280" t="s">
        <v>106</v>
      </c>
      <c r="I280" t="s">
        <v>24</v>
      </c>
      <c r="J280" t="s">
        <v>107</v>
      </c>
      <c r="K280" t="s">
        <v>39</v>
      </c>
      <c r="L280" t="s">
        <v>27</v>
      </c>
      <c r="M280">
        <v>0</v>
      </c>
      <c r="N280" s="1">
        <v>45019</v>
      </c>
      <c r="O280" s="1">
        <v>45032</v>
      </c>
      <c r="P280" t="s">
        <v>58</v>
      </c>
      <c r="Q280">
        <f>+IF(OR(Datos[[#This Row],[Diagnostico]]="Inservible",Datos[[#This Row],[Estatus]]="Preventivo"),0,Datos[[#This Row],[Fecha_Final]]-Datos[[#This Row],[Día_Inicio]])</f>
        <v>13</v>
      </c>
      <c r="R280" s="2">
        <v>410</v>
      </c>
      <c r="S280" s="2">
        <v>446</v>
      </c>
      <c r="T280" t="s">
        <v>64</v>
      </c>
    </row>
    <row r="281" spans="1:20" x14ac:dyDescent="0.25">
      <c r="A281" t="s">
        <v>459</v>
      </c>
      <c r="B281" s="1">
        <v>45020</v>
      </c>
      <c r="C281" t="s">
        <v>451</v>
      </c>
      <c r="D281">
        <v>4</v>
      </c>
      <c r="E281" t="str">
        <f>+CONCATENATE("T",ROUNDUP(MONTH(Datos[[#This Row],[Fecha]])/3,0))</f>
        <v>T2</v>
      </c>
      <c r="F281" t="str">
        <f>+CONCATENATE("Sem"," ",ROUNDUP(MONTH(Datos[[#This Row],[Fecha]])/6,0))</f>
        <v>Sem 1</v>
      </c>
      <c r="G281" t="s">
        <v>215</v>
      </c>
      <c r="H281" t="s">
        <v>216</v>
      </c>
      <c r="I281" t="s">
        <v>24</v>
      </c>
      <c r="J281" t="s">
        <v>50</v>
      </c>
      <c r="K281" t="s">
        <v>47</v>
      </c>
      <c r="L281" t="s">
        <v>27</v>
      </c>
      <c r="M281">
        <v>0</v>
      </c>
      <c r="N281" s="1">
        <v>45020</v>
      </c>
      <c r="O281" s="1">
        <v>45030</v>
      </c>
      <c r="P281" t="s">
        <v>58</v>
      </c>
      <c r="Q281">
        <f>+IF(OR(Datos[[#This Row],[Diagnostico]]="Inservible",Datos[[#This Row],[Estatus]]="Preventivo"),0,Datos[[#This Row],[Fecha_Final]]-Datos[[#This Row],[Día_Inicio]])</f>
        <v>10</v>
      </c>
      <c r="R281" s="2">
        <v>465</v>
      </c>
      <c r="S281" s="2">
        <v>586</v>
      </c>
      <c r="T281" t="s">
        <v>64</v>
      </c>
    </row>
    <row r="282" spans="1:20" x14ac:dyDescent="0.25">
      <c r="A282" t="s">
        <v>460</v>
      </c>
      <c r="B282" s="1">
        <v>45020</v>
      </c>
      <c r="C282" t="s">
        <v>451</v>
      </c>
      <c r="D282">
        <v>4</v>
      </c>
      <c r="E282" t="str">
        <f>+CONCATENATE("T",ROUNDUP(MONTH(Datos[[#This Row],[Fecha]])/3,0))</f>
        <v>T2</v>
      </c>
      <c r="F282" t="str">
        <f>+CONCATENATE("Sem"," ",ROUNDUP(MONTH(Datos[[#This Row],[Fecha]])/6,0))</f>
        <v>Sem 1</v>
      </c>
      <c r="G282" t="s">
        <v>94</v>
      </c>
      <c r="H282" t="s">
        <v>95</v>
      </c>
      <c r="I282" t="s">
        <v>68</v>
      </c>
      <c r="J282" t="s">
        <v>96</v>
      </c>
      <c r="K282" t="s">
        <v>39</v>
      </c>
      <c r="L282" t="s">
        <v>40</v>
      </c>
      <c r="M282" t="s">
        <v>208</v>
      </c>
      <c r="N282" s="1">
        <v>45020</v>
      </c>
      <c r="O282" s="1">
        <v>45027</v>
      </c>
      <c r="P282" t="s">
        <v>29</v>
      </c>
      <c r="Q282">
        <f>+IF(OR(Datos[[#This Row],[Diagnostico]]="Inservible",Datos[[#This Row],[Estatus]]="Preventivo"),0,Datos[[#This Row],[Fecha_Final]]-Datos[[#This Row],[Día_Inicio]])</f>
        <v>0</v>
      </c>
      <c r="R282" s="2">
        <v>392</v>
      </c>
      <c r="S282" s="2">
        <v>342</v>
      </c>
      <c r="T282" t="s">
        <v>42</v>
      </c>
    </row>
    <row r="283" spans="1:20" x14ac:dyDescent="0.25">
      <c r="A283" t="s">
        <v>461</v>
      </c>
      <c r="B283" s="1">
        <v>45020</v>
      </c>
      <c r="C283" t="s">
        <v>451</v>
      </c>
      <c r="D283">
        <v>4</v>
      </c>
      <c r="E283" t="str">
        <f>+CONCATENATE("T",ROUNDUP(MONTH(Datos[[#This Row],[Fecha]])/3,0))</f>
        <v>T2</v>
      </c>
      <c r="F283" t="str">
        <f>+CONCATENATE("Sem"," ",ROUNDUP(MONTH(Datos[[#This Row],[Fecha]])/6,0))</f>
        <v>Sem 1</v>
      </c>
      <c r="G283" t="s">
        <v>206</v>
      </c>
      <c r="H283" t="s">
        <v>207</v>
      </c>
      <c r="I283" t="s">
        <v>24</v>
      </c>
      <c r="J283" t="s">
        <v>160</v>
      </c>
      <c r="K283" t="s">
        <v>57</v>
      </c>
      <c r="L283" t="s">
        <v>27</v>
      </c>
      <c r="M283">
        <v>0</v>
      </c>
      <c r="N283" s="1">
        <v>45020</v>
      </c>
      <c r="O283" s="1">
        <v>45029</v>
      </c>
      <c r="P283" t="s">
        <v>58</v>
      </c>
      <c r="Q283">
        <f>+IF(OR(Datos[[#This Row],[Diagnostico]]="Inservible",Datos[[#This Row],[Estatus]]="Preventivo"),0,Datos[[#This Row],[Fecha_Final]]-Datos[[#This Row],[Día_Inicio]])</f>
        <v>9</v>
      </c>
      <c r="R283" s="2">
        <v>1187</v>
      </c>
      <c r="S283" s="2">
        <v>848</v>
      </c>
      <c r="T283" t="s">
        <v>64</v>
      </c>
    </row>
    <row r="284" spans="1:20" x14ac:dyDescent="0.25">
      <c r="A284" t="s">
        <v>462</v>
      </c>
      <c r="B284" s="1">
        <v>45021</v>
      </c>
      <c r="C284" t="s">
        <v>451</v>
      </c>
      <c r="D284">
        <v>4</v>
      </c>
      <c r="E284" t="str">
        <f>+CONCATENATE("T",ROUNDUP(MONTH(Datos[[#This Row],[Fecha]])/3,0))</f>
        <v>T2</v>
      </c>
      <c r="F284" t="str">
        <f>+CONCATENATE("Sem"," ",ROUNDUP(MONTH(Datos[[#This Row],[Fecha]])/6,0))</f>
        <v>Sem 1</v>
      </c>
      <c r="G284" t="s">
        <v>22</v>
      </c>
      <c r="H284" t="s">
        <v>23</v>
      </c>
      <c r="I284" t="s">
        <v>24</v>
      </c>
      <c r="J284" t="s">
        <v>25</v>
      </c>
      <c r="K284" t="s">
        <v>63</v>
      </c>
      <c r="L284" t="s">
        <v>27</v>
      </c>
      <c r="M284">
        <v>0</v>
      </c>
      <c r="N284" s="1">
        <v>45021</v>
      </c>
      <c r="O284" s="1">
        <v>45035</v>
      </c>
      <c r="P284" t="s">
        <v>28</v>
      </c>
      <c r="Q284">
        <f>+IF(OR(Datos[[#This Row],[Diagnostico]]="Inservible",Datos[[#This Row],[Estatus]]="Preventivo"),0,Datos[[#This Row],[Fecha_Final]]-Datos[[#This Row],[Día_Inicio]])</f>
        <v>0</v>
      </c>
      <c r="R284" s="2">
        <v>0</v>
      </c>
      <c r="S284" s="2">
        <v>0</v>
      </c>
      <c r="T284" t="s">
        <v>29</v>
      </c>
    </row>
    <row r="285" spans="1:20" x14ac:dyDescent="0.25">
      <c r="A285" t="s">
        <v>463</v>
      </c>
      <c r="B285" s="1">
        <v>45022</v>
      </c>
      <c r="C285" t="s">
        <v>451</v>
      </c>
      <c r="D285">
        <v>4</v>
      </c>
      <c r="E285" t="str">
        <f>+CONCATENATE("T",ROUNDUP(MONTH(Datos[[#This Row],[Fecha]])/3,0))</f>
        <v>T2</v>
      </c>
      <c r="F285" t="str">
        <f>+CONCATENATE("Sem"," ",ROUNDUP(MONTH(Datos[[#This Row],[Fecha]])/6,0))</f>
        <v>Sem 1</v>
      </c>
      <c r="G285" t="s">
        <v>257</v>
      </c>
      <c r="H285" t="s">
        <v>258</v>
      </c>
      <c r="I285" t="s">
        <v>24</v>
      </c>
      <c r="J285" t="s">
        <v>204</v>
      </c>
      <c r="K285" t="s">
        <v>70</v>
      </c>
      <c r="L285" t="s">
        <v>27</v>
      </c>
      <c r="M285">
        <v>0</v>
      </c>
      <c r="N285" s="1">
        <v>45022</v>
      </c>
      <c r="O285" s="1">
        <v>45026</v>
      </c>
      <c r="P285" t="s">
        <v>58</v>
      </c>
      <c r="Q285">
        <f>+IF(OR(Datos[[#This Row],[Diagnostico]]="Inservible",Datos[[#This Row],[Estatus]]="Preventivo"),0,Datos[[#This Row],[Fecha_Final]]-Datos[[#This Row],[Día_Inicio]])</f>
        <v>4</v>
      </c>
      <c r="R285" s="2">
        <v>518</v>
      </c>
      <c r="S285" s="2">
        <v>118</v>
      </c>
      <c r="T285" t="s">
        <v>91</v>
      </c>
    </row>
    <row r="286" spans="1:20" x14ac:dyDescent="0.25">
      <c r="A286" t="s">
        <v>464</v>
      </c>
      <c r="B286" s="1">
        <v>45022</v>
      </c>
      <c r="C286" t="s">
        <v>451</v>
      </c>
      <c r="D286">
        <v>4</v>
      </c>
      <c r="E286" t="str">
        <f>+CONCATENATE("T",ROUNDUP(MONTH(Datos[[#This Row],[Fecha]])/3,0))</f>
        <v>T2</v>
      </c>
      <c r="F286" t="str">
        <f>+CONCATENATE("Sem"," ",ROUNDUP(MONTH(Datos[[#This Row],[Fecha]])/6,0))</f>
        <v>Sem 1</v>
      </c>
      <c r="G286" t="s">
        <v>31</v>
      </c>
      <c r="H286" t="s">
        <v>32</v>
      </c>
      <c r="I286" t="s">
        <v>24</v>
      </c>
      <c r="J286" t="s">
        <v>33</v>
      </c>
      <c r="K286" t="s">
        <v>39</v>
      </c>
      <c r="L286" t="s">
        <v>40</v>
      </c>
      <c r="M286" t="s">
        <v>75</v>
      </c>
      <c r="N286" s="1">
        <v>45022</v>
      </c>
      <c r="O286" s="1">
        <v>45382</v>
      </c>
      <c r="P286" t="s">
        <v>29</v>
      </c>
      <c r="Q286">
        <f>+IF(OR(Datos[[#This Row],[Diagnostico]]="Inservible",Datos[[#This Row],[Estatus]]="Preventivo"),0,Datos[[#This Row],[Fecha_Final]]-Datos[[#This Row],[Día_Inicio]])</f>
        <v>0</v>
      </c>
      <c r="R286" s="2">
        <v>1111</v>
      </c>
      <c r="S286" s="2">
        <v>526</v>
      </c>
      <c r="T286" t="s">
        <v>42</v>
      </c>
    </row>
    <row r="287" spans="1:20" x14ac:dyDescent="0.25">
      <c r="A287" t="s">
        <v>465</v>
      </c>
      <c r="B287" s="1">
        <v>45022</v>
      </c>
      <c r="C287" t="s">
        <v>451</v>
      </c>
      <c r="D287">
        <v>4</v>
      </c>
      <c r="E287" t="str">
        <f>+CONCATENATE("T",ROUNDUP(MONTH(Datos[[#This Row],[Fecha]])/3,0))</f>
        <v>T2</v>
      </c>
      <c r="F287" t="str">
        <f>+CONCATENATE("Sem"," ",ROUNDUP(MONTH(Datos[[#This Row],[Fecha]])/6,0))</f>
        <v>Sem 1</v>
      </c>
      <c r="G287" t="s">
        <v>82</v>
      </c>
      <c r="H287" t="s">
        <v>83</v>
      </c>
      <c r="I287" t="s">
        <v>24</v>
      </c>
      <c r="J287" t="s">
        <v>84</v>
      </c>
      <c r="K287" t="s">
        <v>80</v>
      </c>
      <c r="L287" t="s">
        <v>27</v>
      </c>
      <c r="M287">
        <v>0</v>
      </c>
      <c r="N287" s="1">
        <v>45022</v>
      </c>
      <c r="O287" s="1">
        <v>45025</v>
      </c>
      <c r="P287" t="s">
        <v>28</v>
      </c>
      <c r="Q287">
        <f>+IF(OR(Datos[[#This Row],[Diagnostico]]="Inservible",Datos[[#This Row],[Estatus]]="Preventivo"),0,Datos[[#This Row],[Fecha_Final]]-Datos[[#This Row],[Día_Inicio]])</f>
        <v>0</v>
      </c>
      <c r="R287" s="2">
        <v>0</v>
      </c>
      <c r="S287" s="2">
        <v>0</v>
      </c>
      <c r="T287" t="s">
        <v>29</v>
      </c>
    </row>
    <row r="288" spans="1:20" x14ac:dyDescent="0.25">
      <c r="A288" t="s">
        <v>466</v>
      </c>
      <c r="B288" s="1">
        <v>45022</v>
      </c>
      <c r="C288" t="s">
        <v>451</v>
      </c>
      <c r="D288">
        <v>4</v>
      </c>
      <c r="E288" t="str">
        <f>+CONCATENATE("T",ROUNDUP(MONTH(Datos[[#This Row],[Fecha]])/3,0))</f>
        <v>T2</v>
      </c>
      <c r="F288" t="str">
        <f>+CONCATENATE("Sem"," ",ROUNDUP(MONTH(Datos[[#This Row],[Fecha]])/6,0))</f>
        <v>Sem 1</v>
      </c>
      <c r="G288" t="s">
        <v>164</v>
      </c>
      <c r="H288" t="s">
        <v>165</v>
      </c>
      <c r="I288" t="s">
        <v>24</v>
      </c>
      <c r="J288" t="s">
        <v>166</v>
      </c>
      <c r="K288" t="s">
        <v>85</v>
      </c>
      <c r="L288" t="s">
        <v>27</v>
      </c>
      <c r="M288">
        <v>0</v>
      </c>
      <c r="N288" s="1">
        <v>45022</v>
      </c>
      <c r="O288" s="1">
        <v>45033</v>
      </c>
      <c r="P288" t="s">
        <v>28</v>
      </c>
      <c r="Q288">
        <f>+IF(OR(Datos[[#This Row],[Diagnostico]]="Inservible",Datos[[#This Row],[Estatus]]="Preventivo"),0,Datos[[#This Row],[Fecha_Final]]-Datos[[#This Row],[Día_Inicio]])</f>
        <v>0</v>
      </c>
      <c r="R288" s="2">
        <v>0</v>
      </c>
      <c r="S288" s="2">
        <v>0</v>
      </c>
      <c r="T288" t="s">
        <v>29</v>
      </c>
    </row>
    <row r="289" spans="1:20" x14ac:dyDescent="0.25">
      <c r="A289" t="s">
        <v>467</v>
      </c>
      <c r="B289" s="1">
        <v>45022</v>
      </c>
      <c r="C289" t="s">
        <v>451</v>
      </c>
      <c r="D289">
        <v>4</v>
      </c>
      <c r="E289" t="str">
        <f>+CONCATENATE("T",ROUNDUP(MONTH(Datos[[#This Row],[Fecha]])/3,0))</f>
        <v>T2</v>
      </c>
      <c r="F289" t="str">
        <f>+CONCATENATE("Sem"," ",ROUNDUP(MONTH(Datos[[#This Row],[Fecha]])/6,0))</f>
        <v>Sem 1</v>
      </c>
      <c r="G289" t="s">
        <v>121</v>
      </c>
      <c r="H289" t="s">
        <v>122</v>
      </c>
      <c r="I289" t="s">
        <v>24</v>
      </c>
      <c r="J289" t="s">
        <v>102</v>
      </c>
      <c r="K289" t="s">
        <v>90</v>
      </c>
      <c r="L289" t="s">
        <v>27</v>
      </c>
      <c r="M289">
        <v>0</v>
      </c>
      <c r="N289" s="1">
        <v>45022</v>
      </c>
      <c r="O289" s="1">
        <v>45051</v>
      </c>
      <c r="P289" t="s">
        <v>28</v>
      </c>
      <c r="Q289">
        <f>+IF(OR(Datos[[#This Row],[Diagnostico]]="Inservible",Datos[[#This Row],[Estatus]]="Preventivo"),0,Datos[[#This Row],[Fecha_Final]]-Datos[[#This Row],[Día_Inicio]])</f>
        <v>0</v>
      </c>
      <c r="R289" s="2">
        <v>0</v>
      </c>
      <c r="S289" s="2">
        <v>0</v>
      </c>
      <c r="T289" t="s">
        <v>29</v>
      </c>
    </row>
    <row r="290" spans="1:20" x14ac:dyDescent="0.25">
      <c r="A290" t="s">
        <v>468</v>
      </c>
      <c r="B290" s="1">
        <v>45022</v>
      </c>
      <c r="C290" t="s">
        <v>451</v>
      </c>
      <c r="D290">
        <v>4</v>
      </c>
      <c r="E290" t="str">
        <f>+CONCATENATE("T",ROUNDUP(MONTH(Datos[[#This Row],[Fecha]])/3,0))</f>
        <v>T2</v>
      </c>
      <c r="F290" t="str">
        <f>+CONCATENATE("Sem"," ",ROUNDUP(MONTH(Datos[[#This Row],[Fecha]])/6,0))</f>
        <v>Sem 1</v>
      </c>
      <c r="G290" t="s">
        <v>237</v>
      </c>
      <c r="H290" t="s">
        <v>238</v>
      </c>
      <c r="I290" t="s">
        <v>24</v>
      </c>
      <c r="J290" t="s">
        <v>177</v>
      </c>
      <c r="K290" t="s">
        <v>39</v>
      </c>
      <c r="L290" t="s">
        <v>40</v>
      </c>
      <c r="M290" t="s">
        <v>103</v>
      </c>
      <c r="N290" s="1">
        <v>45022</v>
      </c>
      <c r="O290" s="1">
        <v>45037</v>
      </c>
      <c r="P290" t="s">
        <v>29</v>
      </c>
      <c r="Q290">
        <f>+IF(OR(Datos[[#This Row],[Diagnostico]]="Inservible",Datos[[#This Row],[Estatus]]="Preventivo"),0,Datos[[#This Row],[Fecha_Final]]-Datos[[#This Row],[Día_Inicio]])</f>
        <v>0</v>
      </c>
      <c r="R290" s="2">
        <v>1136</v>
      </c>
      <c r="S290" s="2">
        <v>222</v>
      </c>
      <c r="T290" t="s">
        <v>42</v>
      </c>
    </row>
    <row r="291" spans="1:20" x14ac:dyDescent="0.25">
      <c r="A291" t="s">
        <v>469</v>
      </c>
      <c r="B291" s="1">
        <v>45023</v>
      </c>
      <c r="C291" t="s">
        <v>451</v>
      </c>
      <c r="D291">
        <v>4</v>
      </c>
      <c r="E291" t="str">
        <f>+CONCATENATE("T",ROUNDUP(MONTH(Datos[[#This Row],[Fecha]])/3,0))</f>
        <v>T2</v>
      </c>
      <c r="F291" t="str">
        <f>+CONCATENATE("Sem"," ",ROUNDUP(MONTH(Datos[[#This Row],[Fecha]])/6,0))</f>
        <v>Sem 1</v>
      </c>
      <c r="G291" t="s">
        <v>87</v>
      </c>
      <c r="H291" t="s">
        <v>88</v>
      </c>
      <c r="I291" t="s">
        <v>68</v>
      </c>
      <c r="J291" t="s">
        <v>89</v>
      </c>
      <c r="K291" t="s">
        <v>97</v>
      </c>
      <c r="L291" t="s">
        <v>27</v>
      </c>
      <c r="M291">
        <v>0</v>
      </c>
      <c r="N291" s="1">
        <v>45023</v>
      </c>
      <c r="O291" s="1">
        <v>45052</v>
      </c>
      <c r="P291" t="s">
        <v>58</v>
      </c>
      <c r="Q291">
        <f>+IF(OR(Datos[[#This Row],[Diagnostico]]="Inservible",Datos[[#This Row],[Estatus]]="Preventivo"),0,Datos[[#This Row],[Fecha_Final]]-Datos[[#This Row],[Día_Inicio]])</f>
        <v>29</v>
      </c>
      <c r="R291" s="2">
        <v>1122</v>
      </c>
      <c r="S291" s="2">
        <v>257</v>
      </c>
      <c r="T291" t="s">
        <v>59</v>
      </c>
    </row>
    <row r="292" spans="1:20" x14ac:dyDescent="0.25">
      <c r="A292" t="s">
        <v>470</v>
      </c>
      <c r="B292" s="1">
        <v>45023</v>
      </c>
      <c r="C292" t="s">
        <v>451</v>
      </c>
      <c r="D292">
        <v>4</v>
      </c>
      <c r="E292" t="str">
        <f>+CONCATENATE("T",ROUNDUP(MONTH(Datos[[#This Row],[Fecha]])/3,0))</f>
        <v>T2</v>
      </c>
      <c r="F292" t="str">
        <f>+CONCATENATE("Sem"," ",ROUNDUP(MONTH(Datos[[#This Row],[Fecha]])/6,0))</f>
        <v>Sem 1</v>
      </c>
      <c r="G292" t="s">
        <v>237</v>
      </c>
      <c r="H292" t="s">
        <v>238</v>
      </c>
      <c r="I292" t="s">
        <v>24</v>
      </c>
      <c r="J292" t="s">
        <v>177</v>
      </c>
      <c r="K292" t="s">
        <v>39</v>
      </c>
      <c r="L292" t="s">
        <v>40</v>
      </c>
      <c r="M292" t="s">
        <v>188</v>
      </c>
      <c r="N292" s="1">
        <v>45023</v>
      </c>
      <c r="O292" s="1">
        <v>45203</v>
      </c>
      <c r="P292" t="s">
        <v>29</v>
      </c>
      <c r="Q292">
        <f>+IF(OR(Datos[[#This Row],[Diagnostico]]="Inservible",Datos[[#This Row],[Estatus]]="Preventivo"),0,Datos[[#This Row],[Fecha_Final]]-Datos[[#This Row],[Día_Inicio]])</f>
        <v>0</v>
      </c>
      <c r="R292" s="2">
        <v>405</v>
      </c>
      <c r="S292" s="2">
        <v>755</v>
      </c>
      <c r="T292" t="s">
        <v>42</v>
      </c>
    </row>
    <row r="293" spans="1:20" x14ac:dyDescent="0.25">
      <c r="A293" t="s">
        <v>471</v>
      </c>
      <c r="B293" s="1">
        <v>45023</v>
      </c>
      <c r="C293" t="s">
        <v>451</v>
      </c>
      <c r="D293">
        <v>4</v>
      </c>
      <c r="E293" t="str">
        <f>+CONCATENATE("T",ROUNDUP(MONTH(Datos[[#This Row],[Fecha]])/3,0))</f>
        <v>T2</v>
      </c>
      <c r="F293" t="str">
        <f>+CONCATENATE("Sem"," ",ROUNDUP(MONTH(Datos[[#This Row],[Fecha]])/6,0))</f>
        <v>Sem 1</v>
      </c>
      <c r="G293" t="s">
        <v>116</v>
      </c>
      <c r="H293" t="s">
        <v>117</v>
      </c>
      <c r="I293" t="s">
        <v>24</v>
      </c>
      <c r="J293" t="s">
        <v>118</v>
      </c>
      <c r="K293" t="s">
        <v>108</v>
      </c>
      <c r="L293" t="s">
        <v>27</v>
      </c>
      <c r="M293">
        <v>0</v>
      </c>
      <c r="N293" s="1">
        <v>45023</v>
      </c>
      <c r="O293" s="1">
        <v>45032</v>
      </c>
      <c r="P293" t="s">
        <v>28</v>
      </c>
      <c r="Q293">
        <f>+IF(OR(Datos[[#This Row],[Diagnostico]]="Inservible",Datos[[#This Row],[Estatus]]="Preventivo"),0,Datos[[#This Row],[Fecha_Final]]-Datos[[#This Row],[Día_Inicio]])</f>
        <v>0</v>
      </c>
      <c r="R293" s="2">
        <v>0</v>
      </c>
      <c r="S293" s="2">
        <v>0</v>
      </c>
      <c r="T293" t="s">
        <v>29</v>
      </c>
    </row>
    <row r="294" spans="1:20" x14ac:dyDescent="0.25">
      <c r="A294" t="s">
        <v>472</v>
      </c>
      <c r="B294" s="1">
        <v>45023</v>
      </c>
      <c r="C294" t="s">
        <v>451</v>
      </c>
      <c r="D294">
        <v>4</v>
      </c>
      <c r="E294" t="str">
        <f>+CONCATENATE("T",ROUNDUP(MONTH(Datos[[#This Row],[Fecha]])/3,0))</f>
        <v>T2</v>
      </c>
      <c r="F294" t="str">
        <f>+CONCATENATE("Sem"," ",ROUNDUP(MONTH(Datos[[#This Row],[Fecha]])/6,0))</f>
        <v>Sem 1</v>
      </c>
      <c r="G294" t="s">
        <v>237</v>
      </c>
      <c r="H294" t="s">
        <v>238</v>
      </c>
      <c r="I294" t="s">
        <v>24</v>
      </c>
      <c r="J294" t="s">
        <v>177</v>
      </c>
      <c r="K294" t="s">
        <v>110</v>
      </c>
      <c r="L294" t="s">
        <v>27</v>
      </c>
      <c r="M294">
        <v>0</v>
      </c>
      <c r="N294" s="1">
        <v>45023</v>
      </c>
      <c r="O294" s="1">
        <v>45037</v>
      </c>
      <c r="P294" t="s">
        <v>58</v>
      </c>
      <c r="Q294">
        <f>+IF(OR(Datos[[#This Row],[Diagnostico]]="Inservible",Datos[[#This Row],[Estatus]]="Preventivo"),0,Datos[[#This Row],[Fecha_Final]]-Datos[[#This Row],[Día_Inicio]])</f>
        <v>14</v>
      </c>
      <c r="R294" s="2">
        <v>1159</v>
      </c>
      <c r="S294" s="2">
        <v>909</v>
      </c>
      <c r="T294" t="s">
        <v>59</v>
      </c>
    </row>
    <row r="295" spans="1:20" x14ac:dyDescent="0.25">
      <c r="A295" t="s">
        <v>473</v>
      </c>
      <c r="B295" s="1">
        <v>45023</v>
      </c>
      <c r="C295" t="s">
        <v>451</v>
      </c>
      <c r="D295">
        <v>4</v>
      </c>
      <c r="E295" t="str">
        <f>+CONCATENATE("T",ROUNDUP(MONTH(Datos[[#This Row],[Fecha]])/3,0))</f>
        <v>T2</v>
      </c>
      <c r="F295" t="str">
        <f>+CONCATENATE("Sem"," ",ROUNDUP(MONTH(Datos[[#This Row],[Fecha]])/6,0))</f>
        <v>Sem 1</v>
      </c>
      <c r="G295" t="s">
        <v>183</v>
      </c>
      <c r="H295" t="s">
        <v>184</v>
      </c>
      <c r="I295" t="s">
        <v>24</v>
      </c>
      <c r="J295" t="s">
        <v>139</v>
      </c>
      <c r="K295" t="s">
        <v>114</v>
      </c>
      <c r="L295" t="s">
        <v>27</v>
      </c>
      <c r="M295">
        <v>0</v>
      </c>
      <c r="N295" s="1">
        <v>45023</v>
      </c>
      <c r="O295" s="1">
        <v>45025</v>
      </c>
      <c r="P295" t="s">
        <v>58</v>
      </c>
      <c r="Q295">
        <f>+IF(OR(Datos[[#This Row],[Diagnostico]]="Inservible",Datos[[#This Row],[Estatus]]="Preventivo"),0,Datos[[#This Row],[Fecha_Final]]-Datos[[#This Row],[Día_Inicio]])</f>
        <v>2</v>
      </c>
      <c r="R295" s="2">
        <v>370</v>
      </c>
      <c r="S295" s="2">
        <v>659</v>
      </c>
      <c r="T295" t="s">
        <v>91</v>
      </c>
    </row>
    <row r="296" spans="1:20" x14ac:dyDescent="0.25">
      <c r="A296" t="s">
        <v>474</v>
      </c>
      <c r="B296" s="1">
        <v>45023</v>
      </c>
      <c r="C296" t="s">
        <v>451</v>
      </c>
      <c r="D296">
        <v>4</v>
      </c>
      <c r="E296" t="str">
        <f>+CONCATENATE("T",ROUNDUP(MONTH(Datos[[#This Row],[Fecha]])/3,0))</f>
        <v>T2</v>
      </c>
      <c r="F296" t="str">
        <f>+CONCATENATE("Sem"," ",ROUNDUP(MONTH(Datos[[#This Row],[Fecha]])/6,0))</f>
        <v>Sem 1</v>
      </c>
      <c r="G296" t="s">
        <v>49</v>
      </c>
      <c r="H296" t="s">
        <v>23</v>
      </c>
      <c r="I296" t="s">
        <v>24</v>
      </c>
      <c r="J296" t="s">
        <v>50</v>
      </c>
      <c r="K296" t="s">
        <v>119</v>
      </c>
      <c r="L296" t="s">
        <v>27</v>
      </c>
      <c r="M296">
        <v>0</v>
      </c>
      <c r="N296" s="1">
        <v>45023</v>
      </c>
      <c r="O296" s="1">
        <v>45025</v>
      </c>
      <c r="P296" t="s">
        <v>28</v>
      </c>
      <c r="Q296">
        <f>+IF(OR(Datos[[#This Row],[Diagnostico]]="Inservible",Datos[[#This Row],[Estatus]]="Preventivo"),0,Datos[[#This Row],[Fecha_Final]]-Datos[[#This Row],[Día_Inicio]])</f>
        <v>0</v>
      </c>
      <c r="R296" s="2">
        <v>0</v>
      </c>
      <c r="S296" s="2">
        <v>0</v>
      </c>
      <c r="T296" t="s">
        <v>29</v>
      </c>
    </row>
    <row r="297" spans="1:20" x14ac:dyDescent="0.25">
      <c r="A297" t="s">
        <v>475</v>
      </c>
      <c r="B297" s="1">
        <v>45023</v>
      </c>
      <c r="C297" t="s">
        <v>451</v>
      </c>
      <c r="D297">
        <v>4</v>
      </c>
      <c r="E297" t="str">
        <f>+CONCATENATE("T",ROUNDUP(MONTH(Datos[[#This Row],[Fecha]])/3,0))</f>
        <v>T2</v>
      </c>
      <c r="F297" t="str">
        <f>+CONCATENATE("Sem"," ",ROUNDUP(MONTH(Datos[[#This Row],[Fecha]])/6,0))</f>
        <v>Sem 1</v>
      </c>
      <c r="G297" t="s">
        <v>257</v>
      </c>
      <c r="H297" t="s">
        <v>258</v>
      </c>
      <c r="I297" t="s">
        <v>24</v>
      </c>
      <c r="J297" t="s">
        <v>204</v>
      </c>
      <c r="K297" t="s">
        <v>123</v>
      </c>
      <c r="L297" t="s">
        <v>27</v>
      </c>
      <c r="M297">
        <v>0</v>
      </c>
      <c r="N297" s="1">
        <v>45023</v>
      </c>
      <c r="O297" s="1">
        <v>45033</v>
      </c>
      <c r="P297" t="s">
        <v>28</v>
      </c>
      <c r="Q297">
        <f>+IF(OR(Datos[[#This Row],[Diagnostico]]="Inservible",Datos[[#This Row],[Estatus]]="Preventivo"),0,Datos[[#This Row],[Fecha_Final]]-Datos[[#This Row],[Día_Inicio]])</f>
        <v>0</v>
      </c>
      <c r="R297" s="2">
        <v>0</v>
      </c>
      <c r="S297" s="2">
        <v>0</v>
      </c>
      <c r="T297" t="s">
        <v>29</v>
      </c>
    </row>
    <row r="298" spans="1:20" x14ac:dyDescent="0.25">
      <c r="A298" t="s">
        <v>476</v>
      </c>
      <c r="B298" s="1">
        <v>45024</v>
      </c>
      <c r="C298" t="s">
        <v>451</v>
      </c>
      <c r="D298">
        <v>4</v>
      </c>
      <c r="E298" t="str">
        <f>+CONCATENATE("T",ROUNDUP(MONTH(Datos[[#This Row],[Fecha]])/3,0))</f>
        <v>T2</v>
      </c>
      <c r="F298" t="str">
        <f>+CONCATENATE("Sem"," ",ROUNDUP(MONTH(Datos[[#This Row],[Fecha]])/6,0))</f>
        <v>Sem 1</v>
      </c>
      <c r="G298" t="s">
        <v>132</v>
      </c>
      <c r="H298" t="s">
        <v>133</v>
      </c>
      <c r="I298" t="s">
        <v>24</v>
      </c>
      <c r="J298" t="s">
        <v>134</v>
      </c>
      <c r="K298" t="s">
        <v>39</v>
      </c>
      <c r="L298" t="s">
        <v>40</v>
      </c>
      <c r="M298" t="s">
        <v>196</v>
      </c>
      <c r="N298" s="1">
        <v>45024</v>
      </c>
      <c r="O298" s="1">
        <v>45054</v>
      </c>
      <c r="P298" t="s">
        <v>29</v>
      </c>
      <c r="Q298">
        <f>+IF(OR(Datos[[#This Row],[Diagnostico]]="Inservible",Datos[[#This Row],[Estatus]]="Preventivo"),0,Datos[[#This Row],[Fecha_Final]]-Datos[[#This Row],[Día_Inicio]])</f>
        <v>0</v>
      </c>
      <c r="R298" s="2">
        <v>1038</v>
      </c>
      <c r="S298" s="2">
        <v>941</v>
      </c>
      <c r="T298" t="s">
        <v>42</v>
      </c>
    </row>
    <row r="299" spans="1:20" x14ac:dyDescent="0.25">
      <c r="A299" t="s">
        <v>477</v>
      </c>
      <c r="B299" s="1">
        <v>45024</v>
      </c>
      <c r="C299" t="s">
        <v>451</v>
      </c>
      <c r="D299">
        <v>4</v>
      </c>
      <c r="E299" t="str">
        <f>+CONCATENATE("T",ROUNDUP(MONTH(Datos[[#This Row],[Fecha]])/3,0))</f>
        <v>T2</v>
      </c>
      <c r="F299" t="str">
        <f>+CONCATENATE("Sem"," ",ROUNDUP(MONTH(Datos[[#This Row],[Fecha]])/6,0))</f>
        <v>Sem 1</v>
      </c>
      <c r="G299" t="s">
        <v>137</v>
      </c>
      <c r="H299" t="s">
        <v>138</v>
      </c>
      <c r="I299" t="s">
        <v>68</v>
      </c>
      <c r="J299" t="s">
        <v>139</v>
      </c>
      <c r="K299" t="s">
        <v>130</v>
      </c>
      <c r="L299" t="s">
        <v>27</v>
      </c>
      <c r="M299">
        <v>0</v>
      </c>
      <c r="N299" s="1">
        <v>45024</v>
      </c>
      <c r="O299" s="1">
        <v>45042</v>
      </c>
      <c r="P299" t="s">
        <v>58</v>
      </c>
      <c r="Q299">
        <f>+IF(OR(Datos[[#This Row],[Diagnostico]]="Inservible",Datos[[#This Row],[Estatus]]="Preventivo"),0,Datos[[#This Row],[Fecha_Final]]-Datos[[#This Row],[Día_Inicio]])</f>
        <v>18</v>
      </c>
      <c r="R299" s="2">
        <v>905</v>
      </c>
      <c r="S299" s="2">
        <v>283</v>
      </c>
      <c r="T299" t="s">
        <v>64</v>
      </c>
    </row>
    <row r="300" spans="1:20" x14ac:dyDescent="0.25">
      <c r="A300" t="s">
        <v>478</v>
      </c>
      <c r="B300" s="1">
        <v>45025</v>
      </c>
      <c r="C300" t="s">
        <v>451</v>
      </c>
      <c r="D300">
        <v>4</v>
      </c>
      <c r="E300" t="str">
        <f>+CONCATENATE("T",ROUNDUP(MONTH(Datos[[#This Row],[Fecha]])/3,0))</f>
        <v>T2</v>
      </c>
      <c r="F300" t="str">
        <f>+CONCATENATE("Sem"," ",ROUNDUP(MONTH(Datos[[#This Row],[Fecha]])/6,0))</f>
        <v>Sem 1</v>
      </c>
      <c r="G300" t="s">
        <v>225</v>
      </c>
      <c r="H300" t="s">
        <v>226</v>
      </c>
      <c r="I300" t="s">
        <v>227</v>
      </c>
      <c r="J300" t="s">
        <v>89</v>
      </c>
      <c r="K300" t="s">
        <v>39</v>
      </c>
      <c r="L300" t="s">
        <v>40</v>
      </c>
      <c r="M300" t="s">
        <v>103</v>
      </c>
      <c r="N300" s="1">
        <v>45025</v>
      </c>
      <c r="O300" s="1">
        <v>45040</v>
      </c>
      <c r="P300" t="s">
        <v>29</v>
      </c>
      <c r="Q300">
        <f>+IF(OR(Datos[[#This Row],[Diagnostico]]="Inservible",Datos[[#This Row],[Estatus]]="Preventivo"),0,Datos[[#This Row],[Fecha_Final]]-Datos[[#This Row],[Día_Inicio]])</f>
        <v>0</v>
      </c>
      <c r="R300" s="2">
        <v>929</v>
      </c>
      <c r="S300" s="2">
        <v>513</v>
      </c>
      <c r="T300" t="s">
        <v>42</v>
      </c>
    </row>
    <row r="301" spans="1:20" x14ac:dyDescent="0.25">
      <c r="A301" t="s">
        <v>479</v>
      </c>
      <c r="B301" s="1">
        <v>45025</v>
      </c>
      <c r="C301" t="s">
        <v>451</v>
      </c>
      <c r="D301">
        <v>4</v>
      </c>
      <c r="E301" t="str">
        <f>+CONCATENATE("T",ROUNDUP(MONTH(Datos[[#This Row],[Fecha]])/3,0))</f>
        <v>T2</v>
      </c>
      <c r="F301" t="str">
        <f>+CONCATENATE("Sem"," ",ROUNDUP(MONTH(Datos[[#This Row],[Fecha]])/6,0))</f>
        <v>Sem 1</v>
      </c>
      <c r="G301" t="s">
        <v>116</v>
      </c>
      <c r="H301" t="s">
        <v>117</v>
      </c>
      <c r="I301" t="s">
        <v>24</v>
      </c>
      <c r="J301" t="s">
        <v>118</v>
      </c>
      <c r="K301" t="s">
        <v>26</v>
      </c>
      <c r="L301" t="s">
        <v>27</v>
      </c>
      <c r="M301">
        <v>0</v>
      </c>
      <c r="N301" s="1">
        <v>45025</v>
      </c>
      <c r="O301" s="1">
        <v>45042</v>
      </c>
      <c r="P301" t="s">
        <v>28</v>
      </c>
      <c r="Q301">
        <f>+IF(OR(Datos[[#This Row],[Diagnostico]]="Inservible",Datos[[#This Row],[Estatus]]="Preventivo"),0,Datos[[#This Row],[Fecha_Final]]-Datos[[#This Row],[Día_Inicio]])</f>
        <v>0</v>
      </c>
      <c r="R301" s="2">
        <v>0</v>
      </c>
      <c r="S301" s="2">
        <v>0</v>
      </c>
      <c r="T301" t="s">
        <v>29</v>
      </c>
    </row>
    <row r="302" spans="1:20" x14ac:dyDescent="0.25">
      <c r="A302" t="s">
        <v>480</v>
      </c>
      <c r="B302" s="1">
        <v>45025</v>
      </c>
      <c r="C302" t="s">
        <v>451</v>
      </c>
      <c r="D302">
        <v>4</v>
      </c>
      <c r="E302" t="str">
        <f>+CONCATENATE("T",ROUNDUP(MONTH(Datos[[#This Row],[Fecha]])/3,0))</f>
        <v>T2</v>
      </c>
      <c r="F302" t="str">
        <f>+CONCATENATE("Sem"," ",ROUNDUP(MONTH(Datos[[#This Row],[Fecha]])/6,0))</f>
        <v>Sem 1</v>
      </c>
      <c r="G302" t="s">
        <v>72</v>
      </c>
      <c r="H302" t="s">
        <v>73</v>
      </c>
      <c r="I302" t="s">
        <v>24</v>
      </c>
      <c r="J302" t="s">
        <v>74</v>
      </c>
      <c r="K302" t="s">
        <v>34</v>
      </c>
      <c r="L302" t="s">
        <v>27</v>
      </c>
      <c r="M302">
        <v>0</v>
      </c>
      <c r="N302" s="1">
        <v>45025</v>
      </c>
      <c r="O302" s="1">
        <v>45050</v>
      </c>
      <c r="P302" t="s">
        <v>28</v>
      </c>
      <c r="Q302">
        <f>+IF(OR(Datos[[#This Row],[Diagnostico]]="Inservible",Datos[[#This Row],[Estatus]]="Preventivo"),0,Datos[[#This Row],[Fecha_Final]]-Datos[[#This Row],[Día_Inicio]])</f>
        <v>0</v>
      </c>
      <c r="R302" s="2">
        <v>0</v>
      </c>
      <c r="S302" s="2">
        <v>0</v>
      </c>
      <c r="T302" t="s">
        <v>29</v>
      </c>
    </row>
    <row r="303" spans="1:20" x14ac:dyDescent="0.25">
      <c r="A303" t="s">
        <v>481</v>
      </c>
      <c r="B303" s="1">
        <v>45025</v>
      </c>
      <c r="C303" t="s">
        <v>451</v>
      </c>
      <c r="D303">
        <v>4</v>
      </c>
      <c r="E303" t="str">
        <f>+CONCATENATE("T",ROUNDUP(MONTH(Datos[[#This Row],[Fecha]])/3,0))</f>
        <v>T2</v>
      </c>
      <c r="F303" t="str">
        <f>+CONCATENATE("Sem"," ",ROUNDUP(MONTH(Datos[[#This Row],[Fecha]])/6,0))</f>
        <v>Sem 1</v>
      </c>
      <c r="G303" t="s">
        <v>257</v>
      </c>
      <c r="H303" t="s">
        <v>258</v>
      </c>
      <c r="I303" t="s">
        <v>24</v>
      </c>
      <c r="J303" t="s">
        <v>204</v>
      </c>
      <c r="K303" t="s">
        <v>39</v>
      </c>
      <c r="L303" t="s">
        <v>27</v>
      </c>
      <c r="M303">
        <v>0</v>
      </c>
      <c r="N303" s="1">
        <v>45025</v>
      </c>
      <c r="O303" s="1">
        <v>45028</v>
      </c>
      <c r="P303" t="s">
        <v>28</v>
      </c>
      <c r="Q303">
        <f>+IF(OR(Datos[[#This Row],[Diagnostico]]="Inservible",Datos[[#This Row],[Estatus]]="Preventivo"),0,Datos[[#This Row],[Fecha_Final]]-Datos[[#This Row],[Día_Inicio]])</f>
        <v>0</v>
      </c>
      <c r="R303" s="2">
        <v>0</v>
      </c>
      <c r="S303" s="2">
        <v>0</v>
      </c>
      <c r="T303" t="s">
        <v>29</v>
      </c>
    </row>
    <row r="304" spans="1:20" x14ac:dyDescent="0.25">
      <c r="A304" t="s">
        <v>482</v>
      </c>
      <c r="B304" s="1">
        <v>45025</v>
      </c>
      <c r="C304" t="s">
        <v>451</v>
      </c>
      <c r="D304">
        <v>4</v>
      </c>
      <c r="E304" t="str">
        <f>+CONCATENATE("T",ROUNDUP(MONTH(Datos[[#This Row],[Fecha]])/3,0))</f>
        <v>T2</v>
      </c>
      <c r="F304" t="str">
        <f>+CONCATENATE("Sem"," ",ROUNDUP(MONTH(Datos[[#This Row],[Fecha]])/6,0))</f>
        <v>Sem 1</v>
      </c>
      <c r="G304" t="s">
        <v>183</v>
      </c>
      <c r="H304" t="s">
        <v>184</v>
      </c>
      <c r="I304" t="s">
        <v>24</v>
      </c>
      <c r="J304" t="s">
        <v>139</v>
      </c>
      <c r="K304" t="s">
        <v>39</v>
      </c>
      <c r="L304" t="s">
        <v>40</v>
      </c>
      <c r="M304" t="s">
        <v>75</v>
      </c>
      <c r="N304" s="1">
        <v>45025</v>
      </c>
      <c r="O304" s="1">
        <v>45385</v>
      </c>
      <c r="P304" t="s">
        <v>29</v>
      </c>
      <c r="Q304">
        <f>+IF(OR(Datos[[#This Row],[Diagnostico]]="Inservible",Datos[[#This Row],[Estatus]]="Preventivo"),0,Datos[[#This Row],[Fecha_Final]]-Datos[[#This Row],[Día_Inicio]])</f>
        <v>0</v>
      </c>
      <c r="R304" s="2">
        <v>279</v>
      </c>
      <c r="S304" s="2">
        <v>194</v>
      </c>
      <c r="T304" t="s">
        <v>42</v>
      </c>
    </row>
    <row r="305" spans="1:20" x14ac:dyDescent="0.25">
      <c r="A305" t="s">
        <v>483</v>
      </c>
      <c r="B305" s="1">
        <v>45026</v>
      </c>
      <c r="C305" t="s">
        <v>451</v>
      </c>
      <c r="D305">
        <v>4</v>
      </c>
      <c r="E305" t="str">
        <f>+CONCATENATE("T",ROUNDUP(MONTH(Datos[[#This Row],[Fecha]])/3,0))</f>
        <v>T2</v>
      </c>
      <c r="F305" t="str">
        <f>+CONCATENATE("Sem"," ",ROUNDUP(MONTH(Datos[[#This Row],[Fecha]])/6,0))</f>
        <v>Sem 1</v>
      </c>
      <c r="G305" t="s">
        <v>121</v>
      </c>
      <c r="H305" t="s">
        <v>122</v>
      </c>
      <c r="I305" t="s">
        <v>24</v>
      </c>
      <c r="J305" t="s">
        <v>102</v>
      </c>
      <c r="K305" t="s">
        <v>147</v>
      </c>
      <c r="L305" t="s">
        <v>27</v>
      </c>
      <c r="M305">
        <v>0</v>
      </c>
      <c r="N305" s="1">
        <v>45026</v>
      </c>
      <c r="O305" s="1">
        <v>45027</v>
      </c>
      <c r="P305" t="s">
        <v>28</v>
      </c>
      <c r="Q305">
        <f>+IF(OR(Datos[[#This Row],[Diagnostico]]="Inservible",Datos[[#This Row],[Estatus]]="Preventivo"),0,Datos[[#This Row],[Fecha_Final]]-Datos[[#This Row],[Día_Inicio]])</f>
        <v>0</v>
      </c>
      <c r="R305" s="2">
        <v>0</v>
      </c>
      <c r="S305" s="2">
        <v>0</v>
      </c>
      <c r="T305" t="s">
        <v>29</v>
      </c>
    </row>
    <row r="306" spans="1:20" x14ac:dyDescent="0.25">
      <c r="A306" t="s">
        <v>484</v>
      </c>
      <c r="B306" s="1">
        <v>45026</v>
      </c>
      <c r="C306" t="s">
        <v>451</v>
      </c>
      <c r="D306">
        <v>4</v>
      </c>
      <c r="E306" t="str">
        <f>+CONCATENATE("T",ROUNDUP(MONTH(Datos[[#This Row],[Fecha]])/3,0))</f>
        <v>T2</v>
      </c>
      <c r="F306" t="str">
        <f>+CONCATENATE("Sem"," ",ROUNDUP(MONTH(Datos[[#This Row],[Fecha]])/6,0))</f>
        <v>Sem 1</v>
      </c>
      <c r="G306" t="s">
        <v>154</v>
      </c>
      <c r="H306" t="s">
        <v>155</v>
      </c>
      <c r="I306" t="s">
        <v>68</v>
      </c>
      <c r="J306" t="s">
        <v>156</v>
      </c>
      <c r="K306" t="s">
        <v>39</v>
      </c>
      <c r="L306" t="s">
        <v>40</v>
      </c>
      <c r="M306" t="s">
        <v>75</v>
      </c>
      <c r="N306" s="1">
        <v>45026</v>
      </c>
      <c r="O306" s="1">
        <v>45386</v>
      </c>
      <c r="P306" t="s">
        <v>29</v>
      </c>
      <c r="Q306">
        <f>+IF(OR(Datos[[#This Row],[Diagnostico]]="Inservible",Datos[[#This Row],[Estatus]]="Preventivo"),0,Datos[[#This Row],[Fecha_Final]]-Datos[[#This Row],[Día_Inicio]])</f>
        <v>0</v>
      </c>
      <c r="R306" s="2">
        <v>783</v>
      </c>
      <c r="S306" s="2">
        <v>168</v>
      </c>
      <c r="T306" t="s">
        <v>42</v>
      </c>
    </row>
    <row r="307" spans="1:20" x14ac:dyDescent="0.25">
      <c r="A307" t="s">
        <v>485</v>
      </c>
      <c r="B307" s="1">
        <v>45026</v>
      </c>
      <c r="C307" t="s">
        <v>451</v>
      </c>
      <c r="D307">
        <v>4</v>
      </c>
      <c r="E307" t="str">
        <f>+CONCATENATE("T",ROUNDUP(MONTH(Datos[[#This Row],[Fecha]])/3,0))</f>
        <v>T2</v>
      </c>
      <c r="F307" t="str">
        <f>+CONCATENATE("Sem"," ",ROUNDUP(MONTH(Datos[[#This Row],[Fecha]])/6,0))</f>
        <v>Sem 1</v>
      </c>
      <c r="G307" t="s">
        <v>121</v>
      </c>
      <c r="H307" t="s">
        <v>122</v>
      </c>
      <c r="I307" t="s">
        <v>24</v>
      </c>
      <c r="J307" t="s">
        <v>102</v>
      </c>
      <c r="K307" t="s">
        <v>63</v>
      </c>
      <c r="L307" t="s">
        <v>27</v>
      </c>
      <c r="M307">
        <v>0</v>
      </c>
      <c r="N307" s="1">
        <v>45026</v>
      </c>
      <c r="O307" s="1">
        <v>45029</v>
      </c>
      <c r="P307" t="s">
        <v>28</v>
      </c>
      <c r="Q307">
        <f>+IF(OR(Datos[[#This Row],[Diagnostico]]="Inservible",Datos[[#This Row],[Estatus]]="Preventivo"),0,Datos[[#This Row],[Fecha_Final]]-Datos[[#This Row],[Día_Inicio]])</f>
        <v>0</v>
      </c>
      <c r="R307" s="2">
        <v>0</v>
      </c>
      <c r="S307" s="2">
        <v>0</v>
      </c>
      <c r="T307" t="s">
        <v>29</v>
      </c>
    </row>
    <row r="308" spans="1:20" x14ac:dyDescent="0.25">
      <c r="A308" t="s">
        <v>486</v>
      </c>
      <c r="B308" s="1">
        <v>45026</v>
      </c>
      <c r="C308" t="s">
        <v>451</v>
      </c>
      <c r="D308">
        <v>4</v>
      </c>
      <c r="E308" t="str">
        <f>+CONCATENATE("T",ROUNDUP(MONTH(Datos[[#This Row],[Fecha]])/3,0))</f>
        <v>T2</v>
      </c>
      <c r="F308" t="str">
        <f>+CONCATENATE("Sem"," ",ROUNDUP(MONTH(Datos[[#This Row],[Fecha]])/6,0))</f>
        <v>Sem 1</v>
      </c>
      <c r="G308" t="s">
        <v>206</v>
      </c>
      <c r="H308" t="s">
        <v>207</v>
      </c>
      <c r="I308" t="s">
        <v>24</v>
      </c>
      <c r="J308" t="s">
        <v>160</v>
      </c>
      <c r="K308" t="s">
        <v>39</v>
      </c>
      <c r="L308" t="s">
        <v>40</v>
      </c>
      <c r="M308" t="s">
        <v>188</v>
      </c>
      <c r="N308" s="1">
        <v>45026</v>
      </c>
      <c r="O308" s="1">
        <v>45206</v>
      </c>
      <c r="P308" t="s">
        <v>29</v>
      </c>
      <c r="Q308">
        <f>+IF(OR(Datos[[#This Row],[Diagnostico]]="Inservible",Datos[[#This Row],[Estatus]]="Preventivo"),0,Datos[[#This Row],[Fecha_Final]]-Datos[[#This Row],[Día_Inicio]])</f>
        <v>0</v>
      </c>
      <c r="R308" s="2">
        <v>610</v>
      </c>
      <c r="S308" s="2">
        <v>683</v>
      </c>
      <c r="T308" t="s">
        <v>42</v>
      </c>
    </row>
    <row r="309" spans="1:20" x14ac:dyDescent="0.25">
      <c r="A309" t="s">
        <v>487</v>
      </c>
      <c r="B309" s="1">
        <v>45026</v>
      </c>
      <c r="C309" t="s">
        <v>451</v>
      </c>
      <c r="D309">
        <v>4</v>
      </c>
      <c r="E309" t="str">
        <f>+CONCATENATE("T",ROUNDUP(MONTH(Datos[[#This Row],[Fecha]])/3,0))</f>
        <v>T2</v>
      </c>
      <c r="F309" t="str">
        <f>+CONCATENATE("Sem"," ",ROUNDUP(MONTH(Datos[[#This Row],[Fecha]])/6,0))</f>
        <v>Sem 1</v>
      </c>
      <c r="G309" t="s">
        <v>61</v>
      </c>
      <c r="H309" t="s">
        <v>62</v>
      </c>
      <c r="I309" t="s">
        <v>24</v>
      </c>
      <c r="J309" t="s">
        <v>46</v>
      </c>
      <c r="K309" t="s">
        <v>161</v>
      </c>
      <c r="L309" t="s">
        <v>27</v>
      </c>
      <c r="M309">
        <v>0</v>
      </c>
      <c r="N309" s="1">
        <v>45026</v>
      </c>
      <c r="O309" s="1">
        <v>45027</v>
      </c>
      <c r="P309" t="s">
        <v>58</v>
      </c>
      <c r="Q309">
        <f>+IF(OR(Datos[[#This Row],[Diagnostico]]="Inservible",Datos[[#This Row],[Estatus]]="Preventivo"),0,Datos[[#This Row],[Fecha_Final]]-Datos[[#This Row],[Día_Inicio]])</f>
        <v>1</v>
      </c>
      <c r="R309" s="2">
        <v>698</v>
      </c>
      <c r="S309" s="2">
        <v>453</v>
      </c>
      <c r="T309" t="s">
        <v>91</v>
      </c>
    </row>
    <row r="310" spans="1:20" x14ac:dyDescent="0.25">
      <c r="A310" t="s">
        <v>488</v>
      </c>
      <c r="B310" s="1">
        <v>45027</v>
      </c>
      <c r="C310" t="s">
        <v>451</v>
      </c>
      <c r="D310">
        <v>4</v>
      </c>
      <c r="E310" t="str">
        <f>+CONCATENATE("T",ROUNDUP(MONTH(Datos[[#This Row],[Fecha]])/3,0))</f>
        <v>T2</v>
      </c>
      <c r="F310" t="str">
        <f>+CONCATENATE("Sem"," ",ROUNDUP(MONTH(Datos[[#This Row],[Fecha]])/6,0))</f>
        <v>Sem 1</v>
      </c>
      <c r="G310" t="s">
        <v>158</v>
      </c>
      <c r="H310" t="s">
        <v>159</v>
      </c>
      <c r="I310" t="s">
        <v>101</v>
      </c>
      <c r="J310" t="s">
        <v>160</v>
      </c>
      <c r="K310" t="s">
        <v>39</v>
      </c>
      <c r="L310" t="s">
        <v>40</v>
      </c>
      <c r="M310" t="s">
        <v>103</v>
      </c>
      <c r="N310" s="1">
        <v>45027</v>
      </c>
      <c r="O310" s="1">
        <v>45042</v>
      </c>
      <c r="P310" t="s">
        <v>29</v>
      </c>
      <c r="Q310">
        <f>+IF(OR(Datos[[#This Row],[Diagnostico]]="Inservible",Datos[[#This Row],[Estatus]]="Preventivo"),0,Datos[[#This Row],[Fecha_Final]]-Datos[[#This Row],[Día_Inicio]])</f>
        <v>0</v>
      </c>
      <c r="R310" s="2">
        <v>1087</v>
      </c>
      <c r="S310" s="2">
        <v>992</v>
      </c>
      <c r="T310" t="s">
        <v>42</v>
      </c>
    </row>
    <row r="311" spans="1:20" x14ac:dyDescent="0.25">
      <c r="A311" t="s">
        <v>489</v>
      </c>
      <c r="B311" s="1">
        <v>45027</v>
      </c>
      <c r="C311" t="s">
        <v>451</v>
      </c>
      <c r="D311">
        <v>4</v>
      </c>
      <c r="E311" t="str">
        <f>+CONCATENATE("T",ROUNDUP(MONTH(Datos[[#This Row],[Fecha]])/3,0))</f>
        <v>T2</v>
      </c>
      <c r="F311" t="str">
        <f>+CONCATENATE("Sem"," ",ROUNDUP(MONTH(Datos[[#This Row],[Fecha]])/6,0))</f>
        <v>Sem 1</v>
      </c>
      <c r="G311" t="s">
        <v>99</v>
      </c>
      <c r="H311" t="s">
        <v>100</v>
      </c>
      <c r="I311" t="s">
        <v>101</v>
      </c>
      <c r="J311" t="s">
        <v>102</v>
      </c>
      <c r="K311" t="s">
        <v>85</v>
      </c>
      <c r="L311" t="s">
        <v>27</v>
      </c>
      <c r="M311">
        <v>0</v>
      </c>
      <c r="N311" s="1">
        <v>45027</v>
      </c>
      <c r="O311" s="1">
        <v>45038</v>
      </c>
      <c r="P311" t="s">
        <v>28</v>
      </c>
      <c r="Q311">
        <f>+IF(OR(Datos[[#This Row],[Diagnostico]]="Inservible",Datos[[#This Row],[Estatus]]="Preventivo"),0,Datos[[#This Row],[Fecha_Final]]-Datos[[#This Row],[Día_Inicio]])</f>
        <v>0</v>
      </c>
      <c r="R311" s="2">
        <v>0</v>
      </c>
      <c r="S311" s="2">
        <v>0</v>
      </c>
      <c r="T311" t="s">
        <v>29</v>
      </c>
    </row>
    <row r="312" spans="1:20" x14ac:dyDescent="0.25">
      <c r="A312" t="s">
        <v>490</v>
      </c>
      <c r="B312" s="1">
        <v>45027</v>
      </c>
      <c r="C312" t="s">
        <v>451</v>
      </c>
      <c r="D312">
        <v>4</v>
      </c>
      <c r="E312" t="str">
        <f>+CONCATENATE("T",ROUNDUP(MONTH(Datos[[#This Row],[Fecha]])/3,0))</f>
        <v>T2</v>
      </c>
      <c r="F312" t="str">
        <f>+CONCATENATE("Sem"," ",ROUNDUP(MONTH(Datos[[#This Row],[Fecha]])/6,0))</f>
        <v>Sem 1</v>
      </c>
      <c r="G312" t="s">
        <v>72</v>
      </c>
      <c r="H312" t="s">
        <v>73</v>
      </c>
      <c r="I312" t="s">
        <v>24</v>
      </c>
      <c r="J312" t="s">
        <v>74</v>
      </c>
      <c r="K312" t="s">
        <v>39</v>
      </c>
      <c r="L312" t="s">
        <v>40</v>
      </c>
      <c r="M312" t="s">
        <v>51</v>
      </c>
      <c r="N312" s="1">
        <v>45027</v>
      </c>
      <c r="O312" s="1">
        <v>45087</v>
      </c>
      <c r="P312" t="s">
        <v>29</v>
      </c>
      <c r="Q312">
        <f>+IF(OR(Datos[[#This Row],[Diagnostico]]="Inservible",Datos[[#This Row],[Estatus]]="Preventivo"),0,Datos[[#This Row],[Fecha_Final]]-Datos[[#This Row],[Día_Inicio]])</f>
        <v>0</v>
      </c>
      <c r="R312" s="2">
        <v>218</v>
      </c>
      <c r="S312" s="2">
        <v>354</v>
      </c>
      <c r="T312" t="s">
        <v>42</v>
      </c>
    </row>
    <row r="313" spans="1:20" x14ac:dyDescent="0.25">
      <c r="A313" t="s">
        <v>491</v>
      </c>
      <c r="B313" s="1">
        <v>45027</v>
      </c>
      <c r="C313" t="s">
        <v>451</v>
      </c>
      <c r="D313">
        <v>4</v>
      </c>
      <c r="E313" t="str">
        <f>+CONCATENATE("T",ROUNDUP(MONTH(Datos[[#This Row],[Fecha]])/3,0))</f>
        <v>T2</v>
      </c>
      <c r="F313" t="str">
        <f>+CONCATENATE("Sem"," ",ROUNDUP(MONTH(Datos[[#This Row],[Fecha]])/6,0))</f>
        <v>Sem 1</v>
      </c>
      <c r="G313" t="s">
        <v>116</v>
      </c>
      <c r="H313" t="s">
        <v>117</v>
      </c>
      <c r="I313" t="s">
        <v>24</v>
      </c>
      <c r="J313" t="s">
        <v>118</v>
      </c>
      <c r="K313" t="s">
        <v>172</v>
      </c>
      <c r="L313" t="s">
        <v>27</v>
      </c>
      <c r="M313">
        <v>0</v>
      </c>
      <c r="N313" s="1">
        <v>45027</v>
      </c>
      <c r="O313" s="1">
        <v>45056</v>
      </c>
      <c r="P313" t="s">
        <v>28</v>
      </c>
      <c r="Q313">
        <f>+IF(OR(Datos[[#This Row],[Diagnostico]]="Inservible",Datos[[#This Row],[Estatus]]="Preventivo"),0,Datos[[#This Row],[Fecha_Final]]-Datos[[#This Row],[Día_Inicio]])</f>
        <v>0</v>
      </c>
      <c r="R313" s="2">
        <v>0</v>
      </c>
      <c r="S313" s="2">
        <v>0</v>
      </c>
      <c r="T313" t="s">
        <v>29</v>
      </c>
    </row>
    <row r="314" spans="1:20" x14ac:dyDescent="0.25">
      <c r="A314" t="s">
        <v>492</v>
      </c>
      <c r="B314" s="1">
        <v>45028</v>
      </c>
      <c r="C314" t="s">
        <v>451</v>
      </c>
      <c r="D314">
        <v>4</v>
      </c>
      <c r="E314" t="str">
        <f>+CONCATENATE("T",ROUNDUP(MONTH(Datos[[#This Row],[Fecha]])/3,0))</f>
        <v>T2</v>
      </c>
      <c r="F314" t="str">
        <f>+CONCATENATE("Sem"," ",ROUNDUP(MONTH(Datos[[#This Row],[Fecha]])/6,0))</f>
        <v>Sem 1</v>
      </c>
      <c r="G314" t="s">
        <v>202</v>
      </c>
      <c r="H314" t="s">
        <v>203</v>
      </c>
      <c r="I314" t="s">
        <v>24</v>
      </c>
      <c r="J314" t="s">
        <v>204</v>
      </c>
      <c r="K314" t="s">
        <v>39</v>
      </c>
      <c r="L314" t="s">
        <v>40</v>
      </c>
      <c r="M314" t="s">
        <v>103</v>
      </c>
      <c r="N314" s="1">
        <v>45028</v>
      </c>
      <c r="O314" s="1">
        <v>45043</v>
      </c>
      <c r="P314" t="s">
        <v>29</v>
      </c>
      <c r="Q314">
        <f>+IF(OR(Datos[[#This Row],[Diagnostico]]="Inservible",Datos[[#This Row],[Estatus]]="Preventivo"),0,Datos[[#This Row],[Fecha_Final]]-Datos[[#This Row],[Día_Inicio]])</f>
        <v>0</v>
      </c>
      <c r="R314" s="2">
        <v>875</v>
      </c>
      <c r="S314" s="2">
        <v>175</v>
      </c>
      <c r="T314" t="s">
        <v>42</v>
      </c>
    </row>
    <row r="315" spans="1:20" x14ac:dyDescent="0.25">
      <c r="A315" t="s">
        <v>493</v>
      </c>
      <c r="B315" s="1">
        <v>45028</v>
      </c>
      <c r="C315" t="s">
        <v>451</v>
      </c>
      <c r="D315">
        <v>4</v>
      </c>
      <c r="E315" t="str">
        <f>+CONCATENATE("T",ROUNDUP(MONTH(Datos[[#This Row],[Fecha]])/3,0))</f>
        <v>T2</v>
      </c>
      <c r="F315" t="str">
        <f>+CONCATENATE("Sem"," ",ROUNDUP(MONTH(Datos[[#This Row],[Fecha]])/6,0))</f>
        <v>Sem 1</v>
      </c>
      <c r="G315" t="s">
        <v>53</v>
      </c>
      <c r="H315" t="s">
        <v>54</v>
      </c>
      <c r="I315" t="s">
        <v>55</v>
      </c>
      <c r="J315" t="s">
        <v>56</v>
      </c>
      <c r="K315" t="s">
        <v>178</v>
      </c>
      <c r="L315" t="s">
        <v>27</v>
      </c>
      <c r="M315">
        <v>0</v>
      </c>
      <c r="N315" s="1">
        <v>45028</v>
      </c>
      <c r="O315" s="1">
        <v>45048</v>
      </c>
      <c r="P315" t="s">
        <v>28</v>
      </c>
      <c r="Q315">
        <f>+IF(OR(Datos[[#This Row],[Diagnostico]]="Inservible",Datos[[#This Row],[Estatus]]="Preventivo"),0,Datos[[#This Row],[Fecha_Final]]-Datos[[#This Row],[Día_Inicio]])</f>
        <v>0</v>
      </c>
      <c r="R315" s="2">
        <v>0</v>
      </c>
      <c r="S315" s="2">
        <v>0</v>
      </c>
      <c r="T315" t="s">
        <v>29</v>
      </c>
    </row>
    <row r="316" spans="1:20" x14ac:dyDescent="0.25">
      <c r="A316" t="s">
        <v>494</v>
      </c>
      <c r="B316" s="1">
        <v>45028</v>
      </c>
      <c r="C316" t="s">
        <v>451</v>
      </c>
      <c r="D316">
        <v>4</v>
      </c>
      <c r="E316" t="str">
        <f>+CONCATENATE("T",ROUNDUP(MONTH(Datos[[#This Row],[Fecha]])/3,0))</f>
        <v>T2</v>
      </c>
      <c r="F316" t="str">
        <f>+CONCATENATE("Sem"," ",ROUNDUP(MONTH(Datos[[#This Row],[Fecha]])/6,0))</f>
        <v>Sem 1</v>
      </c>
      <c r="G316" t="s">
        <v>164</v>
      </c>
      <c r="H316" t="s">
        <v>165</v>
      </c>
      <c r="I316" t="s">
        <v>24</v>
      </c>
      <c r="J316" t="s">
        <v>166</v>
      </c>
      <c r="K316" t="s">
        <v>39</v>
      </c>
      <c r="L316" t="s">
        <v>40</v>
      </c>
      <c r="M316" t="s">
        <v>41</v>
      </c>
      <c r="N316" s="1">
        <v>45028</v>
      </c>
      <c r="O316" s="1">
        <v>45118</v>
      </c>
      <c r="P316" t="s">
        <v>29</v>
      </c>
      <c r="Q316">
        <f>+IF(OR(Datos[[#This Row],[Diagnostico]]="Inservible",Datos[[#This Row],[Estatus]]="Preventivo"),0,Datos[[#This Row],[Fecha_Final]]-Datos[[#This Row],[Día_Inicio]])</f>
        <v>0</v>
      </c>
      <c r="R316" s="2">
        <v>1055</v>
      </c>
      <c r="S316" s="2">
        <v>387</v>
      </c>
      <c r="T316" t="s">
        <v>42</v>
      </c>
    </row>
    <row r="317" spans="1:20" x14ac:dyDescent="0.25">
      <c r="A317" t="s">
        <v>495</v>
      </c>
      <c r="B317" s="1">
        <v>45029</v>
      </c>
      <c r="C317" t="s">
        <v>451</v>
      </c>
      <c r="D317">
        <v>4</v>
      </c>
      <c r="E317" t="str">
        <f>+CONCATENATE("T",ROUNDUP(MONTH(Datos[[#This Row],[Fecha]])/3,0))</f>
        <v>T2</v>
      </c>
      <c r="F317" t="str">
        <f>+CONCATENATE("Sem"," ",ROUNDUP(MONTH(Datos[[#This Row],[Fecha]])/6,0))</f>
        <v>Sem 1</v>
      </c>
      <c r="G317" t="s">
        <v>158</v>
      </c>
      <c r="H317" t="s">
        <v>159</v>
      </c>
      <c r="I317" t="s">
        <v>101</v>
      </c>
      <c r="J317" t="s">
        <v>160</v>
      </c>
      <c r="K317" t="s">
        <v>110</v>
      </c>
      <c r="L317" t="s">
        <v>27</v>
      </c>
      <c r="M317">
        <v>0</v>
      </c>
      <c r="N317" s="1">
        <v>45029</v>
      </c>
      <c r="O317" s="1">
        <v>45034</v>
      </c>
      <c r="P317" t="s">
        <v>58</v>
      </c>
      <c r="Q317">
        <f>+IF(OR(Datos[[#This Row],[Diagnostico]]="Inservible",Datos[[#This Row],[Estatus]]="Preventivo"),0,Datos[[#This Row],[Fecha_Final]]-Datos[[#This Row],[Día_Inicio]])</f>
        <v>5</v>
      </c>
      <c r="R317" s="2">
        <v>1120</v>
      </c>
      <c r="S317" s="2">
        <v>511</v>
      </c>
      <c r="T317" t="s">
        <v>64</v>
      </c>
    </row>
    <row r="318" spans="1:20" x14ac:dyDescent="0.25">
      <c r="A318" t="s">
        <v>496</v>
      </c>
      <c r="B318" s="1">
        <v>45029</v>
      </c>
      <c r="C318" t="s">
        <v>451</v>
      </c>
      <c r="D318">
        <v>4</v>
      </c>
      <c r="E318" t="str">
        <f>+CONCATENATE("T",ROUNDUP(MONTH(Datos[[#This Row],[Fecha]])/3,0))</f>
        <v>T2</v>
      </c>
      <c r="F318" t="str">
        <f>+CONCATENATE("Sem"," ",ROUNDUP(MONTH(Datos[[#This Row],[Fecha]])/6,0))</f>
        <v>Sem 1</v>
      </c>
      <c r="G318" t="s">
        <v>66</v>
      </c>
      <c r="H318" t="s">
        <v>67</v>
      </c>
      <c r="I318" t="s">
        <v>68</v>
      </c>
      <c r="J318" t="s">
        <v>69</v>
      </c>
      <c r="K318" t="s">
        <v>39</v>
      </c>
      <c r="L318" t="s">
        <v>40</v>
      </c>
      <c r="M318" t="s">
        <v>103</v>
      </c>
      <c r="N318" s="1">
        <v>45029</v>
      </c>
      <c r="O318" s="1">
        <v>45044</v>
      </c>
      <c r="P318" t="s">
        <v>29</v>
      </c>
      <c r="Q318">
        <f>+IF(OR(Datos[[#This Row],[Diagnostico]]="Inservible",Datos[[#This Row],[Estatus]]="Preventivo"),0,Datos[[#This Row],[Fecha_Final]]-Datos[[#This Row],[Día_Inicio]])</f>
        <v>0</v>
      </c>
      <c r="R318" s="2">
        <v>372</v>
      </c>
      <c r="S318" s="2">
        <v>146</v>
      </c>
      <c r="T318" t="s">
        <v>42</v>
      </c>
    </row>
    <row r="319" spans="1:20" x14ac:dyDescent="0.25">
      <c r="A319" t="s">
        <v>497</v>
      </c>
      <c r="B319" s="1">
        <v>45031</v>
      </c>
      <c r="C319" t="s">
        <v>451</v>
      </c>
      <c r="D319">
        <v>4</v>
      </c>
      <c r="E319" t="str">
        <f>+CONCATENATE("T",ROUNDUP(MONTH(Datos[[#This Row],[Fecha]])/3,0))</f>
        <v>T2</v>
      </c>
      <c r="F319" t="str">
        <f>+CONCATENATE("Sem"," ",ROUNDUP(MONTH(Datos[[#This Row],[Fecha]])/6,0))</f>
        <v>Sem 1</v>
      </c>
      <c r="G319" t="s">
        <v>335</v>
      </c>
      <c r="H319" t="s">
        <v>336</v>
      </c>
      <c r="I319" t="s">
        <v>24</v>
      </c>
      <c r="J319" t="s">
        <v>118</v>
      </c>
      <c r="K319" t="s">
        <v>119</v>
      </c>
      <c r="L319" t="s">
        <v>27</v>
      </c>
      <c r="M319">
        <v>0</v>
      </c>
      <c r="N319" s="1">
        <v>45031</v>
      </c>
      <c r="O319" s="1">
        <v>45041</v>
      </c>
      <c r="P319" t="s">
        <v>28</v>
      </c>
      <c r="Q319">
        <f>+IF(OR(Datos[[#This Row],[Diagnostico]]="Inservible",Datos[[#This Row],[Estatus]]="Preventivo"),0,Datos[[#This Row],[Fecha_Final]]-Datos[[#This Row],[Día_Inicio]])</f>
        <v>0</v>
      </c>
      <c r="R319" s="2">
        <v>0</v>
      </c>
      <c r="S319" s="2">
        <v>0</v>
      </c>
      <c r="T319" t="s">
        <v>29</v>
      </c>
    </row>
    <row r="320" spans="1:20" x14ac:dyDescent="0.25">
      <c r="A320" t="s">
        <v>498</v>
      </c>
      <c r="B320" s="1">
        <v>45031</v>
      </c>
      <c r="C320" t="s">
        <v>451</v>
      </c>
      <c r="D320">
        <v>4</v>
      </c>
      <c r="E320" t="str">
        <f>+CONCATENATE("T",ROUNDUP(MONTH(Datos[[#This Row],[Fecha]])/3,0))</f>
        <v>T2</v>
      </c>
      <c r="F320" t="str">
        <f>+CONCATENATE("Sem"," ",ROUNDUP(MONTH(Datos[[#This Row],[Fecha]])/6,0))</f>
        <v>Sem 1</v>
      </c>
      <c r="G320" t="s">
        <v>66</v>
      </c>
      <c r="H320" t="s">
        <v>67</v>
      </c>
      <c r="I320" t="s">
        <v>68</v>
      </c>
      <c r="J320" t="s">
        <v>69</v>
      </c>
      <c r="K320" t="s">
        <v>39</v>
      </c>
      <c r="L320" t="s">
        <v>40</v>
      </c>
      <c r="M320" t="s">
        <v>188</v>
      </c>
      <c r="N320" s="1">
        <v>45031</v>
      </c>
      <c r="O320" s="1">
        <v>45211</v>
      </c>
      <c r="P320" t="s">
        <v>29</v>
      </c>
      <c r="Q320">
        <f>+IF(OR(Datos[[#This Row],[Diagnostico]]="Inservible",Datos[[#This Row],[Estatus]]="Preventivo"),0,Datos[[#This Row],[Fecha_Final]]-Datos[[#This Row],[Día_Inicio]])</f>
        <v>0</v>
      </c>
      <c r="R320" s="2">
        <v>829</v>
      </c>
      <c r="S320" s="2">
        <v>572</v>
      </c>
      <c r="T320" t="s">
        <v>42</v>
      </c>
    </row>
    <row r="321" spans="1:20" x14ac:dyDescent="0.25">
      <c r="A321" t="s">
        <v>499</v>
      </c>
      <c r="B321" s="1">
        <v>45032</v>
      </c>
      <c r="C321" t="s">
        <v>451</v>
      </c>
      <c r="D321">
        <v>4</v>
      </c>
      <c r="E321" t="str">
        <f>+CONCATENATE("T",ROUNDUP(MONTH(Datos[[#This Row],[Fecha]])/3,0))</f>
        <v>T2</v>
      </c>
      <c r="F321" t="str">
        <f>+CONCATENATE("Sem"," ",ROUNDUP(MONTH(Datos[[#This Row],[Fecha]])/6,0))</f>
        <v>Sem 1</v>
      </c>
      <c r="G321" t="s">
        <v>77</v>
      </c>
      <c r="H321" t="s">
        <v>78</v>
      </c>
      <c r="I321" t="s">
        <v>24</v>
      </c>
      <c r="J321" t="s">
        <v>79</v>
      </c>
      <c r="K321" t="s">
        <v>128</v>
      </c>
      <c r="L321" t="s">
        <v>27</v>
      </c>
      <c r="M321">
        <v>0</v>
      </c>
      <c r="N321" s="1">
        <v>45032</v>
      </c>
      <c r="O321" s="1">
        <v>45061</v>
      </c>
      <c r="P321" t="s">
        <v>58</v>
      </c>
      <c r="Q321">
        <f>+IF(OR(Datos[[#This Row],[Diagnostico]]="Inservible",Datos[[#This Row],[Estatus]]="Preventivo"),0,Datos[[#This Row],[Fecha_Final]]-Datos[[#This Row],[Día_Inicio]])</f>
        <v>29</v>
      </c>
      <c r="R321" s="2">
        <v>785</v>
      </c>
      <c r="S321" s="2">
        <v>256</v>
      </c>
      <c r="T321" t="s">
        <v>59</v>
      </c>
    </row>
    <row r="322" spans="1:20" x14ac:dyDescent="0.25">
      <c r="A322" t="s">
        <v>500</v>
      </c>
      <c r="B322" s="1">
        <v>45032</v>
      </c>
      <c r="C322" t="s">
        <v>451</v>
      </c>
      <c r="D322">
        <v>4</v>
      </c>
      <c r="E322" t="str">
        <f>+CONCATENATE("T",ROUNDUP(MONTH(Datos[[#This Row],[Fecha]])/3,0))</f>
        <v>T2</v>
      </c>
      <c r="F322" t="str">
        <f>+CONCATENATE("Sem"," ",ROUNDUP(MONTH(Datos[[#This Row],[Fecha]])/6,0))</f>
        <v>Sem 1</v>
      </c>
      <c r="G322" t="s">
        <v>31</v>
      </c>
      <c r="H322" t="s">
        <v>32</v>
      </c>
      <c r="I322" t="s">
        <v>24</v>
      </c>
      <c r="J322" t="s">
        <v>33</v>
      </c>
      <c r="K322" t="s">
        <v>39</v>
      </c>
      <c r="L322" t="s">
        <v>40</v>
      </c>
      <c r="M322" t="s">
        <v>208</v>
      </c>
      <c r="N322" s="1">
        <v>45032</v>
      </c>
      <c r="O322" s="1">
        <v>45039</v>
      </c>
      <c r="P322" t="s">
        <v>29</v>
      </c>
      <c r="Q322">
        <f>+IF(OR(Datos[[#This Row],[Diagnostico]]="Inservible",Datos[[#This Row],[Estatus]]="Preventivo"),0,Datos[[#This Row],[Fecha_Final]]-Datos[[#This Row],[Día_Inicio]])</f>
        <v>0</v>
      </c>
      <c r="R322" s="2">
        <v>987</v>
      </c>
      <c r="S322" s="2">
        <v>495</v>
      </c>
      <c r="T322" t="s">
        <v>42</v>
      </c>
    </row>
    <row r="323" spans="1:20" x14ac:dyDescent="0.25">
      <c r="A323" t="s">
        <v>501</v>
      </c>
      <c r="B323" s="1">
        <v>45033</v>
      </c>
      <c r="C323" t="s">
        <v>451</v>
      </c>
      <c r="D323">
        <v>4</v>
      </c>
      <c r="E323" t="str">
        <f>+CONCATENATE("T",ROUNDUP(MONTH(Datos[[#This Row],[Fecha]])/3,0))</f>
        <v>T2</v>
      </c>
      <c r="F323" t="str">
        <f>+CONCATENATE("Sem"," ",ROUNDUP(MONTH(Datos[[#This Row],[Fecha]])/6,0))</f>
        <v>Sem 1</v>
      </c>
      <c r="G323" t="s">
        <v>335</v>
      </c>
      <c r="H323" t="s">
        <v>336</v>
      </c>
      <c r="I323" t="s">
        <v>24</v>
      </c>
      <c r="J323" t="s">
        <v>118</v>
      </c>
      <c r="K323" t="s">
        <v>135</v>
      </c>
      <c r="L323" t="s">
        <v>27</v>
      </c>
      <c r="M323">
        <v>0</v>
      </c>
      <c r="N323" s="1">
        <v>45033</v>
      </c>
      <c r="O323" s="1">
        <v>45038</v>
      </c>
      <c r="P323" t="s">
        <v>58</v>
      </c>
      <c r="Q323">
        <f>+IF(OR(Datos[[#This Row],[Diagnostico]]="Inservible",Datos[[#This Row],[Estatus]]="Preventivo"),0,Datos[[#This Row],[Fecha_Final]]-Datos[[#This Row],[Día_Inicio]])</f>
        <v>5</v>
      </c>
      <c r="R323" s="2">
        <v>287</v>
      </c>
      <c r="S323" s="2">
        <v>790</v>
      </c>
      <c r="T323" t="s">
        <v>91</v>
      </c>
    </row>
    <row r="324" spans="1:20" x14ac:dyDescent="0.25">
      <c r="A324" t="s">
        <v>502</v>
      </c>
      <c r="B324" s="1">
        <v>45033</v>
      </c>
      <c r="C324" t="s">
        <v>451</v>
      </c>
      <c r="D324">
        <v>4</v>
      </c>
      <c r="E324" t="str">
        <f>+CONCATENATE("T",ROUNDUP(MONTH(Datos[[#This Row],[Fecha]])/3,0))</f>
        <v>T2</v>
      </c>
      <c r="F324" t="str">
        <f>+CONCATENATE("Sem"," ",ROUNDUP(MONTH(Datos[[#This Row],[Fecha]])/6,0))</f>
        <v>Sem 1</v>
      </c>
      <c r="G324" t="s">
        <v>175</v>
      </c>
      <c r="H324" t="s">
        <v>176</v>
      </c>
      <c r="I324" t="s">
        <v>24</v>
      </c>
      <c r="J324" t="s">
        <v>177</v>
      </c>
      <c r="K324" t="s">
        <v>39</v>
      </c>
      <c r="L324" t="s">
        <v>40</v>
      </c>
      <c r="M324" t="s">
        <v>75</v>
      </c>
      <c r="N324" s="1">
        <v>45033</v>
      </c>
      <c r="O324" s="1">
        <v>45393</v>
      </c>
      <c r="P324" t="s">
        <v>29</v>
      </c>
      <c r="Q324">
        <f>+IF(OR(Datos[[#This Row],[Diagnostico]]="Inservible",Datos[[#This Row],[Estatus]]="Preventivo"),0,Datos[[#This Row],[Fecha_Final]]-Datos[[#This Row],[Día_Inicio]])</f>
        <v>0</v>
      </c>
      <c r="R324" s="2">
        <v>638</v>
      </c>
      <c r="S324" s="2">
        <v>587</v>
      </c>
      <c r="T324" t="s">
        <v>42</v>
      </c>
    </row>
    <row r="325" spans="1:20" x14ac:dyDescent="0.25">
      <c r="A325" t="s">
        <v>503</v>
      </c>
      <c r="B325" s="1">
        <v>45034</v>
      </c>
      <c r="C325" t="s">
        <v>451</v>
      </c>
      <c r="D325">
        <v>4</v>
      </c>
      <c r="E325" t="str">
        <f>+CONCATENATE("T",ROUNDUP(MONTH(Datos[[#This Row],[Fecha]])/3,0))</f>
        <v>T2</v>
      </c>
      <c r="F325" t="str">
        <f>+CONCATENATE("Sem"," ",ROUNDUP(MONTH(Datos[[#This Row],[Fecha]])/6,0))</f>
        <v>Sem 1</v>
      </c>
      <c r="G325" t="s">
        <v>49</v>
      </c>
      <c r="H325" t="s">
        <v>23</v>
      </c>
      <c r="I325" t="s">
        <v>24</v>
      </c>
      <c r="J325" t="s">
        <v>50</v>
      </c>
      <c r="K325" t="s">
        <v>34</v>
      </c>
      <c r="L325" t="s">
        <v>27</v>
      </c>
      <c r="M325">
        <v>0</v>
      </c>
      <c r="N325" s="1">
        <v>45034</v>
      </c>
      <c r="O325" s="1">
        <v>45037</v>
      </c>
      <c r="P325" t="s">
        <v>58</v>
      </c>
      <c r="Q325">
        <f>+IF(OR(Datos[[#This Row],[Diagnostico]]="Inservible",Datos[[#This Row],[Estatus]]="Preventivo"),0,Datos[[#This Row],[Fecha_Final]]-Datos[[#This Row],[Día_Inicio]])</f>
        <v>3</v>
      </c>
      <c r="R325" s="2">
        <v>226</v>
      </c>
      <c r="S325" s="2">
        <v>292</v>
      </c>
      <c r="T325" t="s">
        <v>91</v>
      </c>
    </row>
    <row r="326" spans="1:20" x14ac:dyDescent="0.25">
      <c r="A326" t="s">
        <v>504</v>
      </c>
      <c r="B326" s="1">
        <v>45034</v>
      </c>
      <c r="C326" t="s">
        <v>451</v>
      </c>
      <c r="D326">
        <v>4</v>
      </c>
      <c r="E326" t="str">
        <f>+CONCATENATE("T",ROUNDUP(MONTH(Datos[[#This Row],[Fecha]])/3,0))</f>
        <v>T2</v>
      </c>
      <c r="F326" t="str">
        <f>+CONCATENATE("Sem"," ",ROUNDUP(MONTH(Datos[[#This Row],[Fecha]])/6,0))</f>
        <v>Sem 1</v>
      </c>
      <c r="G326" t="s">
        <v>82</v>
      </c>
      <c r="H326" t="s">
        <v>83</v>
      </c>
      <c r="I326" t="s">
        <v>24</v>
      </c>
      <c r="J326" t="s">
        <v>84</v>
      </c>
      <c r="K326" t="s">
        <v>39</v>
      </c>
      <c r="L326" t="s">
        <v>27</v>
      </c>
      <c r="M326">
        <v>0</v>
      </c>
      <c r="N326" s="1">
        <v>45034</v>
      </c>
      <c r="O326" s="1">
        <v>45049</v>
      </c>
      <c r="P326" t="s">
        <v>58</v>
      </c>
      <c r="Q326">
        <f>+IF(OR(Datos[[#This Row],[Diagnostico]]="Inservible",Datos[[#This Row],[Estatus]]="Preventivo"),0,Datos[[#This Row],[Fecha_Final]]-Datos[[#This Row],[Día_Inicio]])</f>
        <v>15</v>
      </c>
      <c r="R326" s="2">
        <v>459</v>
      </c>
      <c r="S326" s="2">
        <v>470</v>
      </c>
      <c r="T326" t="s">
        <v>64</v>
      </c>
    </row>
    <row r="327" spans="1:20" x14ac:dyDescent="0.25">
      <c r="A327" t="s">
        <v>505</v>
      </c>
      <c r="B327" s="1">
        <v>45034</v>
      </c>
      <c r="C327" t="s">
        <v>451</v>
      </c>
      <c r="D327">
        <v>4</v>
      </c>
      <c r="E327" t="str">
        <f>+CONCATENATE("T",ROUNDUP(MONTH(Datos[[#This Row],[Fecha]])/3,0))</f>
        <v>T2</v>
      </c>
      <c r="F327" t="str">
        <f>+CONCATENATE("Sem"," ",ROUNDUP(MONTH(Datos[[#This Row],[Fecha]])/6,0))</f>
        <v>Sem 1</v>
      </c>
      <c r="G327" t="s">
        <v>206</v>
      </c>
      <c r="H327" t="s">
        <v>207</v>
      </c>
      <c r="I327" t="s">
        <v>24</v>
      </c>
      <c r="J327" t="s">
        <v>160</v>
      </c>
      <c r="K327" t="s">
        <v>47</v>
      </c>
      <c r="L327" t="s">
        <v>27</v>
      </c>
      <c r="M327">
        <v>0</v>
      </c>
      <c r="N327" s="1">
        <v>45034</v>
      </c>
      <c r="O327" s="1">
        <v>45036</v>
      </c>
      <c r="P327" t="s">
        <v>28</v>
      </c>
      <c r="Q327">
        <f>+IF(OR(Datos[[#This Row],[Diagnostico]]="Inservible",Datos[[#This Row],[Estatus]]="Preventivo"),0,Datos[[#This Row],[Fecha_Final]]-Datos[[#This Row],[Día_Inicio]])</f>
        <v>0</v>
      </c>
      <c r="R327" s="2">
        <v>0</v>
      </c>
      <c r="S327" s="2">
        <v>0</v>
      </c>
      <c r="T327" t="s">
        <v>29</v>
      </c>
    </row>
    <row r="328" spans="1:20" x14ac:dyDescent="0.25">
      <c r="A328" t="s">
        <v>506</v>
      </c>
      <c r="B328" s="1">
        <v>45034</v>
      </c>
      <c r="C328" t="s">
        <v>451</v>
      </c>
      <c r="D328">
        <v>4</v>
      </c>
      <c r="E328" t="str">
        <f>+CONCATENATE("T",ROUNDUP(MONTH(Datos[[#This Row],[Fecha]])/3,0))</f>
        <v>T2</v>
      </c>
      <c r="F328" t="str">
        <f>+CONCATENATE("Sem"," ",ROUNDUP(MONTH(Datos[[#This Row],[Fecha]])/6,0))</f>
        <v>Sem 1</v>
      </c>
      <c r="G328" t="s">
        <v>154</v>
      </c>
      <c r="H328" t="s">
        <v>155</v>
      </c>
      <c r="I328" t="s">
        <v>68</v>
      </c>
      <c r="J328" t="s">
        <v>156</v>
      </c>
      <c r="K328" t="s">
        <v>39</v>
      </c>
      <c r="L328" t="s">
        <v>40</v>
      </c>
      <c r="M328" t="s">
        <v>51</v>
      </c>
      <c r="N328" s="1">
        <v>45034</v>
      </c>
      <c r="O328" s="1">
        <v>45094</v>
      </c>
      <c r="P328" t="s">
        <v>29</v>
      </c>
      <c r="Q328">
        <f>+IF(OR(Datos[[#This Row],[Diagnostico]]="Inservible",Datos[[#This Row],[Estatus]]="Preventivo"),0,Datos[[#This Row],[Fecha_Final]]-Datos[[#This Row],[Día_Inicio]])</f>
        <v>0</v>
      </c>
      <c r="R328" s="2">
        <v>437</v>
      </c>
      <c r="S328" s="2">
        <v>826</v>
      </c>
      <c r="T328" t="s">
        <v>42</v>
      </c>
    </row>
    <row r="329" spans="1:20" x14ac:dyDescent="0.25">
      <c r="A329" t="s">
        <v>507</v>
      </c>
      <c r="B329" s="1">
        <v>45034</v>
      </c>
      <c r="C329" t="s">
        <v>451</v>
      </c>
      <c r="D329">
        <v>4</v>
      </c>
      <c r="E329" t="str">
        <f>+CONCATENATE("T",ROUNDUP(MONTH(Datos[[#This Row],[Fecha]])/3,0))</f>
        <v>T2</v>
      </c>
      <c r="F329" t="str">
        <f>+CONCATENATE("Sem"," ",ROUNDUP(MONTH(Datos[[#This Row],[Fecha]])/6,0))</f>
        <v>Sem 1</v>
      </c>
      <c r="G329" t="s">
        <v>257</v>
      </c>
      <c r="H329" t="s">
        <v>258</v>
      </c>
      <c r="I329" t="s">
        <v>24</v>
      </c>
      <c r="J329" t="s">
        <v>204</v>
      </c>
      <c r="K329" t="s">
        <v>57</v>
      </c>
      <c r="L329" t="s">
        <v>27</v>
      </c>
      <c r="M329">
        <v>0</v>
      </c>
      <c r="N329" s="1">
        <v>45034</v>
      </c>
      <c r="O329" s="1">
        <v>45055</v>
      </c>
      <c r="P329" t="s">
        <v>58</v>
      </c>
      <c r="Q329">
        <f>+IF(OR(Datos[[#This Row],[Diagnostico]]="Inservible",Datos[[#This Row],[Estatus]]="Preventivo"),0,Datos[[#This Row],[Fecha_Final]]-Datos[[#This Row],[Día_Inicio]])</f>
        <v>21</v>
      </c>
      <c r="R329" s="2">
        <v>469</v>
      </c>
      <c r="S329" s="2">
        <v>776</v>
      </c>
      <c r="T329" t="s">
        <v>64</v>
      </c>
    </row>
    <row r="330" spans="1:20" x14ac:dyDescent="0.25">
      <c r="A330" t="s">
        <v>508</v>
      </c>
      <c r="B330" s="1">
        <v>45034</v>
      </c>
      <c r="C330" t="s">
        <v>451</v>
      </c>
      <c r="D330">
        <v>4</v>
      </c>
      <c r="E330" t="str">
        <f>+CONCATENATE("T",ROUNDUP(MONTH(Datos[[#This Row],[Fecha]])/3,0))</f>
        <v>T2</v>
      </c>
      <c r="F330" t="str">
        <f>+CONCATENATE("Sem"," ",ROUNDUP(MONTH(Datos[[#This Row],[Fecha]])/6,0))</f>
        <v>Sem 1</v>
      </c>
      <c r="G330" t="s">
        <v>206</v>
      </c>
      <c r="H330" t="s">
        <v>207</v>
      </c>
      <c r="I330" t="s">
        <v>24</v>
      </c>
      <c r="J330" t="s">
        <v>160</v>
      </c>
      <c r="K330" t="s">
        <v>63</v>
      </c>
      <c r="L330" t="s">
        <v>27</v>
      </c>
      <c r="M330">
        <v>0</v>
      </c>
      <c r="N330" s="1">
        <v>45034</v>
      </c>
      <c r="O330" s="1">
        <v>45044</v>
      </c>
      <c r="P330" t="s">
        <v>28</v>
      </c>
      <c r="Q330">
        <f>+IF(OR(Datos[[#This Row],[Diagnostico]]="Inservible",Datos[[#This Row],[Estatus]]="Preventivo"),0,Datos[[#This Row],[Fecha_Final]]-Datos[[#This Row],[Día_Inicio]])</f>
        <v>0</v>
      </c>
      <c r="R330" s="2">
        <v>0</v>
      </c>
      <c r="S330" s="2">
        <v>0</v>
      </c>
      <c r="T330" t="s">
        <v>29</v>
      </c>
    </row>
    <row r="331" spans="1:20" x14ac:dyDescent="0.25">
      <c r="A331" t="s">
        <v>509</v>
      </c>
      <c r="B331" s="1">
        <v>45035</v>
      </c>
      <c r="C331" t="s">
        <v>451</v>
      </c>
      <c r="D331">
        <v>4</v>
      </c>
      <c r="E331" t="str">
        <f>+CONCATENATE("T",ROUNDUP(MONTH(Datos[[#This Row],[Fecha]])/3,0))</f>
        <v>T2</v>
      </c>
      <c r="F331" t="str">
        <f>+CONCATENATE("Sem"," ",ROUNDUP(MONTH(Datos[[#This Row],[Fecha]])/6,0))</f>
        <v>Sem 1</v>
      </c>
      <c r="G331" t="s">
        <v>137</v>
      </c>
      <c r="H331" t="s">
        <v>138</v>
      </c>
      <c r="I331" t="s">
        <v>68</v>
      </c>
      <c r="J331" t="s">
        <v>139</v>
      </c>
      <c r="K331" t="s">
        <v>70</v>
      </c>
      <c r="L331" t="s">
        <v>27</v>
      </c>
      <c r="M331">
        <v>0</v>
      </c>
      <c r="N331" s="1">
        <v>45035</v>
      </c>
      <c r="O331" s="1">
        <v>45037</v>
      </c>
      <c r="P331" t="s">
        <v>58</v>
      </c>
      <c r="Q331">
        <f>+IF(OR(Datos[[#This Row],[Diagnostico]]="Inservible",Datos[[#This Row],[Estatus]]="Preventivo"),0,Datos[[#This Row],[Fecha_Final]]-Datos[[#This Row],[Día_Inicio]])</f>
        <v>2</v>
      </c>
      <c r="R331" s="2">
        <v>989</v>
      </c>
      <c r="S331" s="2">
        <v>962</v>
      </c>
      <c r="T331" t="s">
        <v>91</v>
      </c>
    </row>
    <row r="332" spans="1:20" x14ac:dyDescent="0.25">
      <c r="A332" t="s">
        <v>510</v>
      </c>
      <c r="B332" s="1">
        <v>45035</v>
      </c>
      <c r="C332" t="s">
        <v>451</v>
      </c>
      <c r="D332">
        <v>4</v>
      </c>
      <c r="E332" t="str">
        <f>+CONCATENATE("T",ROUNDUP(MONTH(Datos[[#This Row],[Fecha]])/3,0))</f>
        <v>T2</v>
      </c>
      <c r="F332" t="str">
        <f>+CONCATENATE("Sem"," ",ROUNDUP(MONTH(Datos[[#This Row],[Fecha]])/6,0))</f>
        <v>Sem 1</v>
      </c>
      <c r="G332" t="s">
        <v>260</v>
      </c>
      <c r="H332" t="s">
        <v>261</v>
      </c>
      <c r="I332" t="s">
        <v>24</v>
      </c>
      <c r="J332" t="s">
        <v>33</v>
      </c>
      <c r="K332" t="s">
        <v>161</v>
      </c>
      <c r="L332" t="s">
        <v>27</v>
      </c>
      <c r="M332">
        <v>0</v>
      </c>
      <c r="N332" s="1">
        <v>45035</v>
      </c>
      <c r="O332" s="1">
        <v>45065</v>
      </c>
      <c r="P332" t="s">
        <v>58</v>
      </c>
      <c r="Q332">
        <f>+IF(OR(Datos[[#This Row],[Diagnostico]]="Inservible",Datos[[#This Row],[Estatus]]="Preventivo"),0,Datos[[#This Row],[Fecha_Final]]-Datos[[#This Row],[Día_Inicio]])</f>
        <v>30</v>
      </c>
      <c r="R332" s="2">
        <v>540</v>
      </c>
      <c r="S332" s="2">
        <v>741</v>
      </c>
      <c r="T332" t="s">
        <v>91</v>
      </c>
    </row>
    <row r="333" spans="1:20" x14ac:dyDescent="0.25">
      <c r="A333" t="s">
        <v>511</v>
      </c>
      <c r="B333" s="1">
        <v>45036</v>
      </c>
      <c r="C333" t="s">
        <v>451</v>
      </c>
      <c r="D333">
        <v>4</v>
      </c>
      <c r="E333" t="str">
        <f>+CONCATENATE("T",ROUNDUP(MONTH(Datos[[#This Row],[Fecha]])/3,0))</f>
        <v>T2</v>
      </c>
      <c r="F333" t="str">
        <f>+CONCATENATE("Sem"," ",ROUNDUP(MONTH(Datos[[#This Row],[Fecha]])/6,0))</f>
        <v>Sem 1</v>
      </c>
      <c r="G333" t="s">
        <v>77</v>
      </c>
      <c r="H333" t="s">
        <v>78</v>
      </c>
      <c r="I333" t="s">
        <v>24</v>
      </c>
      <c r="J333" t="s">
        <v>79</v>
      </c>
      <c r="K333" t="s">
        <v>80</v>
      </c>
      <c r="L333" t="s">
        <v>27</v>
      </c>
      <c r="M333">
        <v>0</v>
      </c>
      <c r="N333" s="1">
        <v>45036</v>
      </c>
      <c r="O333" s="1">
        <v>45048</v>
      </c>
      <c r="P333" t="s">
        <v>28</v>
      </c>
      <c r="Q333">
        <f>+IF(OR(Datos[[#This Row],[Diagnostico]]="Inservible",Datos[[#This Row],[Estatus]]="Preventivo"),0,Datos[[#This Row],[Fecha_Final]]-Datos[[#This Row],[Día_Inicio]])</f>
        <v>0</v>
      </c>
      <c r="R333" s="2">
        <v>0</v>
      </c>
      <c r="S333" s="2">
        <v>0</v>
      </c>
      <c r="T333" t="s">
        <v>29</v>
      </c>
    </row>
    <row r="334" spans="1:20" x14ac:dyDescent="0.25">
      <c r="A334" t="s">
        <v>512</v>
      </c>
      <c r="B334" s="1">
        <v>45036</v>
      </c>
      <c r="C334" t="s">
        <v>451</v>
      </c>
      <c r="D334">
        <v>4</v>
      </c>
      <c r="E334" t="str">
        <f>+CONCATENATE("T",ROUNDUP(MONTH(Datos[[#This Row],[Fecha]])/3,0))</f>
        <v>T2</v>
      </c>
      <c r="F334" t="str">
        <f>+CONCATENATE("Sem"," ",ROUNDUP(MONTH(Datos[[#This Row],[Fecha]])/6,0))</f>
        <v>Sem 1</v>
      </c>
      <c r="G334" t="s">
        <v>94</v>
      </c>
      <c r="H334" t="s">
        <v>95</v>
      </c>
      <c r="I334" t="s">
        <v>68</v>
      </c>
      <c r="J334" t="s">
        <v>96</v>
      </c>
      <c r="K334" t="s">
        <v>39</v>
      </c>
      <c r="L334" t="s">
        <v>40</v>
      </c>
      <c r="M334" t="s">
        <v>103</v>
      </c>
      <c r="N334" s="1">
        <v>45036</v>
      </c>
      <c r="O334" s="1">
        <v>45051</v>
      </c>
      <c r="P334" t="s">
        <v>29</v>
      </c>
      <c r="Q334">
        <f>+IF(OR(Datos[[#This Row],[Diagnostico]]="Inservible",Datos[[#This Row],[Estatus]]="Preventivo"),0,Datos[[#This Row],[Fecha_Final]]-Datos[[#This Row],[Día_Inicio]])</f>
        <v>0</v>
      </c>
      <c r="R334" s="2">
        <v>819</v>
      </c>
      <c r="S334" s="2">
        <v>420</v>
      </c>
      <c r="T334" t="s">
        <v>42</v>
      </c>
    </row>
    <row r="335" spans="1:20" x14ac:dyDescent="0.25">
      <c r="A335" t="s">
        <v>513</v>
      </c>
      <c r="B335" s="1">
        <v>45036</v>
      </c>
      <c r="C335" t="s">
        <v>451</v>
      </c>
      <c r="D335">
        <v>4</v>
      </c>
      <c r="E335" t="str">
        <f>+CONCATENATE("T",ROUNDUP(MONTH(Datos[[#This Row],[Fecha]])/3,0))</f>
        <v>T2</v>
      </c>
      <c r="F335" t="str">
        <f>+CONCATENATE("Sem"," ",ROUNDUP(MONTH(Datos[[#This Row],[Fecha]])/6,0))</f>
        <v>Sem 1</v>
      </c>
      <c r="G335" t="s">
        <v>164</v>
      </c>
      <c r="H335" t="s">
        <v>165</v>
      </c>
      <c r="I335" t="s">
        <v>24</v>
      </c>
      <c r="J335" t="s">
        <v>166</v>
      </c>
      <c r="K335" t="s">
        <v>90</v>
      </c>
      <c r="L335" t="s">
        <v>27</v>
      </c>
      <c r="M335">
        <v>0</v>
      </c>
      <c r="N335" s="1">
        <v>45036</v>
      </c>
      <c r="O335" s="1">
        <v>45063</v>
      </c>
      <c r="P335" t="s">
        <v>28</v>
      </c>
      <c r="Q335">
        <f>+IF(OR(Datos[[#This Row],[Diagnostico]]="Inservible",Datos[[#This Row],[Estatus]]="Preventivo"),0,Datos[[#This Row],[Fecha_Final]]-Datos[[#This Row],[Día_Inicio]])</f>
        <v>0</v>
      </c>
      <c r="R335" s="2">
        <v>0</v>
      </c>
      <c r="S335" s="2">
        <v>0</v>
      </c>
      <c r="T335" t="s">
        <v>29</v>
      </c>
    </row>
    <row r="336" spans="1:20" x14ac:dyDescent="0.25">
      <c r="A336" t="s">
        <v>514</v>
      </c>
      <c r="B336" s="1">
        <v>45036</v>
      </c>
      <c r="C336" t="s">
        <v>451</v>
      </c>
      <c r="D336">
        <v>4</v>
      </c>
      <c r="E336" t="str">
        <f>+CONCATENATE("T",ROUNDUP(MONTH(Datos[[#This Row],[Fecha]])/3,0))</f>
        <v>T2</v>
      </c>
      <c r="F336" t="str">
        <f>+CONCATENATE("Sem"," ",ROUNDUP(MONTH(Datos[[#This Row],[Fecha]])/6,0))</f>
        <v>Sem 1</v>
      </c>
      <c r="G336" t="s">
        <v>94</v>
      </c>
      <c r="H336" t="s">
        <v>95</v>
      </c>
      <c r="I336" t="s">
        <v>68</v>
      </c>
      <c r="J336" t="s">
        <v>96</v>
      </c>
      <c r="K336" t="s">
        <v>39</v>
      </c>
      <c r="L336" t="s">
        <v>40</v>
      </c>
      <c r="M336" t="s">
        <v>103</v>
      </c>
      <c r="N336" s="1">
        <v>45036</v>
      </c>
      <c r="O336" s="1">
        <v>45051</v>
      </c>
      <c r="P336" t="s">
        <v>29</v>
      </c>
      <c r="Q336">
        <f>+IF(OR(Datos[[#This Row],[Diagnostico]]="Inservible",Datos[[#This Row],[Estatus]]="Preventivo"),0,Datos[[#This Row],[Fecha_Final]]-Datos[[#This Row],[Día_Inicio]])</f>
        <v>0</v>
      </c>
      <c r="R336" s="2">
        <v>221</v>
      </c>
      <c r="S336" s="2">
        <v>281</v>
      </c>
      <c r="T336" t="s">
        <v>42</v>
      </c>
    </row>
    <row r="337" spans="1:20" x14ac:dyDescent="0.25">
      <c r="A337" t="s">
        <v>515</v>
      </c>
      <c r="B337" s="1">
        <v>45037</v>
      </c>
      <c r="C337" t="s">
        <v>451</v>
      </c>
      <c r="D337">
        <v>4</v>
      </c>
      <c r="E337" t="str">
        <f>+CONCATENATE("T",ROUNDUP(MONTH(Datos[[#This Row],[Fecha]])/3,0))</f>
        <v>T2</v>
      </c>
      <c r="F337" t="str">
        <f>+CONCATENATE("Sem"," ",ROUNDUP(MONTH(Datos[[#This Row],[Fecha]])/6,0))</f>
        <v>Sem 1</v>
      </c>
      <c r="G337" t="s">
        <v>202</v>
      </c>
      <c r="H337" t="s">
        <v>203</v>
      </c>
      <c r="I337" t="s">
        <v>24</v>
      </c>
      <c r="J337" t="s">
        <v>204</v>
      </c>
      <c r="K337" t="s">
        <v>97</v>
      </c>
      <c r="L337" t="s">
        <v>27</v>
      </c>
      <c r="M337">
        <v>0</v>
      </c>
      <c r="N337" s="1">
        <v>45037</v>
      </c>
      <c r="O337" s="1">
        <v>45065</v>
      </c>
      <c r="P337" t="s">
        <v>58</v>
      </c>
      <c r="Q337">
        <f>+IF(OR(Datos[[#This Row],[Diagnostico]]="Inservible",Datos[[#This Row],[Estatus]]="Preventivo"),0,Datos[[#This Row],[Fecha_Final]]-Datos[[#This Row],[Día_Inicio]])</f>
        <v>28</v>
      </c>
      <c r="R337" s="2">
        <v>1077</v>
      </c>
      <c r="S337" s="2">
        <v>265</v>
      </c>
      <c r="T337" t="s">
        <v>42</v>
      </c>
    </row>
    <row r="338" spans="1:20" x14ac:dyDescent="0.25">
      <c r="A338" t="s">
        <v>516</v>
      </c>
      <c r="B338" s="1">
        <v>45037</v>
      </c>
      <c r="C338" t="s">
        <v>451</v>
      </c>
      <c r="D338">
        <v>4</v>
      </c>
      <c r="E338" t="str">
        <f>+CONCATENATE("T",ROUNDUP(MONTH(Datos[[#This Row],[Fecha]])/3,0))</f>
        <v>T2</v>
      </c>
      <c r="F338" t="str">
        <f>+CONCATENATE("Sem"," ",ROUNDUP(MONTH(Datos[[#This Row],[Fecha]])/6,0))</f>
        <v>Sem 1</v>
      </c>
      <c r="G338" t="s">
        <v>158</v>
      </c>
      <c r="H338" t="s">
        <v>159</v>
      </c>
      <c r="I338" t="s">
        <v>101</v>
      </c>
      <c r="J338" t="s">
        <v>160</v>
      </c>
      <c r="K338" t="s">
        <v>178</v>
      </c>
      <c r="L338" t="s">
        <v>27</v>
      </c>
      <c r="M338">
        <v>0</v>
      </c>
      <c r="N338" s="1">
        <v>45037</v>
      </c>
      <c r="O338" s="1">
        <v>45041</v>
      </c>
      <c r="P338" t="s">
        <v>58</v>
      </c>
      <c r="Q338">
        <f>+IF(OR(Datos[[#This Row],[Diagnostico]]="Inservible",Datos[[#This Row],[Estatus]]="Preventivo"),0,Datos[[#This Row],[Fecha_Final]]-Datos[[#This Row],[Día_Inicio]])</f>
        <v>4</v>
      </c>
      <c r="R338" s="2">
        <v>366</v>
      </c>
      <c r="S338" s="2">
        <v>452</v>
      </c>
      <c r="T338" t="s">
        <v>42</v>
      </c>
    </row>
    <row r="339" spans="1:20" x14ac:dyDescent="0.25">
      <c r="A339" t="s">
        <v>517</v>
      </c>
      <c r="B339" s="1">
        <v>45037</v>
      </c>
      <c r="C339" t="s">
        <v>451</v>
      </c>
      <c r="D339">
        <v>4</v>
      </c>
      <c r="E339" t="str">
        <f>+CONCATENATE("T",ROUNDUP(MONTH(Datos[[#This Row],[Fecha]])/3,0))</f>
        <v>T2</v>
      </c>
      <c r="F339" t="str">
        <f>+CONCATENATE("Sem"," ",ROUNDUP(MONTH(Datos[[#This Row],[Fecha]])/6,0))</f>
        <v>Sem 1</v>
      </c>
      <c r="G339" t="s">
        <v>82</v>
      </c>
      <c r="H339" t="s">
        <v>83</v>
      </c>
      <c r="I339" t="s">
        <v>24</v>
      </c>
      <c r="J339" t="s">
        <v>84</v>
      </c>
      <c r="K339" t="s">
        <v>108</v>
      </c>
      <c r="L339" t="s">
        <v>27</v>
      </c>
      <c r="M339">
        <v>0</v>
      </c>
      <c r="N339" s="1">
        <v>45037</v>
      </c>
      <c r="O339" s="1">
        <v>45044</v>
      </c>
      <c r="P339" t="s">
        <v>58</v>
      </c>
      <c r="Q339">
        <f>+IF(OR(Datos[[#This Row],[Diagnostico]]="Inservible",Datos[[#This Row],[Estatus]]="Preventivo"),0,Datos[[#This Row],[Fecha_Final]]-Datos[[#This Row],[Día_Inicio]])</f>
        <v>7</v>
      </c>
      <c r="R339" s="2">
        <v>924</v>
      </c>
      <c r="S339" s="2">
        <v>541</v>
      </c>
      <c r="T339" t="s">
        <v>91</v>
      </c>
    </row>
    <row r="340" spans="1:20" x14ac:dyDescent="0.25">
      <c r="A340" t="s">
        <v>518</v>
      </c>
      <c r="B340" s="1">
        <v>45037</v>
      </c>
      <c r="C340" t="s">
        <v>451</v>
      </c>
      <c r="D340">
        <v>4</v>
      </c>
      <c r="E340" t="str">
        <f>+CONCATENATE("T",ROUNDUP(MONTH(Datos[[#This Row],[Fecha]])/3,0))</f>
        <v>T2</v>
      </c>
      <c r="F340" t="str">
        <f>+CONCATENATE("Sem"," ",ROUNDUP(MONTH(Datos[[#This Row],[Fecha]])/6,0))</f>
        <v>Sem 1</v>
      </c>
      <c r="G340" t="s">
        <v>31</v>
      </c>
      <c r="H340" t="s">
        <v>32</v>
      </c>
      <c r="I340" t="s">
        <v>24</v>
      </c>
      <c r="J340" t="s">
        <v>33</v>
      </c>
      <c r="K340" t="s">
        <v>39</v>
      </c>
      <c r="L340" t="s">
        <v>40</v>
      </c>
      <c r="M340" t="s">
        <v>103</v>
      </c>
      <c r="N340" s="1">
        <v>45037</v>
      </c>
      <c r="O340" s="1">
        <v>45052</v>
      </c>
      <c r="P340" t="s">
        <v>29</v>
      </c>
      <c r="Q340">
        <f>+IF(OR(Datos[[#This Row],[Diagnostico]]="Inservible",Datos[[#This Row],[Estatus]]="Preventivo"),0,Datos[[#This Row],[Fecha_Final]]-Datos[[#This Row],[Día_Inicio]])</f>
        <v>0</v>
      </c>
      <c r="R340" s="2">
        <v>300</v>
      </c>
      <c r="S340" s="2">
        <v>687</v>
      </c>
      <c r="T340" t="s">
        <v>42</v>
      </c>
    </row>
    <row r="341" spans="1:20" x14ac:dyDescent="0.25">
      <c r="A341" t="s">
        <v>519</v>
      </c>
      <c r="B341" s="1">
        <v>45038</v>
      </c>
      <c r="C341" t="s">
        <v>451</v>
      </c>
      <c r="D341">
        <v>4</v>
      </c>
      <c r="E341" t="str">
        <f>+CONCATENATE("T",ROUNDUP(MONTH(Datos[[#This Row],[Fecha]])/3,0))</f>
        <v>T2</v>
      </c>
      <c r="F341" t="str">
        <f>+CONCATENATE("Sem"," ",ROUNDUP(MONTH(Datos[[#This Row],[Fecha]])/6,0))</f>
        <v>Sem 1</v>
      </c>
      <c r="G341" t="s">
        <v>183</v>
      </c>
      <c r="H341" t="s">
        <v>184</v>
      </c>
      <c r="I341" t="s">
        <v>24</v>
      </c>
      <c r="J341" t="s">
        <v>139</v>
      </c>
      <c r="K341" t="s">
        <v>114</v>
      </c>
      <c r="L341" t="s">
        <v>27</v>
      </c>
      <c r="M341">
        <v>0</v>
      </c>
      <c r="N341" s="1">
        <v>45038</v>
      </c>
      <c r="O341" s="1">
        <v>45043</v>
      </c>
      <c r="P341" t="s">
        <v>58</v>
      </c>
      <c r="Q341">
        <f>+IF(OR(Datos[[#This Row],[Diagnostico]]="Inservible",Datos[[#This Row],[Estatus]]="Preventivo"),0,Datos[[#This Row],[Fecha_Final]]-Datos[[#This Row],[Día_Inicio]])</f>
        <v>5</v>
      </c>
      <c r="R341" s="2">
        <v>922</v>
      </c>
      <c r="S341" s="2">
        <v>248</v>
      </c>
      <c r="T341" t="s">
        <v>91</v>
      </c>
    </row>
    <row r="342" spans="1:20" x14ac:dyDescent="0.25">
      <c r="A342" t="s">
        <v>520</v>
      </c>
      <c r="B342" s="1">
        <v>45038</v>
      </c>
      <c r="C342" t="s">
        <v>451</v>
      </c>
      <c r="D342">
        <v>4</v>
      </c>
      <c r="E342" t="str">
        <f>+CONCATENATE("T",ROUNDUP(MONTH(Datos[[#This Row],[Fecha]])/3,0))</f>
        <v>T2</v>
      </c>
      <c r="F342" t="str">
        <f>+CONCATENATE("Sem"," ",ROUNDUP(MONTH(Datos[[#This Row],[Fecha]])/6,0))</f>
        <v>Sem 1</v>
      </c>
      <c r="G342" t="s">
        <v>137</v>
      </c>
      <c r="H342" t="s">
        <v>138</v>
      </c>
      <c r="I342" t="s">
        <v>68</v>
      </c>
      <c r="J342" t="s">
        <v>139</v>
      </c>
      <c r="K342" t="s">
        <v>119</v>
      </c>
      <c r="L342" t="s">
        <v>27</v>
      </c>
      <c r="M342">
        <v>0</v>
      </c>
      <c r="N342" s="1">
        <v>45038</v>
      </c>
      <c r="O342" s="1">
        <v>45041</v>
      </c>
      <c r="P342" t="s">
        <v>28</v>
      </c>
      <c r="Q342">
        <f>+IF(OR(Datos[[#This Row],[Diagnostico]]="Inservible",Datos[[#This Row],[Estatus]]="Preventivo"),0,Datos[[#This Row],[Fecha_Final]]-Datos[[#This Row],[Día_Inicio]])</f>
        <v>0</v>
      </c>
      <c r="R342" s="2">
        <v>0</v>
      </c>
      <c r="S342" s="2">
        <v>0</v>
      </c>
      <c r="T342" t="s">
        <v>29</v>
      </c>
    </row>
    <row r="343" spans="1:20" x14ac:dyDescent="0.25">
      <c r="A343" t="s">
        <v>521</v>
      </c>
      <c r="B343" s="1">
        <v>45038</v>
      </c>
      <c r="C343" t="s">
        <v>451</v>
      </c>
      <c r="D343">
        <v>4</v>
      </c>
      <c r="E343" t="str">
        <f>+CONCATENATE("T",ROUNDUP(MONTH(Datos[[#This Row],[Fecha]])/3,0))</f>
        <v>T2</v>
      </c>
      <c r="F343" t="str">
        <f>+CONCATENATE("Sem"," ",ROUNDUP(MONTH(Datos[[#This Row],[Fecha]])/6,0))</f>
        <v>Sem 1</v>
      </c>
      <c r="G343" t="s">
        <v>183</v>
      </c>
      <c r="H343" t="s">
        <v>184</v>
      </c>
      <c r="I343" t="s">
        <v>24</v>
      </c>
      <c r="J343" t="s">
        <v>139</v>
      </c>
      <c r="K343" t="s">
        <v>123</v>
      </c>
      <c r="L343" t="s">
        <v>27</v>
      </c>
      <c r="M343">
        <v>0</v>
      </c>
      <c r="N343" s="1">
        <v>45038</v>
      </c>
      <c r="O343" s="1">
        <v>45042</v>
      </c>
      <c r="P343" t="s">
        <v>28</v>
      </c>
      <c r="Q343">
        <f>+IF(OR(Datos[[#This Row],[Diagnostico]]="Inservible",Datos[[#This Row],[Estatus]]="Preventivo"),0,Datos[[#This Row],[Fecha_Final]]-Datos[[#This Row],[Día_Inicio]])</f>
        <v>0</v>
      </c>
      <c r="R343" s="2">
        <v>0</v>
      </c>
      <c r="S343" s="2">
        <v>0</v>
      </c>
      <c r="T343" t="s">
        <v>29</v>
      </c>
    </row>
    <row r="344" spans="1:20" x14ac:dyDescent="0.25">
      <c r="A344" t="s">
        <v>522</v>
      </c>
      <c r="B344" s="1">
        <v>45039</v>
      </c>
      <c r="C344" t="s">
        <v>451</v>
      </c>
      <c r="D344">
        <v>4</v>
      </c>
      <c r="E344" t="str">
        <f>+CONCATENATE("T",ROUNDUP(MONTH(Datos[[#This Row],[Fecha]])/3,0))</f>
        <v>T2</v>
      </c>
      <c r="F344" t="str">
        <f>+CONCATENATE("Sem"," ",ROUNDUP(MONTH(Datos[[#This Row],[Fecha]])/6,0))</f>
        <v>Sem 1</v>
      </c>
      <c r="G344" t="s">
        <v>246</v>
      </c>
      <c r="H344" t="s">
        <v>247</v>
      </c>
      <c r="I344" t="s">
        <v>24</v>
      </c>
      <c r="J344" t="s">
        <v>156</v>
      </c>
      <c r="K344" t="s">
        <v>39</v>
      </c>
      <c r="L344" t="s">
        <v>40</v>
      </c>
      <c r="M344" t="s">
        <v>188</v>
      </c>
      <c r="N344" s="1">
        <v>45039</v>
      </c>
      <c r="O344" s="1">
        <v>45219</v>
      </c>
      <c r="P344" t="s">
        <v>29</v>
      </c>
      <c r="Q344">
        <f>+IF(OR(Datos[[#This Row],[Diagnostico]]="Inservible",Datos[[#This Row],[Estatus]]="Preventivo"),0,Datos[[#This Row],[Fecha_Final]]-Datos[[#This Row],[Día_Inicio]])</f>
        <v>0</v>
      </c>
      <c r="R344" s="2">
        <v>899</v>
      </c>
      <c r="S344" s="2">
        <v>406</v>
      </c>
      <c r="T344" t="s">
        <v>42</v>
      </c>
    </row>
    <row r="345" spans="1:20" x14ac:dyDescent="0.25">
      <c r="A345" t="s">
        <v>523</v>
      </c>
      <c r="B345" s="1">
        <v>45040</v>
      </c>
      <c r="C345" t="s">
        <v>451</v>
      </c>
      <c r="D345">
        <v>4</v>
      </c>
      <c r="E345" t="str">
        <f>+CONCATENATE("T",ROUNDUP(MONTH(Datos[[#This Row],[Fecha]])/3,0))</f>
        <v>T2</v>
      </c>
      <c r="F345" t="str">
        <f>+CONCATENATE("Sem"," ",ROUNDUP(MONTH(Datos[[#This Row],[Fecha]])/6,0))</f>
        <v>Sem 1</v>
      </c>
      <c r="G345" t="s">
        <v>206</v>
      </c>
      <c r="H345" t="s">
        <v>207</v>
      </c>
      <c r="I345" t="s">
        <v>24</v>
      </c>
      <c r="J345" t="s">
        <v>160</v>
      </c>
      <c r="K345" t="s">
        <v>130</v>
      </c>
      <c r="L345" t="s">
        <v>27</v>
      </c>
      <c r="M345">
        <v>0</v>
      </c>
      <c r="N345" s="1">
        <v>45040</v>
      </c>
      <c r="O345" s="1">
        <v>45054</v>
      </c>
      <c r="P345" t="s">
        <v>58</v>
      </c>
      <c r="Q345">
        <f>+IF(OR(Datos[[#This Row],[Diagnostico]]="Inservible",Datos[[#This Row],[Estatus]]="Preventivo"),0,Datos[[#This Row],[Fecha_Final]]-Datos[[#This Row],[Día_Inicio]])</f>
        <v>14</v>
      </c>
      <c r="R345" s="2">
        <v>983</v>
      </c>
      <c r="S345" s="2">
        <v>440</v>
      </c>
      <c r="T345" t="s">
        <v>91</v>
      </c>
    </row>
    <row r="346" spans="1:20" x14ac:dyDescent="0.25">
      <c r="A346" t="s">
        <v>524</v>
      </c>
      <c r="B346" s="1">
        <v>45040</v>
      </c>
      <c r="C346" t="s">
        <v>451</v>
      </c>
      <c r="D346">
        <v>4</v>
      </c>
      <c r="E346" t="str">
        <f>+CONCATENATE("T",ROUNDUP(MONTH(Datos[[#This Row],[Fecha]])/3,0))</f>
        <v>T2</v>
      </c>
      <c r="F346" t="str">
        <f>+CONCATENATE("Sem"," ",ROUNDUP(MONTH(Datos[[#This Row],[Fecha]])/6,0))</f>
        <v>Sem 1</v>
      </c>
      <c r="G346" t="s">
        <v>286</v>
      </c>
      <c r="H346" t="s">
        <v>287</v>
      </c>
      <c r="I346" t="s">
        <v>24</v>
      </c>
      <c r="J346" t="s">
        <v>38</v>
      </c>
      <c r="K346" t="s">
        <v>135</v>
      </c>
      <c r="L346" t="s">
        <v>27</v>
      </c>
      <c r="M346">
        <v>0</v>
      </c>
      <c r="N346" s="1">
        <v>45040</v>
      </c>
      <c r="O346" s="1">
        <v>45041</v>
      </c>
      <c r="P346" t="s">
        <v>58</v>
      </c>
      <c r="Q346">
        <f>+IF(OR(Datos[[#This Row],[Diagnostico]]="Inservible",Datos[[#This Row],[Estatus]]="Preventivo"),0,Datos[[#This Row],[Fecha_Final]]-Datos[[#This Row],[Día_Inicio]])</f>
        <v>1</v>
      </c>
      <c r="R346" s="2">
        <v>941</v>
      </c>
      <c r="S346" s="2">
        <v>980</v>
      </c>
      <c r="T346" t="s">
        <v>64</v>
      </c>
    </row>
    <row r="347" spans="1:20" x14ac:dyDescent="0.25">
      <c r="A347" t="s">
        <v>525</v>
      </c>
      <c r="B347" s="1">
        <v>45041</v>
      </c>
      <c r="C347" t="s">
        <v>451</v>
      </c>
      <c r="D347">
        <v>4</v>
      </c>
      <c r="E347" t="str">
        <f>+CONCATENATE("T",ROUNDUP(MONTH(Datos[[#This Row],[Fecha]])/3,0))</f>
        <v>T2</v>
      </c>
      <c r="F347" t="str">
        <f>+CONCATENATE("Sem"," ",ROUNDUP(MONTH(Datos[[#This Row],[Fecha]])/6,0))</f>
        <v>Sem 1</v>
      </c>
      <c r="G347" t="s">
        <v>246</v>
      </c>
      <c r="H347" t="s">
        <v>247</v>
      </c>
      <c r="I347" t="s">
        <v>24</v>
      </c>
      <c r="J347" t="s">
        <v>156</v>
      </c>
      <c r="K347" t="s">
        <v>26</v>
      </c>
      <c r="L347" t="s">
        <v>27</v>
      </c>
      <c r="M347">
        <v>0</v>
      </c>
      <c r="N347" s="1">
        <v>45041</v>
      </c>
      <c r="O347" s="1">
        <v>45062</v>
      </c>
      <c r="P347" t="s">
        <v>58</v>
      </c>
      <c r="Q347">
        <f>+IF(OR(Datos[[#This Row],[Diagnostico]]="Inservible",Datos[[#This Row],[Estatus]]="Preventivo"),0,Datos[[#This Row],[Fecha_Final]]-Datos[[#This Row],[Día_Inicio]])</f>
        <v>21</v>
      </c>
      <c r="R347" s="2">
        <v>897</v>
      </c>
      <c r="S347" s="2">
        <v>316</v>
      </c>
      <c r="T347" t="s">
        <v>91</v>
      </c>
    </row>
    <row r="348" spans="1:20" x14ac:dyDescent="0.25">
      <c r="A348" t="s">
        <v>526</v>
      </c>
      <c r="B348" s="1">
        <v>45041</v>
      </c>
      <c r="C348" t="s">
        <v>451</v>
      </c>
      <c r="D348">
        <v>4</v>
      </c>
      <c r="E348" t="str">
        <f>+CONCATENATE("T",ROUNDUP(MONTH(Datos[[#This Row],[Fecha]])/3,0))</f>
        <v>T2</v>
      </c>
      <c r="F348" t="str">
        <f>+CONCATENATE("Sem"," ",ROUNDUP(MONTH(Datos[[#This Row],[Fecha]])/6,0))</f>
        <v>Sem 1</v>
      </c>
      <c r="G348" t="s">
        <v>335</v>
      </c>
      <c r="H348" t="s">
        <v>336</v>
      </c>
      <c r="I348" t="s">
        <v>24</v>
      </c>
      <c r="J348" t="s">
        <v>118</v>
      </c>
      <c r="K348" t="s">
        <v>39</v>
      </c>
      <c r="L348" t="s">
        <v>40</v>
      </c>
      <c r="M348" t="s">
        <v>196</v>
      </c>
      <c r="N348" s="1">
        <v>45041</v>
      </c>
      <c r="O348" s="1">
        <v>45071</v>
      </c>
      <c r="P348" t="s">
        <v>29</v>
      </c>
      <c r="Q348">
        <f>+IF(OR(Datos[[#This Row],[Diagnostico]]="Inservible",Datos[[#This Row],[Estatus]]="Preventivo"),0,Datos[[#This Row],[Fecha_Final]]-Datos[[#This Row],[Día_Inicio]])</f>
        <v>0</v>
      </c>
      <c r="R348" s="2">
        <v>455</v>
      </c>
      <c r="S348" s="2">
        <v>120</v>
      </c>
      <c r="T348" t="s">
        <v>42</v>
      </c>
    </row>
    <row r="349" spans="1:20" x14ac:dyDescent="0.25">
      <c r="A349" t="s">
        <v>527</v>
      </c>
      <c r="B349" s="1">
        <v>45041</v>
      </c>
      <c r="C349" t="s">
        <v>451</v>
      </c>
      <c r="D349">
        <v>4</v>
      </c>
      <c r="E349" t="str">
        <f>+CONCATENATE("T",ROUNDUP(MONTH(Datos[[#This Row],[Fecha]])/3,0))</f>
        <v>T2</v>
      </c>
      <c r="F349" t="str">
        <f>+CONCATENATE("Sem"," ",ROUNDUP(MONTH(Datos[[#This Row],[Fecha]])/6,0))</f>
        <v>Sem 1</v>
      </c>
      <c r="G349" t="s">
        <v>260</v>
      </c>
      <c r="H349" t="s">
        <v>261</v>
      </c>
      <c r="I349" t="s">
        <v>24</v>
      </c>
      <c r="J349" t="s">
        <v>33</v>
      </c>
      <c r="K349" t="s">
        <v>39</v>
      </c>
      <c r="L349" t="s">
        <v>27</v>
      </c>
      <c r="M349">
        <v>0</v>
      </c>
      <c r="N349" s="1">
        <v>45041</v>
      </c>
      <c r="O349" s="1">
        <v>45050</v>
      </c>
      <c r="P349" t="s">
        <v>28</v>
      </c>
      <c r="Q349">
        <f>+IF(OR(Datos[[#This Row],[Diagnostico]]="Inservible",Datos[[#This Row],[Estatus]]="Preventivo"),0,Datos[[#This Row],[Fecha_Final]]-Datos[[#This Row],[Día_Inicio]])</f>
        <v>0</v>
      </c>
      <c r="R349" s="2">
        <v>0</v>
      </c>
      <c r="S349" s="2">
        <v>0</v>
      </c>
      <c r="T349" t="s">
        <v>29</v>
      </c>
    </row>
    <row r="350" spans="1:20" x14ac:dyDescent="0.25">
      <c r="A350" t="s">
        <v>528</v>
      </c>
      <c r="B350" s="1">
        <v>45042</v>
      </c>
      <c r="C350" t="s">
        <v>451</v>
      </c>
      <c r="D350">
        <v>4</v>
      </c>
      <c r="E350" t="str">
        <f>+CONCATENATE("T",ROUNDUP(MONTH(Datos[[#This Row],[Fecha]])/3,0))</f>
        <v>T2</v>
      </c>
      <c r="F350" t="str">
        <f>+CONCATENATE("Sem"," ",ROUNDUP(MONTH(Datos[[#This Row],[Fecha]])/6,0))</f>
        <v>Sem 1</v>
      </c>
      <c r="G350" t="s">
        <v>283</v>
      </c>
      <c r="H350" t="s">
        <v>284</v>
      </c>
      <c r="I350" t="s">
        <v>24</v>
      </c>
      <c r="J350" t="s">
        <v>192</v>
      </c>
      <c r="K350" t="s">
        <v>39</v>
      </c>
      <c r="L350" t="s">
        <v>40</v>
      </c>
      <c r="M350" t="s">
        <v>208</v>
      </c>
      <c r="N350" s="1">
        <v>45042</v>
      </c>
      <c r="O350" s="1">
        <v>45049</v>
      </c>
      <c r="P350" t="s">
        <v>29</v>
      </c>
      <c r="Q350">
        <f>+IF(OR(Datos[[#This Row],[Diagnostico]]="Inservible",Datos[[#This Row],[Estatus]]="Preventivo"),0,Datos[[#This Row],[Fecha_Final]]-Datos[[#This Row],[Día_Inicio]])</f>
        <v>0</v>
      </c>
      <c r="R350" s="2">
        <v>847</v>
      </c>
      <c r="S350" s="2">
        <v>153</v>
      </c>
      <c r="T350" t="s">
        <v>42</v>
      </c>
    </row>
    <row r="351" spans="1:20" x14ac:dyDescent="0.25">
      <c r="A351" t="s">
        <v>529</v>
      </c>
      <c r="B351" s="1">
        <v>45042</v>
      </c>
      <c r="C351" t="s">
        <v>451</v>
      </c>
      <c r="D351">
        <v>4</v>
      </c>
      <c r="E351" t="str">
        <f>+CONCATENATE("T",ROUNDUP(MONTH(Datos[[#This Row],[Fecha]])/3,0))</f>
        <v>T2</v>
      </c>
      <c r="F351" t="str">
        <f>+CONCATENATE("Sem"," ",ROUNDUP(MONTH(Datos[[#This Row],[Fecha]])/6,0))</f>
        <v>Sem 1</v>
      </c>
      <c r="G351" t="s">
        <v>141</v>
      </c>
      <c r="H351" t="s">
        <v>142</v>
      </c>
      <c r="I351" t="s">
        <v>24</v>
      </c>
      <c r="J351" t="s">
        <v>143</v>
      </c>
      <c r="K351" t="s">
        <v>147</v>
      </c>
      <c r="L351" t="s">
        <v>27</v>
      </c>
      <c r="M351">
        <v>0</v>
      </c>
      <c r="N351" s="1">
        <v>45042</v>
      </c>
      <c r="O351" s="1">
        <v>45065</v>
      </c>
      <c r="P351" t="s">
        <v>28</v>
      </c>
      <c r="Q351">
        <f>+IF(OR(Datos[[#This Row],[Diagnostico]]="Inservible",Datos[[#This Row],[Estatus]]="Preventivo"),0,Datos[[#This Row],[Fecha_Final]]-Datos[[#This Row],[Día_Inicio]])</f>
        <v>0</v>
      </c>
      <c r="R351" s="2">
        <v>0</v>
      </c>
      <c r="S351" s="2">
        <v>0</v>
      </c>
      <c r="T351" t="s">
        <v>29</v>
      </c>
    </row>
    <row r="352" spans="1:20" x14ac:dyDescent="0.25">
      <c r="A352" t="s">
        <v>530</v>
      </c>
      <c r="B352" s="1">
        <v>45043</v>
      </c>
      <c r="C352" t="s">
        <v>451</v>
      </c>
      <c r="D352">
        <v>4</v>
      </c>
      <c r="E352" t="str">
        <f>+CONCATENATE("T",ROUNDUP(MONTH(Datos[[#This Row],[Fecha]])/3,0))</f>
        <v>T2</v>
      </c>
      <c r="F352" t="str">
        <f>+CONCATENATE("Sem"," ",ROUNDUP(MONTH(Datos[[#This Row],[Fecha]])/6,0))</f>
        <v>Sem 1</v>
      </c>
      <c r="G352" t="s">
        <v>175</v>
      </c>
      <c r="H352" t="s">
        <v>176</v>
      </c>
      <c r="I352" t="s">
        <v>24</v>
      </c>
      <c r="J352" t="s">
        <v>177</v>
      </c>
      <c r="K352" t="s">
        <v>39</v>
      </c>
      <c r="L352" t="s">
        <v>40</v>
      </c>
      <c r="M352" t="s">
        <v>41</v>
      </c>
      <c r="N352" s="1">
        <v>45043</v>
      </c>
      <c r="O352" s="1">
        <v>45133</v>
      </c>
      <c r="P352" t="s">
        <v>29</v>
      </c>
      <c r="Q352">
        <f>+IF(OR(Datos[[#This Row],[Diagnostico]]="Inservible",Datos[[#This Row],[Estatus]]="Preventivo"),0,Datos[[#This Row],[Fecha_Final]]-Datos[[#This Row],[Día_Inicio]])</f>
        <v>0</v>
      </c>
      <c r="R352" s="2">
        <v>950</v>
      </c>
      <c r="S352" s="2">
        <v>455</v>
      </c>
      <c r="T352" t="s">
        <v>42</v>
      </c>
    </row>
    <row r="353" spans="1:20" x14ac:dyDescent="0.25">
      <c r="A353" t="s">
        <v>531</v>
      </c>
      <c r="B353" s="1">
        <v>45043</v>
      </c>
      <c r="C353" t="s">
        <v>451</v>
      </c>
      <c r="D353">
        <v>4</v>
      </c>
      <c r="E353" t="str">
        <f>+CONCATENATE("T",ROUNDUP(MONTH(Datos[[#This Row],[Fecha]])/3,0))</f>
        <v>T2</v>
      </c>
      <c r="F353" t="str">
        <f>+CONCATENATE("Sem"," ",ROUNDUP(MONTH(Datos[[#This Row],[Fecha]])/6,0))</f>
        <v>Sem 1</v>
      </c>
      <c r="G353" t="s">
        <v>158</v>
      </c>
      <c r="H353" t="s">
        <v>159</v>
      </c>
      <c r="I353" t="s">
        <v>101</v>
      </c>
      <c r="J353" t="s">
        <v>160</v>
      </c>
      <c r="K353" t="s">
        <v>63</v>
      </c>
      <c r="L353" t="s">
        <v>27</v>
      </c>
      <c r="M353">
        <v>0</v>
      </c>
      <c r="N353" s="1">
        <v>45043</v>
      </c>
      <c r="O353" s="1">
        <v>45064</v>
      </c>
      <c r="P353" t="s">
        <v>28</v>
      </c>
      <c r="Q353">
        <f>+IF(OR(Datos[[#This Row],[Diagnostico]]="Inservible",Datos[[#This Row],[Estatus]]="Preventivo"),0,Datos[[#This Row],[Fecha_Final]]-Datos[[#This Row],[Día_Inicio]])</f>
        <v>0</v>
      </c>
      <c r="R353" s="2">
        <v>0</v>
      </c>
      <c r="S353" s="2">
        <v>0</v>
      </c>
      <c r="T353" t="s">
        <v>29</v>
      </c>
    </row>
    <row r="354" spans="1:20" x14ac:dyDescent="0.25">
      <c r="A354" t="s">
        <v>532</v>
      </c>
      <c r="B354" s="1">
        <v>45044</v>
      </c>
      <c r="C354" t="s">
        <v>451</v>
      </c>
      <c r="D354">
        <v>4</v>
      </c>
      <c r="E354" t="str">
        <f>+CONCATENATE("T",ROUNDUP(MONTH(Datos[[#This Row],[Fecha]])/3,0))</f>
        <v>T2</v>
      </c>
      <c r="F354" t="str">
        <f>+CONCATENATE("Sem"," ",ROUNDUP(MONTH(Datos[[#This Row],[Fecha]])/6,0))</f>
        <v>Sem 1</v>
      </c>
      <c r="G354" t="s">
        <v>22</v>
      </c>
      <c r="H354" t="s">
        <v>23</v>
      </c>
      <c r="I354" t="s">
        <v>24</v>
      </c>
      <c r="J354" t="s">
        <v>25</v>
      </c>
      <c r="K354" t="s">
        <v>39</v>
      </c>
      <c r="L354" t="s">
        <v>40</v>
      </c>
      <c r="M354" t="s">
        <v>51</v>
      </c>
      <c r="N354" s="1">
        <v>45044</v>
      </c>
      <c r="O354" s="1">
        <v>45104</v>
      </c>
      <c r="P354" t="s">
        <v>29</v>
      </c>
      <c r="Q354">
        <f>+IF(OR(Datos[[#This Row],[Diagnostico]]="Inservible",Datos[[#This Row],[Estatus]]="Preventivo"),0,Datos[[#This Row],[Fecha_Final]]-Datos[[#This Row],[Día_Inicio]])</f>
        <v>0</v>
      </c>
      <c r="R354" s="2">
        <v>453</v>
      </c>
      <c r="S354" s="2">
        <v>952</v>
      </c>
      <c r="T354" t="s">
        <v>42</v>
      </c>
    </row>
    <row r="355" spans="1:20" x14ac:dyDescent="0.25">
      <c r="A355" t="s">
        <v>533</v>
      </c>
      <c r="B355" s="1">
        <v>45045</v>
      </c>
      <c r="C355" t="s">
        <v>451</v>
      </c>
      <c r="D355">
        <v>4</v>
      </c>
      <c r="E355" t="str">
        <f>+CONCATENATE("T",ROUNDUP(MONTH(Datos[[#This Row],[Fecha]])/3,0))</f>
        <v>T2</v>
      </c>
      <c r="F355" t="str">
        <f>+CONCATENATE("Sem"," ",ROUNDUP(MONTH(Datos[[#This Row],[Fecha]])/6,0))</f>
        <v>Sem 1</v>
      </c>
      <c r="G355" t="s">
        <v>180</v>
      </c>
      <c r="H355" t="s">
        <v>181</v>
      </c>
      <c r="I355" t="s">
        <v>24</v>
      </c>
      <c r="J355" t="s">
        <v>127</v>
      </c>
      <c r="K355" t="s">
        <v>161</v>
      </c>
      <c r="L355" t="s">
        <v>27</v>
      </c>
      <c r="M355">
        <v>0</v>
      </c>
      <c r="N355" s="1">
        <v>45045</v>
      </c>
      <c r="O355" s="1">
        <v>45046</v>
      </c>
      <c r="P355" t="s">
        <v>58</v>
      </c>
      <c r="Q355">
        <f>+IF(OR(Datos[[#This Row],[Diagnostico]]="Inservible",Datos[[#This Row],[Estatus]]="Preventivo"),0,Datos[[#This Row],[Fecha_Final]]-Datos[[#This Row],[Día_Inicio]])</f>
        <v>1</v>
      </c>
      <c r="R355" s="2">
        <v>532</v>
      </c>
      <c r="S355" s="2">
        <v>305</v>
      </c>
      <c r="T355" t="s">
        <v>42</v>
      </c>
    </row>
    <row r="356" spans="1:20" x14ac:dyDescent="0.25">
      <c r="A356" t="s">
        <v>534</v>
      </c>
      <c r="B356" s="1">
        <v>45046</v>
      </c>
      <c r="C356" t="s">
        <v>451</v>
      </c>
      <c r="D356">
        <v>4</v>
      </c>
      <c r="E356" t="str">
        <f>+CONCATENATE("T",ROUNDUP(MONTH(Datos[[#This Row],[Fecha]])/3,0))</f>
        <v>T2</v>
      </c>
      <c r="F356" t="str">
        <f>+CONCATENATE("Sem"," ",ROUNDUP(MONTH(Datos[[#This Row],[Fecha]])/6,0))</f>
        <v>Sem 1</v>
      </c>
      <c r="G356" t="s">
        <v>53</v>
      </c>
      <c r="H356" t="s">
        <v>54</v>
      </c>
      <c r="I356" t="s">
        <v>55</v>
      </c>
      <c r="J356" t="s">
        <v>56</v>
      </c>
      <c r="K356" t="s">
        <v>39</v>
      </c>
      <c r="L356" t="s">
        <v>40</v>
      </c>
      <c r="M356" t="s">
        <v>103</v>
      </c>
      <c r="N356" s="1">
        <v>45046</v>
      </c>
      <c r="O356" s="1">
        <v>45061</v>
      </c>
      <c r="P356" t="s">
        <v>29</v>
      </c>
      <c r="Q356">
        <f>+IF(OR(Datos[[#This Row],[Diagnostico]]="Inservible",Datos[[#This Row],[Estatus]]="Preventivo"),0,Datos[[#This Row],[Fecha_Final]]-Datos[[#This Row],[Día_Inicio]])</f>
        <v>0</v>
      </c>
      <c r="R356" s="2">
        <v>928</v>
      </c>
      <c r="S356" s="2">
        <v>131</v>
      </c>
      <c r="T356" t="s">
        <v>42</v>
      </c>
    </row>
    <row r="357" spans="1:20" x14ac:dyDescent="0.25">
      <c r="A357" t="s">
        <v>535</v>
      </c>
      <c r="B357" s="1">
        <v>45046</v>
      </c>
      <c r="C357" t="s">
        <v>451</v>
      </c>
      <c r="D357">
        <v>4</v>
      </c>
      <c r="E357" t="str">
        <f>+CONCATENATE("T",ROUNDUP(MONTH(Datos[[#This Row],[Fecha]])/3,0))</f>
        <v>T2</v>
      </c>
      <c r="F357" t="str">
        <f>+CONCATENATE("Sem"," ",ROUNDUP(MONTH(Datos[[#This Row],[Fecha]])/6,0))</f>
        <v>Sem 1</v>
      </c>
      <c r="G357" t="s">
        <v>137</v>
      </c>
      <c r="H357" t="s">
        <v>138</v>
      </c>
      <c r="I357" t="s">
        <v>68</v>
      </c>
      <c r="J357" t="s">
        <v>139</v>
      </c>
      <c r="K357" t="s">
        <v>85</v>
      </c>
      <c r="L357" t="s">
        <v>27</v>
      </c>
      <c r="M357">
        <v>0</v>
      </c>
      <c r="N357" s="1">
        <v>45046</v>
      </c>
      <c r="O357" s="1">
        <v>45061</v>
      </c>
      <c r="P357" t="s">
        <v>58</v>
      </c>
      <c r="Q357">
        <f>+IF(OR(Datos[[#This Row],[Diagnostico]]="Inservible",Datos[[#This Row],[Estatus]]="Preventivo"),0,Datos[[#This Row],[Fecha_Final]]-Datos[[#This Row],[Día_Inicio]])</f>
        <v>15</v>
      </c>
      <c r="R357" s="2">
        <v>1054</v>
      </c>
      <c r="S357" s="2">
        <v>177</v>
      </c>
      <c r="T357" t="s">
        <v>91</v>
      </c>
    </row>
    <row r="358" spans="1:20" x14ac:dyDescent="0.25">
      <c r="A358" t="s">
        <v>536</v>
      </c>
      <c r="B358" s="1">
        <v>45046</v>
      </c>
      <c r="C358" t="s">
        <v>451</v>
      </c>
      <c r="D358">
        <v>4</v>
      </c>
      <c r="E358" t="str">
        <f>+CONCATENATE("T",ROUNDUP(MONTH(Datos[[#This Row],[Fecha]])/3,0))</f>
        <v>T2</v>
      </c>
      <c r="F358" t="str">
        <f>+CONCATENATE("Sem"," ",ROUNDUP(MONTH(Datos[[#This Row],[Fecha]])/6,0))</f>
        <v>Sem 1</v>
      </c>
      <c r="G358" t="s">
        <v>36</v>
      </c>
      <c r="H358" t="s">
        <v>37</v>
      </c>
      <c r="I358" t="s">
        <v>24</v>
      </c>
      <c r="J358" t="s">
        <v>38</v>
      </c>
      <c r="K358" t="s">
        <v>90</v>
      </c>
      <c r="L358" t="s">
        <v>27</v>
      </c>
      <c r="M358">
        <v>0</v>
      </c>
      <c r="N358" s="1">
        <v>45046</v>
      </c>
      <c r="O358" s="1">
        <v>45058</v>
      </c>
      <c r="P358" t="s">
        <v>58</v>
      </c>
      <c r="Q358">
        <f>+IF(OR(Datos[[#This Row],[Diagnostico]]="Inservible",Datos[[#This Row],[Estatus]]="Preventivo"),0,Datos[[#This Row],[Fecha_Final]]-Datos[[#This Row],[Día_Inicio]])</f>
        <v>12</v>
      </c>
      <c r="R358" s="2">
        <v>762</v>
      </c>
      <c r="S358" s="2">
        <v>246</v>
      </c>
      <c r="T358" t="s">
        <v>91</v>
      </c>
    </row>
    <row r="359" spans="1:20" x14ac:dyDescent="0.25">
      <c r="A359" t="s">
        <v>537</v>
      </c>
      <c r="B359" s="1">
        <v>45046</v>
      </c>
      <c r="C359" t="s">
        <v>451</v>
      </c>
      <c r="D359">
        <v>4</v>
      </c>
      <c r="E359" t="str">
        <f>+CONCATENATE("T",ROUNDUP(MONTH(Datos[[#This Row],[Fecha]])/3,0))</f>
        <v>T2</v>
      </c>
      <c r="F359" t="str">
        <f>+CONCATENATE("Sem"," ",ROUNDUP(MONTH(Datos[[#This Row],[Fecha]])/6,0))</f>
        <v>Sem 1</v>
      </c>
      <c r="G359" t="s">
        <v>137</v>
      </c>
      <c r="H359" t="s">
        <v>138</v>
      </c>
      <c r="I359" t="s">
        <v>68</v>
      </c>
      <c r="J359" t="s">
        <v>139</v>
      </c>
      <c r="K359" t="s">
        <v>172</v>
      </c>
      <c r="L359" t="s">
        <v>27</v>
      </c>
      <c r="M359">
        <v>0</v>
      </c>
      <c r="N359" s="1">
        <v>45046</v>
      </c>
      <c r="O359" s="1">
        <v>45048</v>
      </c>
      <c r="P359" t="s">
        <v>58</v>
      </c>
      <c r="Q359">
        <f>+IF(OR(Datos[[#This Row],[Diagnostico]]="Inservible",Datos[[#This Row],[Estatus]]="Preventivo"),0,Datos[[#This Row],[Fecha_Final]]-Datos[[#This Row],[Día_Inicio]])</f>
        <v>2</v>
      </c>
      <c r="R359" s="2">
        <v>713</v>
      </c>
      <c r="S359" s="2">
        <v>946</v>
      </c>
      <c r="T359" t="s">
        <v>59</v>
      </c>
    </row>
    <row r="360" spans="1:20" x14ac:dyDescent="0.25">
      <c r="A360" t="s">
        <v>538</v>
      </c>
      <c r="B360" s="1">
        <v>45047</v>
      </c>
      <c r="C360" t="s">
        <v>539</v>
      </c>
      <c r="D360">
        <v>5</v>
      </c>
      <c r="E360" t="str">
        <f>+CONCATENATE("T",ROUNDUP(MONTH(Datos[[#This Row],[Fecha]])/3,0))</f>
        <v>T2</v>
      </c>
      <c r="F360" t="str">
        <f>+CONCATENATE("Sem"," ",ROUNDUP(MONTH(Datos[[#This Row],[Fecha]])/6,0))</f>
        <v>Sem 1</v>
      </c>
      <c r="G360" t="s">
        <v>237</v>
      </c>
      <c r="H360" t="s">
        <v>238</v>
      </c>
      <c r="I360" t="s">
        <v>24</v>
      </c>
      <c r="J360" t="s">
        <v>177</v>
      </c>
      <c r="K360" t="s">
        <v>39</v>
      </c>
      <c r="L360" t="s">
        <v>40</v>
      </c>
      <c r="M360" t="s">
        <v>41</v>
      </c>
      <c r="N360" s="1">
        <v>45047</v>
      </c>
      <c r="O360" s="1">
        <v>45137</v>
      </c>
      <c r="P360" t="s">
        <v>29</v>
      </c>
      <c r="Q360">
        <f>+IF(OR(Datos[[#This Row],[Diagnostico]]="Inservible",Datos[[#This Row],[Estatus]]="Preventivo"),0,Datos[[#This Row],[Fecha_Final]]-Datos[[#This Row],[Día_Inicio]])</f>
        <v>0</v>
      </c>
      <c r="R360" s="2">
        <v>273</v>
      </c>
      <c r="S360" s="2">
        <v>945</v>
      </c>
      <c r="T360" t="s">
        <v>42</v>
      </c>
    </row>
    <row r="361" spans="1:20" x14ac:dyDescent="0.25">
      <c r="A361" t="s">
        <v>540</v>
      </c>
      <c r="B361" s="1">
        <v>45047</v>
      </c>
      <c r="C361" t="s">
        <v>539</v>
      </c>
      <c r="D361">
        <v>5</v>
      </c>
      <c r="E361" t="str">
        <f>+CONCATENATE("T",ROUNDUP(MONTH(Datos[[#This Row],[Fecha]])/3,0))</f>
        <v>T2</v>
      </c>
      <c r="F361" t="str">
        <f>+CONCATENATE("Sem"," ",ROUNDUP(MONTH(Datos[[#This Row],[Fecha]])/6,0))</f>
        <v>Sem 1</v>
      </c>
      <c r="G361" t="s">
        <v>82</v>
      </c>
      <c r="H361" t="s">
        <v>83</v>
      </c>
      <c r="I361" t="s">
        <v>24</v>
      </c>
      <c r="J361" t="s">
        <v>84</v>
      </c>
      <c r="K361" t="s">
        <v>178</v>
      </c>
      <c r="L361" t="s">
        <v>27</v>
      </c>
      <c r="M361">
        <v>0</v>
      </c>
      <c r="N361" s="1">
        <v>45047</v>
      </c>
      <c r="O361" s="1">
        <v>45051</v>
      </c>
      <c r="P361" t="s">
        <v>28</v>
      </c>
      <c r="Q361">
        <f>+IF(OR(Datos[[#This Row],[Diagnostico]]="Inservible",Datos[[#This Row],[Estatus]]="Preventivo"),0,Datos[[#This Row],[Fecha_Final]]-Datos[[#This Row],[Día_Inicio]])</f>
        <v>0</v>
      </c>
      <c r="R361" s="2">
        <v>0</v>
      </c>
      <c r="S361" s="2">
        <v>0</v>
      </c>
      <c r="T361" t="s">
        <v>29</v>
      </c>
    </row>
    <row r="362" spans="1:20" x14ac:dyDescent="0.25">
      <c r="A362" t="s">
        <v>541</v>
      </c>
      <c r="B362" s="1">
        <v>45047</v>
      </c>
      <c r="C362" t="s">
        <v>539</v>
      </c>
      <c r="D362">
        <v>5</v>
      </c>
      <c r="E362" t="str">
        <f>+CONCATENATE("T",ROUNDUP(MONTH(Datos[[#This Row],[Fecha]])/3,0))</f>
        <v>T2</v>
      </c>
      <c r="F362" t="str">
        <f>+CONCATENATE("Sem"," ",ROUNDUP(MONTH(Datos[[#This Row],[Fecha]])/6,0))</f>
        <v>Sem 1</v>
      </c>
      <c r="G362" t="s">
        <v>215</v>
      </c>
      <c r="H362" t="s">
        <v>216</v>
      </c>
      <c r="I362" t="s">
        <v>24</v>
      </c>
      <c r="J362" t="s">
        <v>50</v>
      </c>
      <c r="K362" t="s">
        <v>39</v>
      </c>
      <c r="L362" t="s">
        <v>40</v>
      </c>
      <c r="M362" t="s">
        <v>41</v>
      </c>
      <c r="N362" s="1">
        <v>45047</v>
      </c>
      <c r="O362" s="1">
        <v>45137</v>
      </c>
      <c r="P362" t="s">
        <v>29</v>
      </c>
      <c r="Q362">
        <f>+IF(OR(Datos[[#This Row],[Diagnostico]]="Inservible",Datos[[#This Row],[Estatus]]="Preventivo"),0,Datos[[#This Row],[Fecha_Final]]-Datos[[#This Row],[Día_Inicio]])</f>
        <v>0</v>
      </c>
      <c r="R362" s="2">
        <v>263</v>
      </c>
      <c r="S362" s="2">
        <v>736</v>
      </c>
      <c r="T362" t="s">
        <v>42</v>
      </c>
    </row>
    <row r="363" spans="1:20" x14ac:dyDescent="0.25">
      <c r="A363" t="s">
        <v>542</v>
      </c>
      <c r="B363" s="1">
        <v>45047</v>
      </c>
      <c r="C363" t="s">
        <v>539</v>
      </c>
      <c r="D363">
        <v>5</v>
      </c>
      <c r="E363" t="str">
        <f>+CONCATENATE("T",ROUNDUP(MONTH(Datos[[#This Row],[Fecha]])/3,0))</f>
        <v>T2</v>
      </c>
      <c r="F363" t="str">
        <f>+CONCATENATE("Sem"," ",ROUNDUP(MONTH(Datos[[#This Row],[Fecha]])/6,0))</f>
        <v>Sem 1</v>
      </c>
      <c r="G363" t="s">
        <v>257</v>
      </c>
      <c r="H363" t="s">
        <v>258</v>
      </c>
      <c r="I363" t="s">
        <v>24</v>
      </c>
      <c r="J363" t="s">
        <v>204</v>
      </c>
      <c r="K363" t="s">
        <v>110</v>
      </c>
      <c r="L363" t="s">
        <v>27</v>
      </c>
      <c r="M363">
        <v>0</v>
      </c>
      <c r="N363" s="1">
        <v>45047</v>
      </c>
      <c r="O363" s="1">
        <v>45066</v>
      </c>
      <c r="P363" t="s">
        <v>28</v>
      </c>
      <c r="Q363">
        <f>+IF(OR(Datos[[#This Row],[Diagnostico]]="Inservible",Datos[[#This Row],[Estatus]]="Preventivo"),0,Datos[[#This Row],[Fecha_Final]]-Datos[[#This Row],[Día_Inicio]])</f>
        <v>0</v>
      </c>
      <c r="R363" s="2">
        <v>0</v>
      </c>
      <c r="S363" s="2">
        <v>0</v>
      </c>
      <c r="T363" t="s">
        <v>29</v>
      </c>
    </row>
    <row r="364" spans="1:20" x14ac:dyDescent="0.25">
      <c r="A364" t="s">
        <v>543</v>
      </c>
      <c r="B364" s="1">
        <v>45048</v>
      </c>
      <c r="C364" t="s">
        <v>539</v>
      </c>
      <c r="D364">
        <v>5</v>
      </c>
      <c r="E364" t="str">
        <f>+CONCATENATE("T",ROUNDUP(MONTH(Datos[[#This Row],[Fecha]])/3,0))</f>
        <v>T2</v>
      </c>
      <c r="F364" t="str">
        <f>+CONCATENATE("Sem"," ",ROUNDUP(MONTH(Datos[[#This Row],[Fecha]])/6,0))</f>
        <v>Sem 1</v>
      </c>
      <c r="G364" t="s">
        <v>82</v>
      </c>
      <c r="H364" t="s">
        <v>83</v>
      </c>
      <c r="I364" t="s">
        <v>24</v>
      </c>
      <c r="J364" t="s">
        <v>84</v>
      </c>
      <c r="K364" t="s">
        <v>39</v>
      </c>
      <c r="L364" t="s">
        <v>40</v>
      </c>
      <c r="M364" t="s">
        <v>41</v>
      </c>
      <c r="N364" s="1">
        <v>45048</v>
      </c>
      <c r="O364" s="1">
        <v>45138</v>
      </c>
      <c r="P364" t="s">
        <v>29</v>
      </c>
      <c r="Q364">
        <f>+IF(OR(Datos[[#This Row],[Diagnostico]]="Inservible",Datos[[#This Row],[Estatus]]="Preventivo"),0,Datos[[#This Row],[Fecha_Final]]-Datos[[#This Row],[Día_Inicio]])</f>
        <v>0</v>
      </c>
      <c r="R364" s="2">
        <v>1175</v>
      </c>
      <c r="S364" s="2">
        <v>735</v>
      </c>
      <c r="T364" t="s">
        <v>42</v>
      </c>
    </row>
    <row r="365" spans="1:20" x14ac:dyDescent="0.25">
      <c r="A365" t="s">
        <v>544</v>
      </c>
      <c r="B365" s="1">
        <v>45048</v>
      </c>
      <c r="C365" t="s">
        <v>539</v>
      </c>
      <c r="D365">
        <v>5</v>
      </c>
      <c r="E365" t="str">
        <f>+CONCATENATE("T",ROUNDUP(MONTH(Datos[[#This Row],[Fecha]])/3,0))</f>
        <v>T2</v>
      </c>
      <c r="F365" t="str">
        <f>+CONCATENATE("Sem"," ",ROUNDUP(MONTH(Datos[[#This Row],[Fecha]])/6,0))</f>
        <v>Sem 1</v>
      </c>
      <c r="G365" t="s">
        <v>49</v>
      </c>
      <c r="H365" t="s">
        <v>23</v>
      </c>
      <c r="I365" t="s">
        <v>24</v>
      </c>
      <c r="J365" t="s">
        <v>50</v>
      </c>
      <c r="K365" t="s">
        <v>119</v>
      </c>
      <c r="L365" t="s">
        <v>27</v>
      </c>
      <c r="M365">
        <v>0</v>
      </c>
      <c r="N365" s="1">
        <v>45048</v>
      </c>
      <c r="O365" s="1">
        <v>45054</v>
      </c>
      <c r="P365" t="s">
        <v>28</v>
      </c>
      <c r="Q365">
        <f>+IF(OR(Datos[[#This Row],[Diagnostico]]="Inservible",Datos[[#This Row],[Estatus]]="Preventivo"),0,Datos[[#This Row],[Fecha_Final]]-Datos[[#This Row],[Día_Inicio]])</f>
        <v>0</v>
      </c>
      <c r="R365" s="2">
        <v>0</v>
      </c>
      <c r="S365" s="2">
        <v>0</v>
      </c>
      <c r="T365" t="s">
        <v>29</v>
      </c>
    </row>
    <row r="366" spans="1:20" x14ac:dyDescent="0.25">
      <c r="A366" t="s">
        <v>545</v>
      </c>
      <c r="B366" s="1">
        <v>45048</v>
      </c>
      <c r="C366" t="s">
        <v>539</v>
      </c>
      <c r="D366">
        <v>5</v>
      </c>
      <c r="E366" t="str">
        <f>+CONCATENATE("T",ROUNDUP(MONTH(Datos[[#This Row],[Fecha]])/3,0))</f>
        <v>T2</v>
      </c>
      <c r="F366" t="str">
        <f>+CONCATENATE("Sem"," ",ROUNDUP(MONTH(Datos[[#This Row],[Fecha]])/6,0))</f>
        <v>Sem 1</v>
      </c>
      <c r="G366" t="s">
        <v>154</v>
      </c>
      <c r="H366" t="s">
        <v>155</v>
      </c>
      <c r="I366" t="s">
        <v>68</v>
      </c>
      <c r="J366" t="s">
        <v>156</v>
      </c>
      <c r="K366" t="s">
        <v>123</v>
      </c>
      <c r="L366" t="s">
        <v>27</v>
      </c>
      <c r="M366">
        <v>0</v>
      </c>
      <c r="N366" s="1">
        <v>45048</v>
      </c>
      <c r="O366" s="1">
        <v>45051</v>
      </c>
      <c r="P366" t="s">
        <v>28</v>
      </c>
      <c r="Q366">
        <f>+IF(OR(Datos[[#This Row],[Diagnostico]]="Inservible",Datos[[#This Row],[Estatus]]="Preventivo"),0,Datos[[#This Row],[Fecha_Final]]-Datos[[#This Row],[Día_Inicio]])</f>
        <v>0</v>
      </c>
      <c r="R366" s="2">
        <v>0</v>
      </c>
      <c r="S366" s="2">
        <v>0</v>
      </c>
      <c r="T366" t="s">
        <v>29</v>
      </c>
    </row>
    <row r="367" spans="1:20" x14ac:dyDescent="0.25">
      <c r="A367" t="s">
        <v>546</v>
      </c>
      <c r="B367" s="1">
        <v>45048</v>
      </c>
      <c r="C367" t="s">
        <v>539</v>
      </c>
      <c r="D367">
        <v>5</v>
      </c>
      <c r="E367" t="str">
        <f>+CONCATENATE("T",ROUNDUP(MONTH(Datos[[#This Row],[Fecha]])/3,0))</f>
        <v>T2</v>
      </c>
      <c r="F367" t="str">
        <f>+CONCATENATE("Sem"," ",ROUNDUP(MONTH(Datos[[#This Row],[Fecha]])/6,0))</f>
        <v>Sem 1</v>
      </c>
      <c r="G367" t="s">
        <v>175</v>
      </c>
      <c r="H367" t="s">
        <v>176</v>
      </c>
      <c r="I367" t="s">
        <v>24</v>
      </c>
      <c r="J367" t="s">
        <v>177</v>
      </c>
      <c r="K367" t="s">
        <v>128</v>
      </c>
      <c r="L367" t="s">
        <v>27</v>
      </c>
      <c r="M367">
        <v>0</v>
      </c>
      <c r="N367" s="1">
        <v>45048</v>
      </c>
      <c r="O367" s="1">
        <v>45077</v>
      </c>
      <c r="P367" t="s">
        <v>58</v>
      </c>
      <c r="Q367">
        <f>+IF(OR(Datos[[#This Row],[Diagnostico]]="Inservible",Datos[[#This Row],[Estatus]]="Preventivo"),0,Datos[[#This Row],[Fecha_Final]]-Datos[[#This Row],[Día_Inicio]])</f>
        <v>29</v>
      </c>
      <c r="R367" s="2">
        <v>229</v>
      </c>
      <c r="S367" s="2">
        <v>383</v>
      </c>
      <c r="T367" t="s">
        <v>64</v>
      </c>
    </row>
    <row r="368" spans="1:20" x14ac:dyDescent="0.25">
      <c r="A368" t="s">
        <v>547</v>
      </c>
      <c r="B368" s="1">
        <v>45048</v>
      </c>
      <c r="C368" t="s">
        <v>539</v>
      </c>
      <c r="D368">
        <v>5</v>
      </c>
      <c r="E368" t="str">
        <f>+CONCATENATE("T",ROUNDUP(MONTH(Datos[[#This Row],[Fecha]])/3,0))</f>
        <v>T2</v>
      </c>
      <c r="F368" t="str">
        <f>+CONCATENATE("Sem"," ",ROUNDUP(MONTH(Datos[[#This Row],[Fecha]])/6,0))</f>
        <v>Sem 1</v>
      </c>
      <c r="G368" t="s">
        <v>225</v>
      </c>
      <c r="H368" t="s">
        <v>226</v>
      </c>
      <c r="I368" t="s">
        <v>227</v>
      </c>
      <c r="J368" t="s">
        <v>89</v>
      </c>
      <c r="K368" t="s">
        <v>130</v>
      </c>
      <c r="L368" t="s">
        <v>27</v>
      </c>
      <c r="M368">
        <v>0</v>
      </c>
      <c r="N368" s="1">
        <v>45048</v>
      </c>
      <c r="O368" s="1">
        <v>45052</v>
      </c>
      <c r="P368" t="s">
        <v>28</v>
      </c>
      <c r="Q368">
        <f>+IF(OR(Datos[[#This Row],[Diagnostico]]="Inservible",Datos[[#This Row],[Estatus]]="Preventivo"),0,Datos[[#This Row],[Fecha_Final]]-Datos[[#This Row],[Día_Inicio]])</f>
        <v>0</v>
      </c>
      <c r="R368" s="2">
        <v>0</v>
      </c>
      <c r="S368" s="2">
        <v>0</v>
      </c>
      <c r="T368" t="s">
        <v>29</v>
      </c>
    </row>
    <row r="369" spans="1:20" x14ac:dyDescent="0.25">
      <c r="A369" t="s">
        <v>548</v>
      </c>
      <c r="B369" s="1">
        <v>45049</v>
      </c>
      <c r="C369" t="s">
        <v>539</v>
      </c>
      <c r="D369">
        <v>5</v>
      </c>
      <c r="E369" t="str">
        <f>+CONCATENATE("T",ROUNDUP(MONTH(Datos[[#This Row],[Fecha]])/3,0))</f>
        <v>T2</v>
      </c>
      <c r="F369" t="str">
        <f>+CONCATENATE("Sem"," ",ROUNDUP(MONTH(Datos[[#This Row],[Fecha]])/6,0))</f>
        <v>Sem 1</v>
      </c>
      <c r="G369" t="s">
        <v>215</v>
      </c>
      <c r="H369" t="s">
        <v>216</v>
      </c>
      <c r="I369" t="s">
        <v>24</v>
      </c>
      <c r="J369" t="s">
        <v>50</v>
      </c>
      <c r="K369" t="s">
        <v>135</v>
      </c>
      <c r="L369" t="s">
        <v>27</v>
      </c>
      <c r="M369">
        <v>0</v>
      </c>
      <c r="N369" s="1">
        <v>45049</v>
      </c>
      <c r="O369" s="1">
        <v>45055</v>
      </c>
      <c r="P369" t="s">
        <v>28</v>
      </c>
      <c r="Q369">
        <f>+IF(OR(Datos[[#This Row],[Diagnostico]]="Inservible",Datos[[#This Row],[Estatus]]="Preventivo"),0,Datos[[#This Row],[Fecha_Final]]-Datos[[#This Row],[Día_Inicio]])</f>
        <v>0</v>
      </c>
      <c r="R369" s="2">
        <v>0</v>
      </c>
      <c r="S369" s="2">
        <v>0</v>
      </c>
      <c r="T369" t="s">
        <v>29</v>
      </c>
    </row>
    <row r="370" spans="1:20" x14ac:dyDescent="0.25">
      <c r="A370" t="s">
        <v>549</v>
      </c>
      <c r="B370" s="1">
        <v>45049</v>
      </c>
      <c r="C370" t="s">
        <v>539</v>
      </c>
      <c r="D370">
        <v>5</v>
      </c>
      <c r="E370" t="str">
        <f>+CONCATENATE("T",ROUNDUP(MONTH(Datos[[#This Row],[Fecha]])/3,0))</f>
        <v>T2</v>
      </c>
      <c r="F370" t="str">
        <f>+CONCATENATE("Sem"," ",ROUNDUP(MONTH(Datos[[#This Row],[Fecha]])/6,0))</f>
        <v>Sem 1</v>
      </c>
      <c r="G370" t="s">
        <v>206</v>
      </c>
      <c r="H370" t="s">
        <v>207</v>
      </c>
      <c r="I370" t="s">
        <v>24</v>
      </c>
      <c r="J370" t="s">
        <v>160</v>
      </c>
      <c r="K370" t="s">
        <v>26</v>
      </c>
      <c r="L370" t="s">
        <v>27</v>
      </c>
      <c r="M370">
        <v>0</v>
      </c>
      <c r="N370" s="1">
        <v>45049</v>
      </c>
      <c r="O370" s="1">
        <v>45051</v>
      </c>
      <c r="P370" t="s">
        <v>28</v>
      </c>
      <c r="Q370">
        <f>+IF(OR(Datos[[#This Row],[Diagnostico]]="Inservible",Datos[[#This Row],[Estatus]]="Preventivo"),0,Datos[[#This Row],[Fecha_Final]]-Datos[[#This Row],[Día_Inicio]])</f>
        <v>0</v>
      </c>
      <c r="R370" s="2">
        <v>0</v>
      </c>
      <c r="S370" s="2">
        <v>0</v>
      </c>
      <c r="T370" t="s">
        <v>29</v>
      </c>
    </row>
    <row r="371" spans="1:20" x14ac:dyDescent="0.25">
      <c r="A371" t="s">
        <v>550</v>
      </c>
      <c r="B371" s="1">
        <v>45049</v>
      </c>
      <c r="C371" t="s">
        <v>539</v>
      </c>
      <c r="D371">
        <v>5</v>
      </c>
      <c r="E371" t="str">
        <f>+CONCATENATE("T",ROUNDUP(MONTH(Datos[[#This Row],[Fecha]])/3,0))</f>
        <v>T2</v>
      </c>
      <c r="F371" t="str">
        <f>+CONCATENATE("Sem"," ",ROUNDUP(MONTH(Datos[[#This Row],[Fecha]])/6,0))</f>
        <v>Sem 1</v>
      </c>
      <c r="G371" t="s">
        <v>164</v>
      </c>
      <c r="H371" t="s">
        <v>165</v>
      </c>
      <c r="I371" t="s">
        <v>24</v>
      </c>
      <c r="J371" t="s">
        <v>166</v>
      </c>
      <c r="K371" t="s">
        <v>34</v>
      </c>
      <c r="L371" t="s">
        <v>27</v>
      </c>
      <c r="M371">
        <v>0</v>
      </c>
      <c r="N371" s="1">
        <v>45049</v>
      </c>
      <c r="O371" s="1">
        <v>45065</v>
      </c>
      <c r="P371" t="s">
        <v>58</v>
      </c>
      <c r="Q371">
        <f>+IF(OR(Datos[[#This Row],[Diagnostico]]="Inservible",Datos[[#This Row],[Estatus]]="Preventivo"),0,Datos[[#This Row],[Fecha_Final]]-Datos[[#This Row],[Día_Inicio]])</f>
        <v>16</v>
      </c>
      <c r="R371" s="2">
        <v>1036</v>
      </c>
      <c r="S371" s="2">
        <v>305</v>
      </c>
      <c r="T371" t="s">
        <v>64</v>
      </c>
    </row>
    <row r="372" spans="1:20" x14ac:dyDescent="0.25">
      <c r="A372" t="s">
        <v>551</v>
      </c>
      <c r="B372" s="1">
        <v>45049</v>
      </c>
      <c r="C372" t="s">
        <v>539</v>
      </c>
      <c r="D372">
        <v>5</v>
      </c>
      <c r="E372" t="str">
        <f>+CONCATENATE("T",ROUNDUP(MONTH(Datos[[#This Row],[Fecha]])/3,0))</f>
        <v>T2</v>
      </c>
      <c r="F372" t="str">
        <f>+CONCATENATE("Sem"," ",ROUNDUP(MONTH(Datos[[#This Row],[Fecha]])/6,0))</f>
        <v>Sem 1</v>
      </c>
      <c r="G372" t="s">
        <v>183</v>
      </c>
      <c r="H372" t="s">
        <v>184</v>
      </c>
      <c r="I372" t="s">
        <v>24</v>
      </c>
      <c r="J372" t="s">
        <v>139</v>
      </c>
      <c r="K372" t="s">
        <v>39</v>
      </c>
      <c r="L372" t="s">
        <v>40</v>
      </c>
      <c r="M372" t="s">
        <v>41</v>
      </c>
      <c r="N372" s="1">
        <v>45049</v>
      </c>
      <c r="O372" s="1">
        <v>45139</v>
      </c>
      <c r="P372" t="s">
        <v>29</v>
      </c>
      <c r="Q372">
        <f>+IF(OR(Datos[[#This Row],[Diagnostico]]="Inservible",Datos[[#This Row],[Estatus]]="Preventivo"),0,Datos[[#This Row],[Fecha_Final]]-Datos[[#This Row],[Día_Inicio]])</f>
        <v>0</v>
      </c>
      <c r="R372" s="2">
        <v>489</v>
      </c>
      <c r="S372" s="2">
        <v>246</v>
      </c>
      <c r="T372" t="s">
        <v>42</v>
      </c>
    </row>
    <row r="373" spans="1:20" x14ac:dyDescent="0.25">
      <c r="A373" t="s">
        <v>552</v>
      </c>
      <c r="B373" s="1">
        <v>45049</v>
      </c>
      <c r="C373" t="s">
        <v>539</v>
      </c>
      <c r="D373">
        <v>5</v>
      </c>
      <c r="E373" t="str">
        <f>+CONCATENATE("T",ROUNDUP(MONTH(Datos[[#This Row],[Fecha]])/3,0))</f>
        <v>T2</v>
      </c>
      <c r="F373" t="str">
        <f>+CONCATENATE("Sem"," ",ROUNDUP(MONTH(Datos[[#This Row],[Fecha]])/6,0))</f>
        <v>Sem 1</v>
      </c>
      <c r="G373" t="s">
        <v>132</v>
      </c>
      <c r="H373" t="s">
        <v>133</v>
      </c>
      <c r="I373" t="s">
        <v>24</v>
      </c>
      <c r="J373" t="s">
        <v>134</v>
      </c>
      <c r="K373" t="s">
        <v>47</v>
      </c>
      <c r="L373" t="s">
        <v>27</v>
      </c>
      <c r="M373">
        <v>0</v>
      </c>
      <c r="N373" s="1">
        <v>45049</v>
      </c>
      <c r="O373" s="1">
        <v>45068</v>
      </c>
      <c r="P373" t="s">
        <v>28</v>
      </c>
      <c r="Q373">
        <f>+IF(OR(Datos[[#This Row],[Diagnostico]]="Inservible",Datos[[#This Row],[Estatus]]="Preventivo"),0,Datos[[#This Row],[Fecha_Final]]-Datos[[#This Row],[Día_Inicio]])</f>
        <v>0</v>
      </c>
      <c r="R373" s="2">
        <v>0</v>
      </c>
      <c r="S373" s="2">
        <v>0</v>
      </c>
      <c r="T373" t="s">
        <v>29</v>
      </c>
    </row>
    <row r="374" spans="1:20" x14ac:dyDescent="0.25">
      <c r="A374" t="s">
        <v>553</v>
      </c>
      <c r="B374" s="1">
        <v>45050</v>
      </c>
      <c r="C374" t="s">
        <v>539</v>
      </c>
      <c r="D374">
        <v>5</v>
      </c>
      <c r="E374" t="str">
        <f>+CONCATENATE("T",ROUNDUP(MONTH(Datos[[#This Row],[Fecha]])/3,0))</f>
        <v>T2</v>
      </c>
      <c r="F374" t="str">
        <f>+CONCATENATE("Sem"," ",ROUNDUP(MONTH(Datos[[#This Row],[Fecha]])/6,0))</f>
        <v>Sem 1</v>
      </c>
      <c r="G374" t="s">
        <v>183</v>
      </c>
      <c r="H374" t="s">
        <v>184</v>
      </c>
      <c r="I374" t="s">
        <v>24</v>
      </c>
      <c r="J374" t="s">
        <v>139</v>
      </c>
      <c r="K374" t="s">
        <v>39</v>
      </c>
      <c r="L374" t="s">
        <v>40</v>
      </c>
      <c r="M374" t="s">
        <v>208</v>
      </c>
      <c r="N374" s="1">
        <v>45050</v>
      </c>
      <c r="O374" s="1">
        <v>45057</v>
      </c>
      <c r="P374" t="s">
        <v>29</v>
      </c>
      <c r="Q374">
        <f>+IF(OR(Datos[[#This Row],[Diagnostico]]="Inservible",Datos[[#This Row],[Estatus]]="Preventivo"),0,Datos[[#This Row],[Fecha_Final]]-Datos[[#This Row],[Día_Inicio]])</f>
        <v>0</v>
      </c>
      <c r="R374" s="2">
        <v>655</v>
      </c>
      <c r="S374" s="2">
        <v>481</v>
      </c>
      <c r="T374" t="s">
        <v>42</v>
      </c>
    </row>
    <row r="375" spans="1:20" x14ac:dyDescent="0.25">
      <c r="A375" t="s">
        <v>554</v>
      </c>
      <c r="B375" s="1">
        <v>45050</v>
      </c>
      <c r="C375" t="s">
        <v>539</v>
      </c>
      <c r="D375">
        <v>5</v>
      </c>
      <c r="E375" t="str">
        <f>+CONCATENATE("T",ROUNDUP(MONTH(Datos[[#This Row],[Fecha]])/3,0))</f>
        <v>T2</v>
      </c>
      <c r="F375" t="str">
        <f>+CONCATENATE("Sem"," ",ROUNDUP(MONTH(Datos[[#This Row],[Fecha]])/6,0))</f>
        <v>Sem 1</v>
      </c>
      <c r="G375" t="s">
        <v>132</v>
      </c>
      <c r="H375" t="s">
        <v>133</v>
      </c>
      <c r="I375" t="s">
        <v>24</v>
      </c>
      <c r="J375" t="s">
        <v>134</v>
      </c>
      <c r="K375" t="s">
        <v>57</v>
      </c>
      <c r="L375" t="s">
        <v>27</v>
      </c>
      <c r="M375">
        <v>0</v>
      </c>
      <c r="N375" s="1">
        <v>45050</v>
      </c>
      <c r="O375" s="1">
        <v>45061</v>
      </c>
      <c r="P375" t="s">
        <v>58</v>
      </c>
      <c r="Q375">
        <f>+IF(OR(Datos[[#This Row],[Diagnostico]]="Inservible",Datos[[#This Row],[Estatus]]="Preventivo"),0,Datos[[#This Row],[Fecha_Final]]-Datos[[#This Row],[Día_Inicio]])</f>
        <v>11</v>
      </c>
      <c r="R375" s="2">
        <v>757</v>
      </c>
      <c r="S375" s="2">
        <v>767</v>
      </c>
      <c r="T375" t="s">
        <v>91</v>
      </c>
    </row>
    <row r="376" spans="1:20" x14ac:dyDescent="0.25">
      <c r="A376" t="s">
        <v>555</v>
      </c>
      <c r="B376" s="1">
        <v>45050</v>
      </c>
      <c r="C376" t="s">
        <v>539</v>
      </c>
      <c r="D376">
        <v>5</v>
      </c>
      <c r="E376" t="str">
        <f>+CONCATENATE("T",ROUNDUP(MONTH(Datos[[#This Row],[Fecha]])/3,0))</f>
        <v>T2</v>
      </c>
      <c r="F376" t="str">
        <f>+CONCATENATE("Sem"," ",ROUNDUP(MONTH(Datos[[#This Row],[Fecha]])/6,0))</f>
        <v>Sem 1</v>
      </c>
      <c r="G376" t="s">
        <v>260</v>
      </c>
      <c r="H376" t="s">
        <v>261</v>
      </c>
      <c r="I376" t="s">
        <v>24</v>
      </c>
      <c r="J376" t="s">
        <v>33</v>
      </c>
      <c r="K376" t="s">
        <v>63</v>
      </c>
      <c r="L376" t="s">
        <v>27</v>
      </c>
      <c r="M376">
        <v>0</v>
      </c>
      <c r="N376" s="1">
        <v>45050</v>
      </c>
      <c r="O376" s="1">
        <v>45064</v>
      </c>
      <c r="P376" t="s">
        <v>28</v>
      </c>
      <c r="Q376">
        <f>+IF(OR(Datos[[#This Row],[Diagnostico]]="Inservible",Datos[[#This Row],[Estatus]]="Preventivo"),0,Datos[[#This Row],[Fecha_Final]]-Datos[[#This Row],[Día_Inicio]])</f>
        <v>0</v>
      </c>
      <c r="R376" s="2">
        <v>0</v>
      </c>
      <c r="S376" s="2">
        <v>0</v>
      </c>
      <c r="T376" t="s">
        <v>29</v>
      </c>
    </row>
    <row r="377" spans="1:20" x14ac:dyDescent="0.25">
      <c r="A377" t="s">
        <v>556</v>
      </c>
      <c r="B377" s="1">
        <v>45050</v>
      </c>
      <c r="C377" t="s">
        <v>539</v>
      </c>
      <c r="D377">
        <v>5</v>
      </c>
      <c r="E377" t="str">
        <f>+CONCATENATE("T",ROUNDUP(MONTH(Datos[[#This Row],[Fecha]])/3,0))</f>
        <v>T2</v>
      </c>
      <c r="F377" t="str">
        <f>+CONCATENATE("Sem"," ",ROUNDUP(MONTH(Datos[[#This Row],[Fecha]])/6,0))</f>
        <v>Sem 1</v>
      </c>
      <c r="G377" t="s">
        <v>169</v>
      </c>
      <c r="H377" t="s">
        <v>170</v>
      </c>
      <c r="I377" t="s">
        <v>68</v>
      </c>
      <c r="J377" t="s">
        <v>171</v>
      </c>
      <c r="K377" t="s">
        <v>70</v>
      </c>
      <c r="L377" t="s">
        <v>27</v>
      </c>
      <c r="M377">
        <v>0</v>
      </c>
      <c r="N377" s="1">
        <v>45050</v>
      </c>
      <c r="O377" s="1">
        <v>45053</v>
      </c>
      <c r="P377" t="s">
        <v>58</v>
      </c>
      <c r="Q377">
        <f>+IF(OR(Datos[[#This Row],[Diagnostico]]="Inservible",Datos[[#This Row],[Estatus]]="Preventivo"),0,Datos[[#This Row],[Fecha_Final]]-Datos[[#This Row],[Día_Inicio]])</f>
        <v>3</v>
      </c>
      <c r="R377" s="2">
        <v>436</v>
      </c>
      <c r="S377" s="2">
        <v>427</v>
      </c>
      <c r="T377" t="s">
        <v>42</v>
      </c>
    </row>
    <row r="378" spans="1:20" x14ac:dyDescent="0.25">
      <c r="A378" t="s">
        <v>557</v>
      </c>
      <c r="B378" s="1">
        <v>45050</v>
      </c>
      <c r="C378" t="s">
        <v>539</v>
      </c>
      <c r="D378">
        <v>5</v>
      </c>
      <c r="E378" t="str">
        <f>+CONCATENATE("T",ROUNDUP(MONTH(Datos[[#This Row],[Fecha]])/3,0))</f>
        <v>T2</v>
      </c>
      <c r="F378" t="str">
        <f>+CONCATENATE("Sem"," ",ROUNDUP(MONTH(Datos[[#This Row],[Fecha]])/6,0))</f>
        <v>Sem 1</v>
      </c>
      <c r="G378" t="s">
        <v>335</v>
      </c>
      <c r="H378" t="s">
        <v>336</v>
      </c>
      <c r="I378" t="s">
        <v>24</v>
      </c>
      <c r="J378" t="s">
        <v>118</v>
      </c>
      <c r="K378" t="s">
        <v>39</v>
      </c>
      <c r="L378" t="s">
        <v>40</v>
      </c>
      <c r="M378" t="s">
        <v>75</v>
      </c>
      <c r="N378" s="1">
        <v>45050</v>
      </c>
      <c r="O378" s="1">
        <v>45410</v>
      </c>
      <c r="P378" t="s">
        <v>29</v>
      </c>
      <c r="Q378">
        <f>+IF(OR(Datos[[#This Row],[Diagnostico]]="Inservible",Datos[[#This Row],[Estatus]]="Preventivo"),0,Datos[[#This Row],[Fecha_Final]]-Datos[[#This Row],[Día_Inicio]])</f>
        <v>0</v>
      </c>
      <c r="R378" s="2">
        <v>685</v>
      </c>
      <c r="S378" s="2">
        <v>257</v>
      </c>
      <c r="T378" t="s">
        <v>42</v>
      </c>
    </row>
    <row r="379" spans="1:20" x14ac:dyDescent="0.25">
      <c r="A379" t="s">
        <v>558</v>
      </c>
      <c r="B379" s="1">
        <v>45050</v>
      </c>
      <c r="C379" t="s">
        <v>539</v>
      </c>
      <c r="D379">
        <v>5</v>
      </c>
      <c r="E379" t="str">
        <f>+CONCATENATE("T",ROUNDUP(MONTH(Datos[[#This Row],[Fecha]])/3,0))</f>
        <v>T2</v>
      </c>
      <c r="F379" t="str">
        <f>+CONCATENATE("Sem"," ",ROUNDUP(MONTH(Datos[[#This Row],[Fecha]])/6,0))</f>
        <v>Sem 1</v>
      </c>
      <c r="G379" t="s">
        <v>125</v>
      </c>
      <c r="H379" t="s">
        <v>126</v>
      </c>
      <c r="I379" t="s">
        <v>24</v>
      </c>
      <c r="J379" t="s">
        <v>127</v>
      </c>
      <c r="K379" t="s">
        <v>80</v>
      </c>
      <c r="L379" t="s">
        <v>27</v>
      </c>
      <c r="M379">
        <v>0</v>
      </c>
      <c r="N379" s="1">
        <v>45050</v>
      </c>
      <c r="O379" s="1">
        <v>45065</v>
      </c>
      <c r="P379" t="s">
        <v>28</v>
      </c>
      <c r="Q379">
        <f>+IF(OR(Datos[[#This Row],[Diagnostico]]="Inservible",Datos[[#This Row],[Estatus]]="Preventivo"),0,Datos[[#This Row],[Fecha_Final]]-Datos[[#This Row],[Día_Inicio]])</f>
        <v>0</v>
      </c>
      <c r="R379" s="2">
        <v>0</v>
      </c>
      <c r="S379" s="2">
        <v>0</v>
      </c>
      <c r="T379" t="s">
        <v>29</v>
      </c>
    </row>
    <row r="380" spans="1:20" x14ac:dyDescent="0.25">
      <c r="A380" t="s">
        <v>559</v>
      </c>
      <c r="B380" s="1">
        <v>45051</v>
      </c>
      <c r="C380" t="s">
        <v>539</v>
      </c>
      <c r="D380">
        <v>5</v>
      </c>
      <c r="E380" t="str">
        <f>+CONCATENATE("T",ROUNDUP(MONTH(Datos[[#This Row],[Fecha]])/3,0))</f>
        <v>T2</v>
      </c>
      <c r="F380" t="str">
        <f>+CONCATENATE("Sem"," ",ROUNDUP(MONTH(Datos[[#This Row],[Fecha]])/6,0))</f>
        <v>Sem 1</v>
      </c>
      <c r="G380" t="s">
        <v>61</v>
      </c>
      <c r="H380" t="s">
        <v>62</v>
      </c>
      <c r="I380" t="s">
        <v>24</v>
      </c>
      <c r="J380" t="s">
        <v>46</v>
      </c>
      <c r="K380" t="s">
        <v>39</v>
      </c>
      <c r="L380" t="s">
        <v>40</v>
      </c>
      <c r="M380" t="s">
        <v>41</v>
      </c>
      <c r="N380" s="1">
        <v>45051</v>
      </c>
      <c r="O380" s="1">
        <v>45141</v>
      </c>
      <c r="P380" t="s">
        <v>29</v>
      </c>
      <c r="Q380">
        <f>+IF(OR(Datos[[#This Row],[Diagnostico]]="Inservible",Datos[[#This Row],[Estatus]]="Preventivo"),0,Datos[[#This Row],[Fecha_Final]]-Datos[[#This Row],[Día_Inicio]])</f>
        <v>0</v>
      </c>
      <c r="R380" s="2">
        <v>797</v>
      </c>
      <c r="S380" s="2">
        <v>871</v>
      </c>
      <c r="T380" t="s">
        <v>42</v>
      </c>
    </row>
    <row r="381" spans="1:20" x14ac:dyDescent="0.25">
      <c r="A381" t="s">
        <v>560</v>
      </c>
      <c r="B381" s="1">
        <v>45051</v>
      </c>
      <c r="C381" t="s">
        <v>539</v>
      </c>
      <c r="D381">
        <v>5</v>
      </c>
      <c r="E381" t="str">
        <f>+CONCATENATE("T",ROUNDUP(MONTH(Datos[[#This Row],[Fecha]])/3,0))</f>
        <v>T2</v>
      </c>
      <c r="F381" t="str">
        <f>+CONCATENATE("Sem"," ",ROUNDUP(MONTH(Datos[[#This Row],[Fecha]])/6,0))</f>
        <v>Sem 1</v>
      </c>
      <c r="G381" t="s">
        <v>257</v>
      </c>
      <c r="H381" t="s">
        <v>258</v>
      </c>
      <c r="I381" t="s">
        <v>24</v>
      </c>
      <c r="J381" t="s">
        <v>204</v>
      </c>
      <c r="K381" t="s">
        <v>90</v>
      </c>
      <c r="L381" t="s">
        <v>27</v>
      </c>
      <c r="M381">
        <v>0</v>
      </c>
      <c r="N381" s="1">
        <v>45051</v>
      </c>
      <c r="O381" s="1">
        <v>45068</v>
      </c>
      <c r="P381" t="s">
        <v>28</v>
      </c>
      <c r="Q381">
        <f>+IF(OR(Datos[[#This Row],[Diagnostico]]="Inservible",Datos[[#This Row],[Estatus]]="Preventivo"),0,Datos[[#This Row],[Fecha_Final]]-Datos[[#This Row],[Día_Inicio]])</f>
        <v>0</v>
      </c>
      <c r="R381" s="2">
        <v>0</v>
      </c>
      <c r="S381" s="2">
        <v>0</v>
      </c>
      <c r="T381" t="s">
        <v>29</v>
      </c>
    </row>
    <row r="382" spans="1:20" x14ac:dyDescent="0.25">
      <c r="A382" t="s">
        <v>561</v>
      </c>
      <c r="B382" s="1">
        <v>45051</v>
      </c>
      <c r="C382" t="s">
        <v>539</v>
      </c>
      <c r="D382">
        <v>5</v>
      </c>
      <c r="E382" t="str">
        <f>+CONCATENATE("T",ROUNDUP(MONTH(Datos[[#This Row],[Fecha]])/3,0))</f>
        <v>T2</v>
      </c>
      <c r="F382" t="str">
        <f>+CONCATENATE("Sem"," ",ROUNDUP(MONTH(Datos[[#This Row],[Fecha]])/6,0))</f>
        <v>Sem 1</v>
      </c>
      <c r="G382" t="s">
        <v>99</v>
      </c>
      <c r="H382" t="s">
        <v>100</v>
      </c>
      <c r="I382" t="s">
        <v>101</v>
      </c>
      <c r="J382" t="s">
        <v>102</v>
      </c>
      <c r="K382" t="s">
        <v>172</v>
      </c>
      <c r="L382" t="s">
        <v>27</v>
      </c>
      <c r="M382">
        <v>0</v>
      </c>
      <c r="N382" s="1">
        <v>45051</v>
      </c>
      <c r="O382" s="1">
        <v>45067</v>
      </c>
      <c r="P382" t="s">
        <v>28</v>
      </c>
      <c r="Q382">
        <f>+IF(OR(Datos[[#This Row],[Diagnostico]]="Inservible",Datos[[#This Row],[Estatus]]="Preventivo"),0,Datos[[#This Row],[Fecha_Final]]-Datos[[#This Row],[Día_Inicio]])</f>
        <v>0</v>
      </c>
      <c r="R382" s="2">
        <v>0</v>
      </c>
      <c r="S382" s="2">
        <v>0</v>
      </c>
      <c r="T382" t="s">
        <v>29</v>
      </c>
    </row>
    <row r="383" spans="1:20" x14ac:dyDescent="0.25">
      <c r="A383" t="s">
        <v>562</v>
      </c>
      <c r="B383" s="1">
        <v>45052</v>
      </c>
      <c r="C383" t="s">
        <v>539</v>
      </c>
      <c r="D383">
        <v>5</v>
      </c>
      <c r="E383" t="str">
        <f>+CONCATENATE("T",ROUNDUP(MONTH(Datos[[#This Row],[Fecha]])/3,0))</f>
        <v>T2</v>
      </c>
      <c r="F383" t="str">
        <f>+CONCATENATE("Sem"," ",ROUNDUP(MONTH(Datos[[#This Row],[Fecha]])/6,0))</f>
        <v>Sem 1</v>
      </c>
      <c r="G383" t="s">
        <v>206</v>
      </c>
      <c r="H383" t="s">
        <v>207</v>
      </c>
      <c r="I383" t="s">
        <v>24</v>
      </c>
      <c r="J383" t="s">
        <v>160</v>
      </c>
      <c r="K383" t="s">
        <v>97</v>
      </c>
      <c r="L383" t="s">
        <v>27</v>
      </c>
      <c r="M383">
        <v>0</v>
      </c>
      <c r="N383" s="1">
        <v>45052</v>
      </c>
      <c r="O383" s="1">
        <v>45061</v>
      </c>
      <c r="P383" t="s">
        <v>28</v>
      </c>
      <c r="Q383">
        <f>+IF(OR(Datos[[#This Row],[Diagnostico]]="Inservible",Datos[[#This Row],[Estatus]]="Preventivo"),0,Datos[[#This Row],[Fecha_Final]]-Datos[[#This Row],[Día_Inicio]])</f>
        <v>0</v>
      </c>
      <c r="R383" s="2">
        <v>0</v>
      </c>
      <c r="S383" s="2">
        <v>0</v>
      </c>
      <c r="T383" t="s">
        <v>29</v>
      </c>
    </row>
    <row r="384" spans="1:20" x14ac:dyDescent="0.25">
      <c r="A384" t="s">
        <v>563</v>
      </c>
      <c r="B384" s="1">
        <v>45052</v>
      </c>
      <c r="C384" t="s">
        <v>539</v>
      </c>
      <c r="D384">
        <v>5</v>
      </c>
      <c r="E384" t="str">
        <f>+CONCATENATE("T",ROUNDUP(MONTH(Datos[[#This Row],[Fecha]])/3,0))</f>
        <v>T2</v>
      </c>
      <c r="F384" t="str">
        <f>+CONCATENATE("Sem"," ",ROUNDUP(MONTH(Datos[[#This Row],[Fecha]])/6,0))</f>
        <v>Sem 1</v>
      </c>
      <c r="G384" t="s">
        <v>72</v>
      </c>
      <c r="H384" t="s">
        <v>73</v>
      </c>
      <c r="I384" t="s">
        <v>24</v>
      </c>
      <c r="J384" t="s">
        <v>74</v>
      </c>
      <c r="K384" t="s">
        <v>178</v>
      </c>
      <c r="L384" t="s">
        <v>27</v>
      </c>
      <c r="M384">
        <v>0</v>
      </c>
      <c r="N384" s="1">
        <v>45052</v>
      </c>
      <c r="O384" s="1">
        <v>45079</v>
      </c>
      <c r="P384" t="s">
        <v>28</v>
      </c>
      <c r="Q384">
        <f>+IF(OR(Datos[[#This Row],[Diagnostico]]="Inservible",Datos[[#This Row],[Estatus]]="Preventivo"),0,Datos[[#This Row],[Fecha_Final]]-Datos[[#This Row],[Día_Inicio]])</f>
        <v>0</v>
      </c>
      <c r="R384" s="2">
        <v>0</v>
      </c>
      <c r="S384" s="2">
        <v>0</v>
      </c>
      <c r="T384" t="s">
        <v>29</v>
      </c>
    </row>
    <row r="385" spans="1:20" x14ac:dyDescent="0.25">
      <c r="A385" t="s">
        <v>564</v>
      </c>
      <c r="B385" s="1">
        <v>45053</v>
      </c>
      <c r="C385" t="s">
        <v>539</v>
      </c>
      <c r="D385">
        <v>5</v>
      </c>
      <c r="E385" t="str">
        <f>+CONCATENATE("T",ROUNDUP(MONTH(Datos[[#This Row],[Fecha]])/3,0))</f>
        <v>T2</v>
      </c>
      <c r="F385" t="str">
        <f>+CONCATENATE("Sem"," ",ROUNDUP(MONTH(Datos[[#This Row],[Fecha]])/6,0))</f>
        <v>Sem 1</v>
      </c>
      <c r="G385" t="s">
        <v>31</v>
      </c>
      <c r="H385" t="s">
        <v>32</v>
      </c>
      <c r="I385" t="s">
        <v>24</v>
      </c>
      <c r="J385" t="s">
        <v>33</v>
      </c>
      <c r="K385" t="s">
        <v>108</v>
      </c>
      <c r="L385" t="s">
        <v>27</v>
      </c>
      <c r="M385">
        <v>0</v>
      </c>
      <c r="N385" s="1">
        <v>45053</v>
      </c>
      <c r="O385" s="1">
        <v>45071</v>
      </c>
      <c r="P385" t="s">
        <v>28</v>
      </c>
      <c r="Q385">
        <f>+IF(OR(Datos[[#This Row],[Diagnostico]]="Inservible",Datos[[#This Row],[Estatus]]="Preventivo"),0,Datos[[#This Row],[Fecha_Final]]-Datos[[#This Row],[Día_Inicio]])</f>
        <v>0</v>
      </c>
      <c r="R385" s="2">
        <v>0</v>
      </c>
      <c r="S385" s="2">
        <v>0</v>
      </c>
      <c r="T385" t="s">
        <v>29</v>
      </c>
    </row>
    <row r="386" spans="1:20" x14ac:dyDescent="0.25">
      <c r="A386" t="s">
        <v>565</v>
      </c>
      <c r="B386" s="1">
        <v>45053</v>
      </c>
      <c r="C386" t="s">
        <v>539</v>
      </c>
      <c r="D386">
        <v>5</v>
      </c>
      <c r="E386" t="str">
        <f>+CONCATENATE("T",ROUNDUP(MONTH(Datos[[#This Row],[Fecha]])/3,0))</f>
        <v>T2</v>
      </c>
      <c r="F386" t="str">
        <f>+CONCATENATE("Sem"," ",ROUNDUP(MONTH(Datos[[#This Row],[Fecha]])/6,0))</f>
        <v>Sem 1</v>
      </c>
      <c r="G386" t="s">
        <v>112</v>
      </c>
      <c r="H386" t="s">
        <v>113</v>
      </c>
      <c r="I386" t="s">
        <v>24</v>
      </c>
      <c r="J386" t="s">
        <v>79</v>
      </c>
      <c r="K386" t="s">
        <v>39</v>
      </c>
      <c r="L386" t="s">
        <v>40</v>
      </c>
      <c r="M386" t="s">
        <v>188</v>
      </c>
      <c r="N386" s="1">
        <v>45053</v>
      </c>
      <c r="O386" s="1">
        <v>45233</v>
      </c>
      <c r="P386" t="s">
        <v>29</v>
      </c>
      <c r="Q386">
        <f>+IF(OR(Datos[[#This Row],[Diagnostico]]="Inservible",Datos[[#This Row],[Estatus]]="Preventivo"),0,Datos[[#This Row],[Fecha_Final]]-Datos[[#This Row],[Día_Inicio]])</f>
        <v>0</v>
      </c>
      <c r="R386" s="2">
        <v>360</v>
      </c>
      <c r="S386" s="2">
        <v>615</v>
      </c>
      <c r="T386" t="s">
        <v>42</v>
      </c>
    </row>
    <row r="387" spans="1:20" x14ac:dyDescent="0.25">
      <c r="A387" t="s">
        <v>566</v>
      </c>
      <c r="B387" s="1">
        <v>45053</v>
      </c>
      <c r="C387" t="s">
        <v>539</v>
      </c>
      <c r="D387">
        <v>5</v>
      </c>
      <c r="E387" t="str">
        <f>+CONCATENATE("T",ROUNDUP(MONTH(Datos[[#This Row],[Fecha]])/3,0))</f>
        <v>T2</v>
      </c>
      <c r="F387" t="str">
        <f>+CONCATENATE("Sem"," ",ROUNDUP(MONTH(Datos[[#This Row],[Fecha]])/6,0))</f>
        <v>Sem 1</v>
      </c>
      <c r="G387" t="s">
        <v>286</v>
      </c>
      <c r="H387" t="s">
        <v>287</v>
      </c>
      <c r="I387" t="s">
        <v>24</v>
      </c>
      <c r="J387" t="s">
        <v>38</v>
      </c>
      <c r="K387" t="s">
        <v>114</v>
      </c>
      <c r="L387" t="s">
        <v>27</v>
      </c>
      <c r="M387">
        <v>0</v>
      </c>
      <c r="N387" s="1">
        <v>45053</v>
      </c>
      <c r="O387" s="1">
        <v>45079</v>
      </c>
      <c r="P387" t="s">
        <v>58</v>
      </c>
      <c r="Q387">
        <f>+IF(OR(Datos[[#This Row],[Diagnostico]]="Inservible",Datos[[#This Row],[Estatus]]="Preventivo"),0,Datos[[#This Row],[Fecha_Final]]-Datos[[#This Row],[Día_Inicio]])</f>
        <v>26</v>
      </c>
      <c r="R387" s="2">
        <v>321</v>
      </c>
      <c r="S387" s="2">
        <v>293</v>
      </c>
      <c r="T387" t="s">
        <v>59</v>
      </c>
    </row>
    <row r="388" spans="1:20" x14ac:dyDescent="0.25">
      <c r="A388" t="s">
        <v>567</v>
      </c>
      <c r="B388" s="1">
        <v>45053</v>
      </c>
      <c r="C388" t="s">
        <v>539</v>
      </c>
      <c r="D388">
        <v>5</v>
      </c>
      <c r="E388" t="str">
        <f>+CONCATENATE("T",ROUNDUP(MONTH(Datos[[#This Row],[Fecha]])/3,0))</f>
        <v>T2</v>
      </c>
      <c r="F388" t="str">
        <f>+CONCATENATE("Sem"," ",ROUNDUP(MONTH(Datos[[#This Row],[Fecha]])/6,0))</f>
        <v>Sem 1</v>
      </c>
      <c r="G388" t="s">
        <v>66</v>
      </c>
      <c r="H388" t="s">
        <v>67</v>
      </c>
      <c r="I388" t="s">
        <v>68</v>
      </c>
      <c r="J388" t="s">
        <v>69</v>
      </c>
      <c r="K388" t="s">
        <v>119</v>
      </c>
      <c r="L388" t="s">
        <v>27</v>
      </c>
      <c r="M388">
        <v>0</v>
      </c>
      <c r="N388" s="1">
        <v>45053</v>
      </c>
      <c r="O388" s="1">
        <v>45056</v>
      </c>
      <c r="P388" t="s">
        <v>28</v>
      </c>
      <c r="Q388">
        <f>+IF(OR(Datos[[#This Row],[Diagnostico]]="Inservible",Datos[[#This Row],[Estatus]]="Preventivo"),0,Datos[[#This Row],[Fecha_Final]]-Datos[[#This Row],[Día_Inicio]])</f>
        <v>0</v>
      </c>
      <c r="R388" s="2">
        <v>0</v>
      </c>
      <c r="S388" s="2">
        <v>0</v>
      </c>
      <c r="T388" t="s">
        <v>29</v>
      </c>
    </row>
    <row r="389" spans="1:20" x14ac:dyDescent="0.25">
      <c r="A389" t="s">
        <v>568</v>
      </c>
      <c r="B389" s="1">
        <v>45054</v>
      </c>
      <c r="C389" t="s">
        <v>539</v>
      </c>
      <c r="D389">
        <v>5</v>
      </c>
      <c r="E389" t="str">
        <f>+CONCATENATE("T",ROUNDUP(MONTH(Datos[[#This Row],[Fecha]])/3,0))</f>
        <v>T2</v>
      </c>
      <c r="F389" t="str">
        <f>+CONCATENATE("Sem"," ",ROUNDUP(MONTH(Datos[[#This Row],[Fecha]])/6,0))</f>
        <v>Sem 1</v>
      </c>
      <c r="G389" t="s">
        <v>169</v>
      </c>
      <c r="H389" t="s">
        <v>170</v>
      </c>
      <c r="I389" t="s">
        <v>68</v>
      </c>
      <c r="J389" t="s">
        <v>171</v>
      </c>
      <c r="K389" t="s">
        <v>123</v>
      </c>
      <c r="L389" t="s">
        <v>27</v>
      </c>
      <c r="M389">
        <v>0</v>
      </c>
      <c r="N389" s="1">
        <v>45054</v>
      </c>
      <c r="O389" s="1">
        <v>45057</v>
      </c>
      <c r="P389" t="s">
        <v>58</v>
      </c>
      <c r="Q389">
        <f>+IF(OR(Datos[[#This Row],[Diagnostico]]="Inservible",Datos[[#This Row],[Estatus]]="Preventivo"),0,Datos[[#This Row],[Fecha_Final]]-Datos[[#This Row],[Día_Inicio]])</f>
        <v>3</v>
      </c>
      <c r="R389" s="2">
        <v>293</v>
      </c>
      <c r="S389" s="2">
        <v>127</v>
      </c>
      <c r="T389" t="s">
        <v>64</v>
      </c>
    </row>
    <row r="390" spans="1:20" x14ac:dyDescent="0.25">
      <c r="A390" t="s">
        <v>569</v>
      </c>
      <c r="B390" s="1">
        <v>45055</v>
      </c>
      <c r="C390" t="s">
        <v>539</v>
      </c>
      <c r="D390">
        <v>5</v>
      </c>
      <c r="E390" t="str">
        <f>+CONCATENATE("T",ROUNDUP(MONTH(Datos[[#This Row],[Fecha]])/3,0))</f>
        <v>T2</v>
      </c>
      <c r="F390" t="str">
        <f>+CONCATENATE("Sem"," ",ROUNDUP(MONTH(Datos[[#This Row],[Fecha]])/6,0))</f>
        <v>Sem 1</v>
      </c>
      <c r="G390" t="s">
        <v>77</v>
      </c>
      <c r="H390" t="s">
        <v>78</v>
      </c>
      <c r="I390" t="s">
        <v>24</v>
      </c>
      <c r="J390" t="s">
        <v>79</v>
      </c>
      <c r="K390" t="s">
        <v>39</v>
      </c>
      <c r="L390" t="s">
        <v>40</v>
      </c>
      <c r="M390" t="s">
        <v>41</v>
      </c>
      <c r="N390" s="1">
        <v>45055</v>
      </c>
      <c r="O390" s="1">
        <v>45145</v>
      </c>
      <c r="P390" t="s">
        <v>29</v>
      </c>
      <c r="Q390">
        <f>+IF(OR(Datos[[#This Row],[Diagnostico]]="Inservible",Datos[[#This Row],[Estatus]]="Preventivo"),0,Datos[[#This Row],[Fecha_Final]]-Datos[[#This Row],[Día_Inicio]])</f>
        <v>0</v>
      </c>
      <c r="R390" s="2">
        <v>659</v>
      </c>
      <c r="S390" s="2">
        <v>603</v>
      </c>
      <c r="T390" t="s">
        <v>42</v>
      </c>
    </row>
    <row r="391" spans="1:20" x14ac:dyDescent="0.25">
      <c r="A391" t="s">
        <v>570</v>
      </c>
      <c r="B391" s="1">
        <v>45055</v>
      </c>
      <c r="C391" t="s">
        <v>539</v>
      </c>
      <c r="D391">
        <v>5</v>
      </c>
      <c r="E391" t="str">
        <f>+CONCATENATE("T",ROUNDUP(MONTH(Datos[[#This Row],[Fecha]])/3,0))</f>
        <v>T2</v>
      </c>
      <c r="F391" t="str">
        <f>+CONCATENATE("Sem"," ",ROUNDUP(MONTH(Datos[[#This Row],[Fecha]])/6,0))</f>
        <v>Sem 1</v>
      </c>
      <c r="G391" t="s">
        <v>149</v>
      </c>
      <c r="H391" t="s">
        <v>150</v>
      </c>
      <c r="I391" t="s">
        <v>68</v>
      </c>
      <c r="J391" t="s">
        <v>151</v>
      </c>
      <c r="K391" t="s">
        <v>130</v>
      </c>
      <c r="L391" t="s">
        <v>27</v>
      </c>
      <c r="M391">
        <v>0</v>
      </c>
      <c r="N391" s="1">
        <v>45055</v>
      </c>
      <c r="O391" s="1">
        <v>45073</v>
      </c>
      <c r="P391" t="s">
        <v>28</v>
      </c>
      <c r="Q391">
        <f>+IF(OR(Datos[[#This Row],[Diagnostico]]="Inservible",Datos[[#This Row],[Estatus]]="Preventivo"),0,Datos[[#This Row],[Fecha_Final]]-Datos[[#This Row],[Día_Inicio]])</f>
        <v>0</v>
      </c>
      <c r="R391" s="2">
        <v>0</v>
      </c>
      <c r="S391" s="2">
        <v>0</v>
      </c>
      <c r="T391" t="s">
        <v>29</v>
      </c>
    </row>
    <row r="392" spans="1:20" x14ac:dyDescent="0.25">
      <c r="A392" t="s">
        <v>571</v>
      </c>
      <c r="B392" s="1">
        <v>45056</v>
      </c>
      <c r="C392" t="s">
        <v>539</v>
      </c>
      <c r="D392">
        <v>5</v>
      </c>
      <c r="E392" t="str">
        <f>+CONCATENATE("T",ROUNDUP(MONTH(Datos[[#This Row],[Fecha]])/3,0))</f>
        <v>T2</v>
      </c>
      <c r="F392" t="str">
        <f>+CONCATENATE("Sem"," ",ROUNDUP(MONTH(Datos[[#This Row],[Fecha]])/6,0))</f>
        <v>Sem 1</v>
      </c>
      <c r="G392" t="s">
        <v>44</v>
      </c>
      <c r="H392" t="s">
        <v>45</v>
      </c>
      <c r="I392" t="s">
        <v>24</v>
      </c>
      <c r="J392" t="s">
        <v>46</v>
      </c>
      <c r="K392" t="s">
        <v>39</v>
      </c>
      <c r="L392" t="s">
        <v>40</v>
      </c>
      <c r="M392" t="s">
        <v>41</v>
      </c>
      <c r="N392" s="1">
        <v>45056</v>
      </c>
      <c r="O392" s="1">
        <v>45146</v>
      </c>
      <c r="P392" t="s">
        <v>29</v>
      </c>
      <c r="Q392">
        <f>+IF(OR(Datos[[#This Row],[Diagnostico]]="Inservible",Datos[[#This Row],[Estatus]]="Preventivo"),0,Datos[[#This Row],[Fecha_Final]]-Datos[[#This Row],[Día_Inicio]])</f>
        <v>0</v>
      </c>
      <c r="R392" s="2">
        <v>735</v>
      </c>
      <c r="S392" s="2">
        <v>970</v>
      </c>
      <c r="T392" t="s">
        <v>42</v>
      </c>
    </row>
    <row r="393" spans="1:20" x14ac:dyDescent="0.25">
      <c r="A393" t="s">
        <v>572</v>
      </c>
      <c r="B393" s="1">
        <v>45056</v>
      </c>
      <c r="C393" t="s">
        <v>539</v>
      </c>
      <c r="D393">
        <v>5</v>
      </c>
      <c r="E393" t="str">
        <f>+CONCATENATE("T",ROUNDUP(MONTH(Datos[[#This Row],[Fecha]])/3,0))</f>
        <v>T2</v>
      </c>
      <c r="F393" t="str">
        <f>+CONCATENATE("Sem"," ",ROUNDUP(MONTH(Datos[[#This Row],[Fecha]])/6,0))</f>
        <v>Sem 1</v>
      </c>
      <c r="G393" t="s">
        <v>125</v>
      </c>
      <c r="H393" t="s">
        <v>126</v>
      </c>
      <c r="I393" t="s">
        <v>24</v>
      </c>
      <c r="J393" t="s">
        <v>127</v>
      </c>
      <c r="K393" t="s">
        <v>26</v>
      </c>
      <c r="L393" t="s">
        <v>27</v>
      </c>
      <c r="M393">
        <v>0</v>
      </c>
      <c r="N393" s="1">
        <v>45056</v>
      </c>
      <c r="O393" s="1">
        <v>45083</v>
      </c>
      <c r="P393" t="s">
        <v>28</v>
      </c>
      <c r="Q393">
        <f>+IF(OR(Datos[[#This Row],[Diagnostico]]="Inservible",Datos[[#This Row],[Estatus]]="Preventivo"),0,Datos[[#This Row],[Fecha_Final]]-Datos[[#This Row],[Día_Inicio]])</f>
        <v>0</v>
      </c>
      <c r="R393" s="2">
        <v>0</v>
      </c>
      <c r="S393" s="2">
        <v>0</v>
      </c>
      <c r="T393" t="s">
        <v>29</v>
      </c>
    </row>
    <row r="394" spans="1:20" x14ac:dyDescent="0.25">
      <c r="A394" t="s">
        <v>573</v>
      </c>
      <c r="B394" s="1">
        <v>45057</v>
      </c>
      <c r="C394" t="s">
        <v>539</v>
      </c>
      <c r="D394">
        <v>5</v>
      </c>
      <c r="E394" t="str">
        <f>+CONCATENATE("T",ROUNDUP(MONTH(Datos[[#This Row],[Fecha]])/3,0))</f>
        <v>T2</v>
      </c>
      <c r="F394" t="str">
        <f>+CONCATENATE("Sem"," ",ROUNDUP(MONTH(Datos[[#This Row],[Fecha]])/6,0))</f>
        <v>Sem 1</v>
      </c>
      <c r="G394" t="s">
        <v>49</v>
      </c>
      <c r="H394" t="s">
        <v>23</v>
      </c>
      <c r="I394" t="s">
        <v>24</v>
      </c>
      <c r="J394" t="s">
        <v>50</v>
      </c>
      <c r="K394" t="s">
        <v>39</v>
      </c>
      <c r="L394" t="s">
        <v>40</v>
      </c>
      <c r="M394" t="s">
        <v>41</v>
      </c>
      <c r="N394" s="1">
        <v>45057</v>
      </c>
      <c r="O394" s="1">
        <v>45147</v>
      </c>
      <c r="P394" t="s">
        <v>29</v>
      </c>
      <c r="Q394">
        <f>+IF(OR(Datos[[#This Row],[Diagnostico]]="Inservible",Datos[[#This Row],[Estatus]]="Preventivo"),0,Datos[[#This Row],[Fecha_Final]]-Datos[[#This Row],[Día_Inicio]])</f>
        <v>0</v>
      </c>
      <c r="R394" s="2">
        <v>829</v>
      </c>
      <c r="S394" s="2">
        <v>580</v>
      </c>
      <c r="T394" t="s">
        <v>42</v>
      </c>
    </row>
    <row r="395" spans="1:20" x14ac:dyDescent="0.25">
      <c r="A395" t="s">
        <v>574</v>
      </c>
      <c r="B395" s="1">
        <v>45057</v>
      </c>
      <c r="C395" t="s">
        <v>539</v>
      </c>
      <c r="D395">
        <v>5</v>
      </c>
      <c r="E395" t="str">
        <f>+CONCATENATE("T",ROUNDUP(MONTH(Datos[[#This Row],[Fecha]])/3,0))</f>
        <v>T2</v>
      </c>
      <c r="F395" t="str">
        <f>+CONCATENATE("Sem"," ",ROUNDUP(MONTH(Datos[[#This Row],[Fecha]])/6,0))</f>
        <v>Sem 1</v>
      </c>
      <c r="G395" t="s">
        <v>112</v>
      </c>
      <c r="H395" t="s">
        <v>113</v>
      </c>
      <c r="I395" t="s">
        <v>24</v>
      </c>
      <c r="J395" t="s">
        <v>79</v>
      </c>
      <c r="K395" t="s">
        <v>39</v>
      </c>
      <c r="L395" t="s">
        <v>27</v>
      </c>
      <c r="M395">
        <v>0</v>
      </c>
      <c r="N395" s="1">
        <v>45057</v>
      </c>
      <c r="O395" s="1">
        <v>45060</v>
      </c>
      <c r="P395" t="s">
        <v>58</v>
      </c>
      <c r="Q395">
        <f>+IF(OR(Datos[[#This Row],[Diagnostico]]="Inservible",Datos[[#This Row],[Estatus]]="Preventivo"),0,Datos[[#This Row],[Fecha_Final]]-Datos[[#This Row],[Día_Inicio]])</f>
        <v>3</v>
      </c>
      <c r="R395" s="2">
        <v>1093</v>
      </c>
      <c r="S395" s="2">
        <v>563</v>
      </c>
      <c r="T395" t="s">
        <v>91</v>
      </c>
    </row>
    <row r="396" spans="1:20" x14ac:dyDescent="0.25">
      <c r="A396" t="s">
        <v>575</v>
      </c>
      <c r="B396" s="1">
        <v>45057</v>
      </c>
      <c r="C396" t="s">
        <v>539</v>
      </c>
      <c r="D396">
        <v>5</v>
      </c>
      <c r="E396" t="str">
        <f>+CONCATENATE("T",ROUNDUP(MONTH(Datos[[#This Row],[Fecha]])/3,0))</f>
        <v>T2</v>
      </c>
      <c r="F396" t="str">
        <f>+CONCATENATE("Sem"," ",ROUNDUP(MONTH(Datos[[#This Row],[Fecha]])/6,0))</f>
        <v>Sem 1</v>
      </c>
      <c r="G396" t="s">
        <v>175</v>
      </c>
      <c r="H396" t="s">
        <v>176</v>
      </c>
      <c r="I396" t="s">
        <v>24</v>
      </c>
      <c r="J396" t="s">
        <v>177</v>
      </c>
      <c r="K396" t="s">
        <v>39</v>
      </c>
      <c r="L396" t="s">
        <v>40</v>
      </c>
      <c r="M396" t="s">
        <v>196</v>
      </c>
      <c r="N396" s="1">
        <v>45057</v>
      </c>
      <c r="O396" s="1">
        <v>45087</v>
      </c>
      <c r="P396" t="s">
        <v>29</v>
      </c>
      <c r="Q396">
        <f>+IF(OR(Datos[[#This Row],[Diagnostico]]="Inservible",Datos[[#This Row],[Estatus]]="Preventivo"),0,Datos[[#This Row],[Fecha_Final]]-Datos[[#This Row],[Día_Inicio]])</f>
        <v>0</v>
      </c>
      <c r="R396" s="2">
        <v>322</v>
      </c>
      <c r="S396" s="2">
        <v>934</v>
      </c>
      <c r="T396" t="s">
        <v>42</v>
      </c>
    </row>
    <row r="397" spans="1:20" x14ac:dyDescent="0.25">
      <c r="A397" t="s">
        <v>576</v>
      </c>
      <c r="B397" s="1">
        <v>45058</v>
      </c>
      <c r="C397" t="s">
        <v>539</v>
      </c>
      <c r="D397">
        <v>5</v>
      </c>
      <c r="E397" t="str">
        <f>+CONCATENATE("T",ROUNDUP(MONTH(Datos[[#This Row],[Fecha]])/3,0))</f>
        <v>T2</v>
      </c>
      <c r="F397" t="str">
        <f>+CONCATENATE("Sem"," ",ROUNDUP(MONTH(Datos[[#This Row],[Fecha]])/6,0))</f>
        <v>Sem 1</v>
      </c>
      <c r="G397" t="s">
        <v>49</v>
      </c>
      <c r="H397" t="s">
        <v>23</v>
      </c>
      <c r="I397" t="s">
        <v>24</v>
      </c>
      <c r="J397" t="s">
        <v>50</v>
      </c>
      <c r="K397" t="s">
        <v>147</v>
      </c>
      <c r="L397" t="s">
        <v>27</v>
      </c>
      <c r="M397">
        <v>0</v>
      </c>
      <c r="N397" s="1">
        <v>45058</v>
      </c>
      <c r="O397" s="1">
        <v>45080</v>
      </c>
      <c r="P397" t="s">
        <v>28</v>
      </c>
      <c r="Q397">
        <f>+IF(OR(Datos[[#This Row],[Diagnostico]]="Inservible",Datos[[#This Row],[Estatus]]="Preventivo"),0,Datos[[#This Row],[Fecha_Final]]-Datos[[#This Row],[Día_Inicio]])</f>
        <v>0</v>
      </c>
      <c r="R397" s="2">
        <v>0</v>
      </c>
      <c r="S397" s="2">
        <v>0</v>
      </c>
      <c r="T397" t="s">
        <v>29</v>
      </c>
    </row>
    <row r="398" spans="1:20" x14ac:dyDescent="0.25">
      <c r="A398" t="s">
        <v>577</v>
      </c>
      <c r="B398" s="1">
        <v>45058</v>
      </c>
      <c r="C398" t="s">
        <v>539</v>
      </c>
      <c r="D398">
        <v>5</v>
      </c>
      <c r="E398" t="str">
        <f>+CONCATENATE("T",ROUNDUP(MONTH(Datos[[#This Row],[Fecha]])/3,0))</f>
        <v>T2</v>
      </c>
      <c r="F398" t="str">
        <f>+CONCATENATE("Sem"," ",ROUNDUP(MONTH(Datos[[#This Row],[Fecha]])/6,0))</f>
        <v>Sem 1</v>
      </c>
      <c r="G398" t="s">
        <v>215</v>
      </c>
      <c r="H398" t="s">
        <v>216</v>
      </c>
      <c r="I398" t="s">
        <v>24</v>
      </c>
      <c r="J398" t="s">
        <v>50</v>
      </c>
      <c r="K398" t="s">
        <v>39</v>
      </c>
      <c r="L398" t="s">
        <v>40</v>
      </c>
      <c r="M398" t="s">
        <v>208</v>
      </c>
      <c r="N398" s="1">
        <v>45058</v>
      </c>
      <c r="O398" s="1">
        <v>45065</v>
      </c>
      <c r="P398" t="s">
        <v>29</v>
      </c>
      <c r="Q398">
        <f>+IF(OR(Datos[[#This Row],[Diagnostico]]="Inservible",Datos[[#This Row],[Estatus]]="Preventivo"),0,Datos[[#This Row],[Fecha_Final]]-Datos[[#This Row],[Día_Inicio]])</f>
        <v>0</v>
      </c>
      <c r="R398" s="2">
        <v>1175</v>
      </c>
      <c r="S398" s="2">
        <v>483</v>
      </c>
      <c r="T398" t="s">
        <v>42</v>
      </c>
    </row>
    <row r="399" spans="1:20" x14ac:dyDescent="0.25">
      <c r="A399" t="s">
        <v>578</v>
      </c>
      <c r="B399" s="1">
        <v>45058</v>
      </c>
      <c r="C399" t="s">
        <v>539</v>
      </c>
      <c r="D399">
        <v>5</v>
      </c>
      <c r="E399" t="str">
        <f>+CONCATENATE("T",ROUNDUP(MONTH(Datos[[#This Row],[Fecha]])/3,0))</f>
        <v>T2</v>
      </c>
      <c r="F399" t="str">
        <f>+CONCATENATE("Sem"," ",ROUNDUP(MONTH(Datos[[#This Row],[Fecha]])/6,0))</f>
        <v>Sem 1</v>
      </c>
      <c r="G399" t="s">
        <v>237</v>
      </c>
      <c r="H399" t="s">
        <v>238</v>
      </c>
      <c r="I399" t="s">
        <v>24</v>
      </c>
      <c r="J399" t="s">
        <v>177</v>
      </c>
      <c r="K399" t="s">
        <v>63</v>
      </c>
      <c r="L399" t="s">
        <v>27</v>
      </c>
      <c r="M399">
        <v>0</v>
      </c>
      <c r="N399" s="1">
        <v>45058</v>
      </c>
      <c r="O399" s="1">
        <v>45077</v>
      </c>
      <c r="P399" t="s">
        <v>28</v>
      </c>
      <c r="Q399">
        <f>+IF(OR(Datos[[#This Row],[Diagnostico]]="Inservible",Datos[[#This Row],[Estatus]]="Preventivo"),0,Datos[[#This Row],[Fecha_Final]]-Datos[[#This Row],[Día_Inicio]])</f>
        <v>0</v>
      </c>
      <c r="R399" s="2">
        <v>0</v>
      </c>
      <c r="S399" s="2">
        <v>0</v>
      </c>
      <c r="T399" t="s">
        <v>29</v>
      </c>
    </row>
    <row r="400" spans="1:20" x14ac:dyDescent="0.25">
      <c r="A400" t="s">
        <v>579</v>
      </c>
      <c r="B400" s="1">
        <v>45058</v>
      </c>
      <c r="C400" t="s">
        <v>539</v>
      </c>
      <c r="D400">
        <v>5</v>
      </c>
      <c r="E400" t="str">
        <f>+CONCATENATE("T",ROUNDUP(MONTH(Datos[[#This Row],[Fecha]])/3,0))</f>
        <v>T2</v>
      </c>
      <c r="F400" t="str">
        <f>+CONCATENATE("Sem"," ",ROUNDUP(MONTH(Datos[[#This Row],[Fecha]])/6,0))</f>
        <v>Sem 1</v>
      </c>
      <c r="G400" t="s">
        <v>225</v>
      </c>
      <c r="H400" t="s">
        <v>226</v>
      </c>
      <c r="I400" t="s">
        <v>227</v>
      </c>
      <c r="J400" t="s">
        <v>89</v>
      </c>
      <c r="K400" t="s">
        <v>39</v>
      </c>
      <c r="L400" t="s">
        <v>40</v>
      </c>
      <c r="M400" t="s">
        <v>75</v>
      </c>
      <c r="N400" s="1">
        <v>45058</v>
      </c>
      <c r="O400" s="1">
        <v>45418</v>
      </c>
      <c r="P400" t="s">
        <v>29</v>
      </c>
      <c r="Q400">
        <f>+IF(OR(Datos[[#This Row],[Diagnostico]]="Inservible",Datos[[#This Row],[Estatus]]="Preventivo"),0,Datos[[#This Row],[Fecha_Final]]-Datos[[#This Row],[Día_Inicio]])</f>
        <v>0</v>
      </c>
      <c r="R400" s="2">
        <v>903</v>
      </c>
      <c r="S400" s="2">
        <v>418</v>
      </c>
      <c r="T400" t="s">
        <v>42</v>
      </c>
    </row>
    <row r="401" spans="1:20" x14ac:dyDescent="0.25">
      <c r="A401" t="s">
        <v>580</v>
      </c>
      <c r="B401" s="1">
        <v>45058</v>
      </c>
      <c r="C401" t="s">
        <v>539</v>
      </c>
      <c r="D401">
        <v>5</v>
      </c>
      <c r="E401" t="str">
        <f>+CONCATENATE("T",ROUNDUP(MONTH(Datos[[#This Row],[Fecha]])/3,0))</f>
        <v>T2</v>
      </c>
      <c r="F401" t="str">
        <f>+CONCATENATE("Sem"," ",ROUNDUP(MONTH(Datos[[#This Row],[Fecha]])/6,0))</f>
        <v>Sem 1</v>
      </c>
      <c r="G401" t="s">
        <v>22</v>
      </c>
      <c r="H401" t="s">
        <v>23</v>
      </c>
      <c r="I401" t="s">
        <v>24</v>
      </c>
      <c r="J401" t="s">
        <v>25</v>
      </c>
      <c r="K401" t="s">
        <v>161</v>
      </c>
      <c r="L401" t="s">
        <v>27</v>
      </c>
      <c r="M401">
        <v>0</v>
      </c>
      <c r="N401" s="1">
        <v>45058</v>
      </c>
      <c r="O401" s="1">
        <v>45061</v>
      </c>
      <c r="P401" t="s">
        <v>28</v>
      </c>
      <c r="Q401">
        <f>+IF(OR(Datos[[#This Row],[Diagnostico]]="Inservible",Datos[[#This Row],[Estatus]]="Preventivo"),0,Datos[[#This Row],[Fecha_Final]]-Datos[[#This Row],[Día_Inicio]])</f>
        <v>0</v>
      </c>
      <c r="R401" s="2">
        <v>0</v>
      </c>
      <c r="S401" s="2">
        <v>0</v>
      </c>
      <c r="T401" t="s">
        <v>29</v>
      </c>
    </row>
    <row r="402" spans="1:20" x14ac:dyDescent="0.25">
      <c r="A402" t="s">
        <v>581</v>
      </c>
      <c r="B402" s="1">
        <v>45059</v>
      </c>
      <c r="C402" t="s">
        <v>539</v>
      </c>
      <c r="D402">
        <v>5</v>
      </c>
      <c r="E402" t="str">
        <f>+CONCATENATE("T",ROUNDUP(MONTH(Datos[[#This Row],[Fecha]])/3,0))</f>
        <v>T2</v>
      </c>
      <c r="F402" t="str">
        <f>+CONCATENATE("Sem"," ",ROUNDUP(MONTH(Datos[[#This Row],[Fecha]])/6,0))</f>
        <v>Sem 1</v>
      </c>
      <c r="G402" t="s">
        <v>36</v>
      </c>
      <c r="H402" t="s">
        <v>37</v>
      </c>
      <c r="I402" t="s">
        <v>24</v>
      </c>
      <c r="J402" t="s">
        <v>38</v>
      </c>
      <c r="K402" t="s">
        <v>80</v>
      </c>
      <c r="L402" t="s">
        <v>27</v>
      </c>
      <c r="M402">
        <v>0</v>
      </c>
      <c r="N402" s="1">
        <v>45059</v>
      </c>
      <c r="O402" s="1">
        <v>45068</v>
      </c>
      <c r="P402" t="s">
        <v>58</v>
      </c>
      <c r="Q402">
        <f>+IF(OR(Datos[[#This Row],[Diagnostico]]="Inservible",Datos[[#This Row],[Estatus]]="Preventivo"),0,Datos[[#This Row],[Fecha_Final]]-Datos[[#This Row],[Día_Inicio]])</f>
        <v>9</v>
      </c>
      <c r="R402" s="2">
        <v>404</v>
      </c>
      <c r="S402" s="2">
        <v>488</v>
      </c>
      <c r="T402" t="s">
        <v>59</v>
      </c>
    </row>
    <row r="403" spans="1:20" x14ac:dyDescent="0.25">
      <c r="A403" t="s">
        <v>582</v>
      </c>
      <c r="B403" s="1">
        <v>45059</v>
      </c>
      <c r="C403" t="s">
        <v>539</v>
      </c>
      <c r="D403">
        <v>5</v>
      </c>
      <c r="E403" t="str">
        <f>+CONCATENATE("T",ROUNDUP(MONTH(Datos[[#This Row],[Fecha]])/3,0))</f>
        <v>T2</v>
      </c>
      <c r="F403" t="str">
        <f>+CONCATENATE("Sem"," ",ROUNDUP(MONTH(Datos[[#This Row],[Fecha]])/6,0))</f>
        <v>Sem 1</v>
      </c>
      <c r="G403" t="s">
        <v>77</v>
      </c>
      <c r="H403" t="s">
        <v>78</v>
      </c>
      <c r="I403" t="s">
        <v>24</v>
      </c>
      <c r="J403" t="s">
        <v>79</v>
      </c>
      <c r="K403" t="s">
        <v>85</v>
      </c>
      <c r="L403" t="s">
        <v>27</v>
      </c>
      <c r="M403">
        <v>0</v>
      </c>
      <c r="N403" s="1">
        <v>45059</v>
      </c>
      <c r="O403" s="1">
        <v>45063</v>
      </c>
      <c r="P403" t="s">
        <v>28</v>
      </c>
      <c r="Q403">
        <f>+IF(OR(Datos[[#This Row],[Diagnostico]]="Inservible",Datos[[#This Row],[Estatus]]="Preventivo"),0,Datos[[#This Row],[Fecha_Final]]-Datos[[#This Row],[Día_Inicio]])</f>
        <v>0</v>
      </c>
      <c r="R403" s="2">
        <v>0</v>
      </c>
      <c r="S403" s="2">
        <v>0</v>
      </c>
      <c r="T403" t="s">
        <v>29</v>
      </c>
    </row>
    <row r="404" spans="1:20" x14ac:dyDescent="0.25">
      <c r="A404" t="s">
        <v>583</v>
      </c>
      <c r="B404" s="1">
        <v>45059</v>
      </c>
      <c r="C404" t="s">
        <v>539</v>
      </c>
      <c r="D404">
        <v>5</v>
      </c>
      <c r="E404" t="str">
        <f>+CONCATENATE("T",ROUNDUP(MONTH(Datos[[#This Row],[Fecha]])/3,0))</f>
        <v>T2</v>
      </c>
      <c r="F404" t="str">
        <f>+CONCATENATE("Sem"," ",ROUNDUP(MONTH(Datos[[#This Row],[Fecha]])/6,0))</f>
        <v>Sem 1</v>
      </c>
      <c r="G404" t="s">
        <v>53</v>
      </c>
      <c r="H404" t="s">
        <v>54</v>
      </c>
      <c r="I404" t="s">
        <v>55</v>
      </c>
      <c r="J404" t="s">
        <v>56</v>
      </c>
      <c r="K404" t="s">
        <v>90</v>
      </c>
      <c r="L404" t="s">
        <v>27</v>
      </c>
      <c r="M404">
        <v>0</v>
      </c>
      <c r="N404" s="1">
        <v>45059</v>
      </c>
      <c r="O404" s="1">
        <v>45071</v>
      </c>
      <c r="P404" t="s">
        <v>28</v>
      </c>
      <c r="Q404">
        <f>+IF(OR(Datos[[#This Row],[Diagnostico]]="Inservible",Datos[[#This Row],[Estatus]]="Preventivo"),0,Datos[[#This Row],[Fecha_Final]]-Datos[[#This Row],[Día_Inicio]])</f>
        <v>0</v>
      </c>
      <c r="R404" s="2">
        <v>0</v>
      </c>
      <c r="S404" s="2">
        <v>0</v>
      </c>
      <c r="T404" t="s">
        <v>29</v>
      </c>
    </row>
    <row r="405" spans="1:20" x14ac:dyDescent="0.25">
      <c r="A405" t="s">
        <v>584</v>
      </c>
      <c r="B405" s="1">
        <v>45059</v>
      </c>
      <c r="C405" t="s">
        <v>539</v>
      </c>
      <c r="D405">
        <v>5</v>
      </c>
      <c r="E405" t="str">
        <f>+CONCATENATE("T",ROUNDUP(MONTH(Datos[[#This Row],[Fecha]])/3,0))</f>
        <v>T2</v>
      </c>
      <c r="F405" t="str">
        <f>+CONCATENATE("Sem"," ",ROUNDUP(MONTH(Datos[[#This Row],[Fecha]])/6,0))</f>
        <v>Sem 1</v>
      </c>
      <c r="G405" t="s">
        <v>283</v>
      </c>
      <c r="H405" t="s">
        <v>284</v>
      </c>
      <c r="I405" t="s">
        <v>24</v>
      </c>
      <c r="J405" t="s">
        <v>192</v>
      </c>
      <c r="K405" t="s">
        <v>172</v>
      </c>
      <c r="L405" t="s">
        <v>27</v>
      </c>
      <c r="M405">
        <v>0</v>
      </c>
      <c r="N405" s="1">
        <v>45059</v>
      </c>
      <c r="O405" s="1">
        <v>45063</v>
      </c>
      <c r="P405" t="s">
        <v>28</v>
      </c>
      <c r="Q405">
        <f>+IF(OR(Datos[[#This Row],[Diagnostico]]="Inservible",Datos[[#This Row],[Estatus]]="Preventivo"),0,Datos[[#This Row],[Fecha_Final]]-Datos[[#This Row],[Día_Inicio]])</f>
        <v>0</v>
      </c>
      <c r="R405" s="2">
        <v>0</v>
      </c>
      <c r="S405" s="2">
        <v>0</v>
      </c>
      <c r="T405" t="s">
        <v>29</v>
      </c>
    </row>
    <row r="406" spans="1:20" x14ac:dyDescent="0.25">
      <c r="A406" t="s">
        <v>585</v>
      </c>
      <c r="B406" s="1">
        <v>45059</v>
      </c>
      <c r="C406" t="s">
        <v>539</v>
      </c>
      <c r="D406">
        <v>5</v>
      </c>
      <c r="E406" t="str">
        <f>+CONCATENATE("T",ROUNDUP(MONTH(Datos[[#This Row],[Fecha]])/3,0))</f>
        <v>T2</v>
      </c>
      <c r="F406" t="str">
        <f>+CONCATENATE("Sem"," ",ROUNDUP(MONTH(Datos[[#This Row],[Fecha]])/6,0))</f>
        <v>Sem 1</v>
      </c>
      <c r="G406" t="s">
        <v>260</v>
      </c>
      <c r="H406" t="s">
        <v>261</v>
      </c>
      <c r="I406" t="s">
        <v>24</v>
      </c>
      <c r="J406" t="s">
        <v>33</v>
      </c>
      <c r="K406" t="s">
        <v>97</v>
      </c>
      <c r="L406" t="s">
        <v>27</v>
      </c>
      <c r="M406">
        <v>0</v>
      </c>
      <c r="N406" s="1">
        <v>45059</v>
      </c>
      <c r="O406" s="1">
        <v>45078</v>
      </c>
      <c r="P406" t="s">
        <v>58</v>
      </c>
      <c r="Q406">
        <f>+IF(OR(Datos[[#This Row],[Diagnostico]]="Inservible",Datos[[#This Row],[Estatus]]="Preventivo"),0,Datos[[#This Row],[Fecha_Final]]-Datos[[#This Row],[Día_Inicio]])</f>
        <v>19</v>
      </c>
      <c r="R406" s="2">
        <v>514</v>
      </c>
      <c r="S406" s="2">
        <v>988</v>
      </c>
      <c r="T406" t="s">
        <v>91</v>
      </c>
    </row>
    <row r="407" spans="1:20" x14ac:dyDescent="0.25">
      <c r="A407" t="s">
        <v>586</v>
      </c>
      <c r="B407" s="1">
        <v>45060</v>
      </c>
      <c r="C407" t="s">
        <v>539</v>
      </c>
      <c r="D407">
        <v>5</v>
      </c>
      <c r="E407" t="str">
        <f>+CONCATENATE("T",ROUNDUP(MONTH(Datos[[#This Row],[Fecha]])/3,0))</f>
        <v>T2</v>
      </c>
      <c r="F407" t="str">
        <f>+CONCATENATE("Sem"," ",ROUNDUP(MONTH(Datos[[#This Row],[Fecha]])/6,0))</f>
        <v>Sem 1</v>
      </c>
      <c r="G407" t="s">
        <v>44</v>
      </c>
      <c r="H407" t="s">
        <v>45</v>
      </c>
      <c r="I407" t="s">
        <v>24</v>
      </c>
      <c r="J407" t="s">
        <v>46</v>
      </c>
      <c r="K407" t="s">
        <v>178</v>
      </c>
      <c r="L407" t="s">
        <v>27</v>
      </c>
      <c r="M407">
        <v>0</v>
      </c>
      <c r="N407" s="1">
        <v>45060</v>
      </c>
      <c r="O407" s="1">
        <v>45085</v>
      </c>
      <c r="P407" t="s">
        <v>58</v>
      </c>
      <c r="Q407">
        <f>+IF(OR(Datos[[#This Row],[Diagnostico]]="Inservible",Datos[[#This Row],[Estatus]]="Preventivo"),0,Datos[[#This Row],[Fecha_Final]]-Datos[[#This Row],[Día_Inicio]])</f>
        <v>25</v>
      </c>
      <c r="R407" s="2">
        <v>900</v>
      </c>
      <c r="S407" s="2">
        <v>952</v>
      </c>
      <c r="T407" t="s">
        <v>59</v>
      </c>
    </row>
    <row r="408" spans="1:20" x14ac:dyDescent="0.25">
      <c r="A408" t="s">
        <v>587</v>
      </c>
      <c r="B408" s="1">
        <v>45060</v>
      </c>
      <c r="C408" t="s">
        <v>539</v>
      </c>
      <c r="D408">
        <v>5</v>
      </c>
      <c r="E408" t="str">
        <f>+CONCATENATE("T",ROUNDUP(MONTH(Datos[[#This Row],[Fecha]])/3,0))</f>
        <v>T2</v>
      </c>
      <c r="F408" t="str">
        <f>+CONCATENATE("Sem"," ",ROUNDUP(MONTH(Datos[[#This Row],[Fecha]])/6,0))</f>
        <v>Sem 1</v>
      </c>
      <c r="G408" t="s">
        <v>22</v>
      </c>
      <c r="H408" t="s">
        <v>23</v>
      </c>
      <c r="I408" t="s">
        <v>24</v>
      </c>
      <c r="J408" t="s">
        <v>25</v>
      </c>
      <c r="K408" t="s">
        <v>108</v>
      </c>
      <c r="L408" t="s">
        <v>27</v>
      </c>
      <c r="M408">
        <v>0</v>
      </c>
      <c r="N408" s="1">
        <v>45060</v>
      </c>
      <c r="O408" s="1">
        <v>45064</v>
      </c>
      <c r="P408" t="s">
        <v>28</v>
      </c>
      <c r="Q408">
        <f>+IF(OR(Datos[[#This Row],[Diagnostico]]="Inservible",Datos[[#This Row],[Estatus]]="Preventivo"),0,Datos[[#This Row],[Fecha_Final]]-Datos[[#This Row],[Día_Inicio]])</f>
        <v>0</v>
      </c>
      <c r="R408" s="2">
        <v>0</v>
      </c>
      <c r="S408" s="2">
        <v>0</v>
      </c>
      <c r="T408" t="s">
        <v>29</v>
      </c>
    </row>
    <row r="409" spans="1:20" x14ac:dyDescent="0.25">
      <c r="A409" t="s">
        <v>588</v>
      </c>
      <c r="B409" s="1">
        <v>45060</v>
      </c>
      <c r="C409" t="s">
        <v>539</v>
      </c>
      <c r="D409">
        <v>5</v>
      </c>
      <c r="E409" t="str">
        <f>+CONCATENATE("T",ROUNDUP(MONTH(Datos[[#This Row],[Fecha]])/3,0))</f>
        <v>T2</v>
      </c>
      <c r="F409" t="str">
        <f>+CONCATENATE("Sem"," ",ROUNDUP(MONTH(Datos[[#This Row],[Fecha]])/6,0))</f>
        <v>Sem 1</v>
      </c>
      <c r="G409" t="s">
        <v>82</v>
      </c>
      <c r="H409" t="s">
        <v>83</v>
      </c>
      <c r="I409" t="s">
        <v>24</v>
      </c>
      <c r="J409" t="s">
        <v>84</v>
      </c>
      <c r="K409" t="s">
        <v>110</v>
      </c>
      <c r="L409" t="s">
        <v>27</v>
      </c>
      <c r="M409">
        <v>0</v>
      </c>
      <c r="N409" s="1">
        <v>45060</v>
      </c>
      <c r="O409" s="1">
        <v>45080</v>
      </c>
      <c r="P409" t="s">
        <v>58</v>
      </c>
      <c r="Q409">
        <f>+IF(OR(Datos[[#This Row],[Diagnostico]]="Inservible",Datos[[#This Row],[Estatus]]="Preventivo"),0,Datos[[#This Row],[Fecha_Final]]-Datos[[#This Row],[Día_Inicio]])</f>
        <v>20</v>
      </c>
      <c r="R409" s="2">
        <v>410</v>
      </c>
      <c r="S409" s="2">
        <v>988</v>
      </c>
      <c r="T409" t="s">
        <v>91</v>
      </c>
    </row>
    <row r="410" spans="1:20" x14ac:dyDescent="0.25">
      <c r="A410" t="s">
        <v>589</v>
      </c>
      <c r="B410" s="1">
        <v>45060</v>
      </c>
      <c r="C410" t="s">
        <v>539</v>
      </c>
      <c r="D410">
        <v>5</v>
      </c>
      <c r="E410" t="str">
        <f>+CONCATENATE("T",ROUNDUP(MONTH(Datos[[#This Row],[Fecha]])/3,0))</f>
        <v>T2</v>
      </c>
      <c r="F410" t="str">
        <f>+CONCATENATE("Sem"," ",ROUNDUP(MONTH(Datos[[#This Row],[Fecha]])/6,0))</f>
        <v>Sem 1</v>
      </c>
      <c r="G410" t="s">
        <v>105</v>
      </c>
      <c r="H410" t="s">
        <v>106</v>
      </c>
      <c r="I410" t="s">
        <v>24</v>
      </c>
      <c r="J410" t="s">
        <v>107</v>
      </c>
      <c r="K410" t="s">
        <v>39</v>
      </c>
      <c r="L410" t="s">
        <v>40</v>
      </c>
      <c r="M410" t="s">
        <v>51</v>
      </c>
      <c r="N410" s="1">
        <v>45060</v>
      </c>
      <c r="O410" s="1">
        <v>45120</v>
      </c>
      <c r="P410" t="s">
        <v>29</v>
      </c>
      <c r="Q410">
        <f>+IF(OR(Datos[[#This Row],[Diagnostico]]="Inservible",Datos[[#This Row],[Estatus]]="Preventivo"),0,Datos[[#This Row],[Fecha_Final]]-Datos[[#This Row],[Día_Inicio]])</f>
        <v>0</v>
      </c>
      <c r="R410" s="2">
        <v>967</v>
      </c>
      <c r="S410" s="2">
        <v>544</v>
      </c>
      <c r="T410" t="s">
        <v>42</v>
      </c>
    </row>
    <row r="411" spans="1:20" x14ac:dyDescent="0.25">
      <c r="A411" t="s">
        <v>590</v>
      </c>
      <c r="B411" s="1">
        <v>45060</v>
      </c>
      <c r="C411" t="s">
        <v>539</v>
      </c>
      <c r="D411">
        <v>5</v>
      </c>
      <c r="E411" t="str">
        <f>+CONCATENATE("T",ROUNDUP(MONTH(Datos[[#This Row],[Fecha]])/3,0))</f>
        <v>T2</v>
      </c>
      <c r="F411" t="str">
        <f>+CONCATENATE("Sem"," ",ROUNDUP(MONTH(Datos[[#This Row],[Fecha]])/6,0))</f>
        <v>Sem 1</v>
      </c>
      <c r="G411" t="s">
        <v>169</v>
      </c>
      <c r="H411" t="s">
        <v>170</v>
      </c>
      <c r="I411" t="s">
        <v>68</v>
      </c>
      <c r="J411" t="s">
        <v>171</v>
      </c>
      <c r="K411" t="s">
        <v>119</v>
      </c>
      <c r="L411" t="s">
        <v>27</v>
      </c>
      <c r="M411">
        <v>0</v>
      </c>
      <c r="N411" s="1">
        <v>45060</v>
      </c>
      <c r="O411" s="1">
        <v>45086</v>
      </c>
      <c r="P411" t="s">
        <v>28</v>
      </c>
      <c r="Q411">
        <f>+IF(OR(Datos[[#This Row],[Diagnostico]]="Inservible",Datos[[#This Row],[Estatus]]="Preventivo"),0,Datos[[#This Row],[Fecha_Final]]-Datos[[#This Row],[Día_Inicio]])</f>
        <v>0</v>
      </c>
      <c r="R411" s="2">
        <v>0</v>
      </c>
      <c r="S411" s="2">
        <v>0</v>
      </c>
      <c r="T411" t="s">
        <v>29</v>
      </c>
    </row>
    <row r="412" spans="1:20" x14ac:dyDescent="0.25">
      <c r="A412" t="s">
        <v>591</v>
      </c>
      <c r="B412" s="1">
        <v>45061</v>
      </c>
      <c r="C412" t="s">
        <v>539</v>
      </c>
      <c r="D412">
        <v>5</v>
      </c>
      <c r="E412" t="str">
        <f>+CONCATENATE("T",ROUNDUP(MONTH(Datos[[#This Row],[Fecha]])/3,0))</f>
        <v>T2</v>
      </c>
      <c r="F412" t="str">
        <f>+CONCATENATE("Sem"," ",ROUNDUP(MONTH(Datos[[#This Row],[Fecha]])/6,0))</f>
        <v>Sem 1</v>
      </c>
      <c r="G412" t="s">
        <v>87</v>
      </c>
      <c r="H412" t="s">
        <v>88</v>
      </c>
      <c r="I412" t="s">
        <v>68</v>
      </c>
      <c r="J412" t="s">
        <v>89</v>
      </c>
      <c r="K412" t="s">
        <v>39</v>
      </c>
      <c r="L412" t="s">
        <v>40</v>
      </c>
      <c r="M412" t="s">
        <v>103</v>
      </c>
      <c r="N412" s="1">
        <v>45061</v>
      </c>
      <c r="O412" s="1">
        <v>45076</v>
      </c>
      <c r="P412" t="s">
        <v>29</v>
      </c>
      <c r="Q412">
        <f>+IF(OR(Datos[[#This Row],[Diagnostico]]="Inservible",Datos[[#This Row],[Estatus]]="Preventivo"),0,Datos[[#This Row],[Fecha_Final]]-Datos[[#This Row],[Día_Inicio]])</f>
        <v>0</v>
      </c>
      <c r="R412" s="2">
        <v>789</v>
      </c>
      <c r="S412" s="2">
        <v>907</v>
      </c>
      <c r="T412" t="s">
        <v>42</v>
      </c>
    </row>
    <row r="413" spans="1:20" x14ac:dyDescent="0.25">
      <c r="A413" t="s">
        <v>592</v>
      </c>
      <c r="B413" s="1">
        <v>45061</v>
      </c>
      <c r="C413" t="s">
        <v>539</v>
      </c>
      <c r="D413">
        <v>5</v>
      </c>
      <c r="E413" t="str">
        <f>+CONCATENATE("T",ROUNDUP(MONTH(Datos[[#This Row],[Fecha]])/3,0))</f>
        <v>T2</v>
      </c>
      <c r="F413" t="str">
        <f>+CONCATENATE("Sem"," ",ROUNDUP(MONTH(Datos[[#This Row],[Fecha]])/6,0))</f>
        <v>Sem 1</v>
      </c>
      <c r="G413" t="s">
        <v>49</v>
      </c>
      <c r="H413" t="s">
        <v>23</v>
      </c>
      <c r="I413" t="s">
        <v>24</v>
      </c>
      <c r="J413" t="s">
        <v>50</v>
      </c>
      <c r="K413" t="s">
        <v>128</v>
      </c>
      <c r="L413" t="s">
        <v>27</v>
      </c>
      <c r="M413">
        <v>0</v>
      </c>
      <c r="N413" s="1">
        <v>45061</v>
      </c>
      <c r="O413" s="1">
        <v>45070</v>
      </c>
      <c r="P413" t="s">
        <v>58</v>
      </c>
      <c r="Q413">
        <f>+IF(OR(Datos[[#This Row],[Diagnostico]]="Inservible",Datos[[#This Row],[Estatus]]="Preventivo"),0,Datos[[#This Row],[Fecha_Final]]-Datos[[#This Row],[Día_Inicio]])</f>
        <v>9</v>
      </c>
      <c r="R413" s="2">
        <v>488</v>
      </c>
      <c r="S413" s="2">
        <v>464</v>
      </c>
      <c r="T413" t="s">
        <v>59</v>
      </c>
    </row>
    <row r="414" spans="1:20" x14ac:dyDescent="0.25">
      <c r="A414" t="s">
        <v>593</v>
      </c>
      <c r="B414" s="1">
        <v>45061</v>
      </c>
      <c r="C414" t="s">
        <v>539</v>
      </c>
      <c r="D414">
        <v>5</v>
      </c>
      <c r="E414" t="str">
        <f>+CONCATENATE("T",ROUNDUP(MONTH(Datos[[#This Row],[Fecha]])/3,0))</f>
        <v>T2</v>
      </c>
      <c r="F414" t="str">
        <f>+CONCATENATE("Sem"," ",ROUNDUP(MONTH(Datos[[#This Row],[Fecha]])/6,0))</f>
        <v>Sem 1</v>
      </c>
      <c r="G414" t="s">
        <v>137</v>
      </c>
      <c r="H414" t="s">
        <v>138</v>
      </c>
      <c r="I414" t="s">
        <v>68</v>
      </c>
      <c r="J414" t="s">
        <v>139</v>
      </c>
      <c r="K414" t="s">
        <v>130</v>
      </c>
      <c r="L414" t="s">
        <v>27</v>
      </c>
      <c r="M414">
        <v>0</v>
      </c>
      <c r="N414" s="1">
        <v>45061</v>
      </c>
      <c r="O414" s="1">
        <v>45064</v>
      </c>
      <c r="P414" t="s">
        <v>28</v>
      </c>
      <c r="Q414">
        <f>+IF(OR(Datos[[#This Row],[Diagnostico]]="Inservible",Datos[[#This Row],[Estatus]]="Preventivo"),0,Datos[[#This Row],[Fecha_Final]]-Datos[[#This Row],[Día_Inicio]])</f>
        <v>0</v>
      </c>
      <c r="R414" s="2">
        <v>0</v>
      </c>
      <c r="S414" s="2">
        <v>0</v>
      </c>
      <c r="T414" t="s">
        <v>29</v>
      </c>
    </row>
    <row r="415" spans="1:20" x14ac:dyDescent="0.25">
      <c r="A415" t="s">
        <v>594</v>
      </c>
      <c r="B415" s="1">
        <v>45062</v>
      </c>
      <c r="C415" t="s">
        <v>539</v>
      </c>
      <c r="D415">
        <v>5</v>
      </c>
      <c r="E415" t="str">
        <f>+CONCATENATE("T",ROUNDUP(MONTH(Datos[[#This Row],[Fecha]])/3,0))</f>
        <v>T2</v>
      </c>
      <c r="F415" t="str">
        <f>+CONCATENATE("Sem"," ",ROUNDUP(MONTH(Datos[[#This Row],[Fecha]])/6,0))</f>
        <v>Sem 1</v>
      </c>
      <c r="G415" t="s">
        <v>206</v>
      </c>
      <c r="H415" t="s">
        <v>207</v>
      </c>
      <c r="I415" t="s">
        <v>24</v>
      </c>
      <c r="J415" t="s">
        <v>160</v>
      </c>
      <c r="K415" t="s">
        <v>135</v>
      </c>
      <c r="L415" t="s">
        <v>27</v>
      </c>
      <c r="M415">
        <v>0</v>
      </c>
      <c r="N415" s="1">
        <v>45062</v>
      </c>
      <c r="O415" s="1">
        <v>45091</v>
      </c>
      <c r="P415" t="s">
        <v>58</v>
      </c>
      <c r="Q415">
        <f>+IF(OR(Datos[[#This Row],[Diagnostico]]="Inservible",Datos[[#This Row],[Estatus]]="Preventivo"),0,Datos[[#This Row],[Fecha_Final]]-Datos[[#This Row],[Día_Inicio]])</f>
        <v>29</v>
      </c>
      <c r="R415" s="2">
        <v>1049</v>
      </c>
      <c r="S415" s="2">
        <v>352</v>
      </c>
      <c r="T415" t="s">
        <v>64</v>
      </c>
    </row>
    <row r="416" spans="1:20" x14ac:dyDescent="0.25">
      <c r="A416" t="s">
        <v>595</v>
      </c>
      <c r="B416" s="1">
        <v>45062</v>
      </c>
      <c r="C416" t="s">
        <v>539</v>
      </c>
      <c r="D416">
        <v>5</v>
      </c>
      <c r="E416" t="str">
        <f>+CONCATENATE("T",ROUNDUP(MONTH(Datos[[#This Row],[Fecha]])/3,0))</f>
        <v>T2</v>
      </c>
      <c r="F416" t="str">
        <f>+CONCATENATE("Sem"," ",ROUNDUP(MONTH(Datos[[#This Row],[Fecha]])/6,0))</f>
        <v>Sem 1</v>
      </c>
      <c r="G416" t="s">
        <v>87</v>
      </c>
      <c r="H416" t="s">
        <v>88</v>
      </c>
      <c r="I416" t="s">
        <v>68</v>
      </c>
      <c r="J416" t="s">
        <v>89</v>
      </c>
      <c r="K416" t="s">
        <v>26</v>
      </c>
      <c r="L416" t="s">
        <v>27</v>
      </c>
      <c r="M416">
        <v>0</v>
      </c>
      <c r="N416" s="1">
        <v>45062</v>
      </c>
      <c r="O416" s="1">
        <v>45075</v>
      </c>
      <c r="P416" t="s">
        <v>28</v>
      </c>
      <c r="Q416">
        <f>+IF(OR(Datos[[#This Row],[Diagnostico]]="Inservible",Datos[[#This Row],[Estatus]]="Preventivo"),0,Datos[[#This Row],[Fecha_Final]]-Datos[[#This Row],[Día_Inicio]])</f>
        <v>0</v>
      </c>
      <c r="R416" s="2">
        <v>0</v>
      </c>
      <c r="S416" s="2">
        <v>0</v>
      </c>
      <c r="T416" t="s">
        <v>29</v>
      </c>
    </row>
    <row r="417" spans="1:20" x14ac:dyDescent="0.25">
      <c r="A417" t="s">
        <v>596</v>
      </c>
      <c r="B417" s="1">
        <v>45063</v>
      </c>
      <c r="C417" t="s">
        <v>539</v>
      </c>
      <c r="D417">
        <v>5</v>
      </c>
      <c r="E417" t="str">
        <f>+CONCATENATE("T",ROUNDUP(MONTH(Datos[[#This Row],[Fecha]])/3,0))</f>
        <v>T2</v>
      </c>
      <c r="F417" t="str">
        <f>+CONCATENATE("Sem"," ",ROUNDUP(MONTH(Datos[[#This Row],[Fecha]])/6,0))</f>
        <v>Sem 1</v>
      </c>
      <c r="G417" t="s">
        <v>286</v>
      </c>
      <c r="H417" t="s">
        <v>287</v>
      </c>
      <c r="I417" t="s">
        <v>24</v>
      </c>
      <c r="J417" t="s">
        <v>38</v>
      </c>
      <c r="K417" t="s">
        <v>34</v>
      </c>
      <c r="L417" t="s">
        <v>27</v>
      </c>
      <c r="M417">
        <v>0</v>
      </c>
      <c r="N417" s="1">
        <v>45063</v>
      </c>
      <c r="O417" s="1">
        <v>45073</v>
      </c>
      <c r="P417" t="s">
        <v>28</v>
      </c>
      <c r="Q417">
        <f>+IF(OR(Datos[[#This Row],[Diagnostico]]="Inservible",Datos[[#This Row],[Estatus]]="Preventivo"),0,Datos[[#This Row],[Fecha_Final]]-Datos[[#This Row],[Día_Inicio]])</f>
        <v>0</v>
      </c>
      <c r="R417" s="2">
        <v>0</v>
      </c>
      <c r="S417" s="2">
        <v>0</v>
      </c>
      <c r="T417" t="s">
        <v>29</v>
      </c>
    </row>
    <row r="418" spans="1:20" x14ac:dyDescent="0.25">
      <c r="A418" t="s">
        <v>597</v>
      </c>
      <c r="B418" s="1">
        <v>45063</v>
      </c>
      <c r="C418" t="s">
        <v>539</v>
      </c>
      <c r="D418">
        <v>5</v>
      </c>
      <c r="E418" t="str">
        <f>+CONCATENATE("T",ROUNDUP(MONTH(Datos[[#This Row],[Fecha]])/3,0))</f>
        <v>T2</v>
      </c>
      <c r="F418" t="str">
        <f>+CONCATENATE("Sem"," ",ROUNDUP(MONTH(Datos[[#This Row],[Fecha]])/6,0))</f>
        <v>Sem 1</v>
      </c>
      <c r="G418" t="s">
        <v>22</v>
      </c>
      <c r="H418" t="s">
        <v>23</v>
      </c>
      <c r="I418" t="s">
        <v>24</v>
      </c>
      <c r="J418" t="s">
        <v>25</v>
      </c>
      <c r="K418" t="s">
        <v>39</v>
      </c>
      <c r="L418" t="s">
        <v>27</v>
      </c>
      <c r="M418">
        <v>0</v>
      </c>
      <c r="N418" s="1">
        <v>45063</v>
      </c>
      <c r="O418" s="1">
        <v>45078</v>
      </c>
      <c r="P418" t="s">
        <v>58</v>
      </c>
      <c r="Q418">
        <f>+IF(OR(Datos[[#This Row],[Diagnostico]]="Inservible",Datos[[#This Row],[Estatus]]="Preventivo"),0,Datos[[#This Row],[Fecha_Final]]-Datos[[#This Row],[Día_Inicio]])</f>
        <v>15</v>
      </c>
      <c r="R418" s="2">
        <v>345</v>
      </c>
      <c r="S418" s="2">
        <v>311</v>
      </c>
      <c r="T418" t="s">
        <v>59</v>
      </c>
    </row>
    <row r="419" spans="1:20" x14ac:dyDescent="0.25">
      <c r="A419" t="s">
        <v>598</v>
      </c>
      <c r="B419" s="1">
        <v>45063</v>
      </c>
      <c r="C419" t="s">
        <v>539</v>
      </c>
      <c r="D419">
        <v>5</v>
      </c>
      <c r="E419" t="str">
        <f>+CONCATENATE("T",ROUNDUP(MONTH(Datos[[#This Row],[Fecha]])/3,0))</f>
        <v>T2</v>
      </c>
      <c r="F419" t="str">
        <f>+CONCATENATE("Sem"," ",ROUNDUP(MONTH(Datos[[#This Row],[Fecha]])/6,0))</f>
        <v>Sem 1</v>
      </c>
      <c r="G419" t="s">
        <v>257</v>
      </c>
      <c r="H419" t="s">
        <v>258</v>
      </c>
      <c r="I419" t="s">
        <v>24</v>
      </c>
      <c r="J419" t="s">
        <v>204</v>
      </c>
      <c r="K419" t="s">
        <v>47</v>
      </c>
      <c r="L419" t="s">
        <v>27</v>
      </c>
      <c r="M419">
        <v>0</v>
      </c>
      <c r="N419" s="1">
        <v>45063</v>
      </c>
      <c r="O419" s="1">
        <v>45069</v>
      </c>
      <c r="P419" t="s">
        <v>28</v>
      </c>
      <c r="Q419">
        <f>+IF(OR(Datos[[#This Row],[Diagnostico]]="Inservible",Datos[[#This Row],[Estatus]]="Preventivo"),0,Datos[[#This Row],[Fecha_Final]]-Datos[[#This Row],[Día_Inicio]])</f>
        <v>0</v>
      </c>
      <c r="R419" s="2">
        <v>0</v>
      </c>
      <c r="S419" s="2">
        <v>0</v>
      </c>
      <c r="T419" t="s">
        <v>29</v>
      </c>
    </row>
    <row r="420" spans="1:20" x14ac:dyDescent="0.25">
      <c r="A420" t="s">
        <v>599</v>
      </c>
      <c r="B420" s="1">
        <v>45063</v>
      </c>
      <c r="C420" t="s">
        <v>539</v>
      </c>
      <c r="D420">
        <v>5</v>
      </c>
      <c r="E420" t="str">
        <f>+CONCATENATE("T",ROUNDUP(MONTH(Datos[[#This Row],[Fecha]])/3,0))</f>
        <v>T2</v>
      </c>
      <c r="F420" t="str">
        <f>+CONCATENATE("Sem"," ",ROUNDUP(MONTH(Datos[[#This Row],[Fecha]])/6,0))</f>
        <v>Sem 1</v>
      </c>
      <c r="G420" t="s">
        <v>137</v>
      </c>
      <c r="H420" t="s">
        <v>138</v>
      </c>
      <c r="I420" t="s">
        <v>68</v>
      </c>
      <c r="J420" t="s">
        <v>139</v>
      </c>
      <c r="K420" t="s">
        <v>39</v>
      </c>
      <c r="L420" t="s">
        <v>40</v>
      </c>
      <c r="M420" t="s">
        <v>51</v>
      </c>
      <c r="N420" s="1">
        <v>45063</v>
      </c>
      <c r="O420" s="1">
        <v>45123</v>
      </c>
      <c r="P420" t="s">
        <v>29</v>
      </c>
      <c r="Q420">
        <f>+IF(OR(Datos[[#This Row],[Diagnostico]]="Inservible",Datos[[#This Row],[Estatus]]="Preventivo"),0,Datos[[#This Row],[Fecha_Final]]-Datos[[#This Row],[Día_Inicio]])</f>
        <v>0</v>
      </c>
      <c r="R420" s="2">
        <v>345</v>
      </c>
      <c r="S420" s="2">
        <v>757</v>
      </c>
      <c r="T420" t="s">
        <v>42</v>
      </c>
    </row>
    <row r="421" spans="1:20" x14ac:dyDescent="0.25">
      <c r="A421" t="s">
        <v>600</v>
      </c>
      <c r="B421" s="1">
        <v>45063</v>
      </c>
      <c r="C421" t="s">
        <v>539</v>
      </c>
      <c r="D421">
        <v>5</v>
      </c>
      <c r="E421" t="str">
        <f>+CONCATENATE("T",ROUNDUP(MONTH(Datos[[#This Row],[Fecha]])/3,0))</f>
        <v>T2</v>
      </c>
      <c r="F421" t="str">
        <f>+CONCATENATE("Sem"," ",ROUNDUP(MONTH(Datos[[#This Row],[Fecha]])/6,0))</f>
        <v>Sem 1</v>
      </c>
      <c r="G421" t="s">
        <v>112</v>
      </c>
      <c r="H421" t="s">
        <v>113</v>
      </c>
      <c r="I421" t="s">
        <v>24</v>
      </c>
      <c r="J421" t="s">
        <v>79</v>
      </c>
      <c r="K421" t="s">
        <v>57</v>
      </c>
      <c r="L421" t="s">
        <v>27</v>
      </c>
      <c r="M421">
        <v>0</v>
      </c>
      <c r="N421" s="1">
        <v>45063</v>
      </c>
      <c r="O421" s="1">
        <v>45081</v>
      </c>
      <c r="P421" t="s">
        <v>58</v>
      </c>
      <c r="Q421">
        <f>+IF(OR(Datos[[#This Row],[Diagnostico]]="Inservible",Datos[[#This Row],[Estatus]]="Preventivo"),0,Datos[[#This Row],[Fecha_Final]]-Datos[[#This Row],[Día_Inicio]])</f>
        <v>18</v>
      </c>
      <c r="R421" s="2">
        <v>246</v>
      </c>
      <c r="S421" s="2">
        <v>916</v>
      </c>
      <c r="T421" t="s">
        <v>91</v>
      </c>
    </row>
    <row r="422" spans="1:20" x14ac:dyDescent="0.25">
      <c r="A422" t="s">
        <v>601</v>
      </c>
      <c r="B422" s="1">
        <v>45063</v>
      </c>
      <c r="C422" t="s">
        <v>539</v>
      </c>
      <c r="D422">
        <v>5</v>
      </c>
      <c r="E422" t="str">
        <f>+CONCATENATE("T",ROUNDUP(MONTH(Datos[[#This Row],[Fecha]])/3,0))</f>
        <v>T2</v>
      </c>
      <c r="F422" t="str">
        <f>+CONCATENATE("Sem"," ",ROUNDUP(MONTH(Datos[[#This Row],[Fecha]])/6,0))</f>
        <v>Sem 1</v>
      </c>
      <c r="G422" t="s">
        <v>31</v>
      </c>
      <c r="H422" t="s">
        <v>32</v>
      </c>
      <c r="I422" t="s">
        <v>24</v>
      </c>
      <c r="J422" t="s">
        <v>33</v>
      </c>
      <c r="K422" t="s">
        <v>39</v>
      </c>
      <c r="L422" t="s">
        <v>40</v>
      </c>
      <c r="M422" t="s">
        <v>208</v>
      </c>
      <c r="N422" s="1">
        <v>45063</v>
      </c>
      <c r="O422" s="1">
        <v>45070</v>
      </c>
      <c r="P422" t="s">
        <v>29</v>
      </c>
      <c r="Q422">
        <f>+IF(OR(Datos[[#This Row],[Diagnostico]]="Inservible",Datos[[#This Row],[Estatus]]="Preventivo"),0,Datos[[#This Row],[Fecha_Final]]-Datos[[#This Row],[Día_Inicio]])</f>
        <v>0</v>
      </c>
      <c r="R422" s="2">
        <v>1013</v>
      </c>
      <c r="S422" s="2">
        <v>733</v>
      </c>
      <c r="T422" t="s">
        <v>42</v>
      </c>
    </row>
    <row r="423" spans="1:20" x14ac:dyDescent="0.25">
      <c r="A423" t="s">
        <v>602</v>
      </c>
      <c r="B423" s="1">
        <v>45064</v>
      </c>
      <c r="C423" t="s">
        <v>539</v>
      </c>
      <c r="D423">
        <v>5</v>
      </c>
      <c r="E423" t="str">
        <f>+CONCATENATE("T",ROUNDUP(MONTH(Datos[[#This Row],[Fecha]])/3,0))</f>
        <v>T2</v>
      </c>
      <c r="F423" t="str">
        <f>+CONCATENATE("Sem"," ",ROUNDUP(MONTH(Datos[[#This Row],[Fecha]])/6,0))</f>
        <v>Sem 1</v>
      </c>
      <c r="G423" t="s">
        <v>53</v>
      </c>
      <c r="H423" t="s">
        <v>54</v>
      </c>
      <c r="I423" t="s">
        <v>55</v>
      </c>
      <c r="J423" t="s">
        <v>56</v>
      </c>
      <c r="K423" t="s">
        <v>70</v>
      </c>
      <c r="L423" t="s">
        <v>27</v>
      </c>
      <c r="M423">
        <v>0</v>
      </c>
      <c r="N423" s="1">
        <v>45064</v>
      </c>
      <c r="O423" s="1">
        <v>45088</v>
      </c>
      <c r="P423" t="s">
        <v>28</v>
      </c>
      <c r="Q423">
        <f>+IF(OR(Datos[[#This Row],[Diagnostico]]="Inservible",Datos[[#This Row],[Estatus]]="Preventivo"),0,Datos[[#This Row],[Fecha_Final]]-Datos[[#This Row],[Día_Inicio]])</f>
        <v>0</v>
      </c>
      <c r="R423" s="2">
        <v>0</v>
      </c>
      <c r="S423" s="2">
        <v>0</v>
      </c>
      <c r="T423" t="s">
        <v>29</v>
      </c>
    </row>
    <row r="424" spans="1:20" x14ac:dyDescent="0.25">
      <c r="A424" t="s">
        <v>603</v>
      </c>
      <c r="B424" s="1">
        <v>45065</v>
      </c>
      <c r="C424" t="s">
        <v>539</v>
      </c>
      <c r="D424">
        <v>5</v>
      </c>
      <c r="E424" t="str">
        <f>+CONCATENATE("T",ROUNDUP(MONTH(Datos[[#This Row],[Fecha]])/3,0))</f>
        <v>T2</v>
      </c>
      <c r="F424" t="str">
        <f>+CONCATENATE("Sem"," ",ROUNDUP(MONTH(Datos[[#This Row],[Fecha]])/6,0))</f>
        <v>Sem 1</v>
      </c>
      <c r="G424" t="s">
        <v>82</v>
      </c>
      <c r="H424" t="s">
        <v>83</v>
      </c>
      <c r="I424" t="s">
        <v>24</v>
      </c>
      <c r="J424" t="s">
        <v>84</v>
      </c>
      <c r="K424" t="s">
        <v>39</v>
      </c>
      <c r="L424" t="s">
        <v>40</v>
      </c>
      <c r="M424" t="s">
        <v>208</v>
      </c>
      <c r="N424" s="1">
        <v>45065</v>
      </c>
      <c r="O424" s="1">
        <v>45072</v>
      </c>
      <c r="P424" t="s">
        <v>29</v>
      </c>
      <c r="Q424">
        <f>+IF(OR(Datos[[#This Row],[Diagnostico]]="Inservible",Datos[[#This Row],[Estatus]]="Preventivo"),0,Datos[[#This Row],[Fecha_Final]]-Datos[[#This Row],[Día_Inicio]])</f>
        <v>0</v>
      </c>
      <c r="R424" s="2">
        <v>815</v>
      </c>
      <c r="S424" s="2">
        <v>349</v>
      </c>
      <c r="T424" t="s">
        <v>42</v>
      </c>
    </row>
    <row r="425" spans="1:20" x14ac:dyDescent="0.25">
      <c r="A425" t="s">
        <v>604</v>
      </c>
      <c r="B425" s="1">
        <v>45065</v>
      </c>
      <c r="C425" t="s">
        <v>539</v>
      </c>
      <c r="D425">
        <v>5</v>
      </c>
      <c r="E425" t="str">
        <f>+CONCATENATE("T",ROUNDUP(MONTH(Datos[[#This Row],[Fecha]])/3,0))</f>
        <v>T2</v>
      </c>
      <c r="F425" t="str">
        <f>+CONCATENATE("Sem"," ",ROUNDUP(MONTH(Datos[[#This Row],[Fecha]])/6,0))</f>
        <v>Sem 1</v>
      </c>
      <c r="G425" t="s">
        <v>175</v>
      </c>
      <c r="H425" t="s">
        <v>176</v>
      </c>
      <c r="I425" t="s">
        <v>24</v>
      </c>
      <c r="J425" t="s">
        <v>177</v>
      </c>
      <c r="K425" t="s">
        <v>80</v>
      </c>
      <c r="L425" t="s">
        <v>27</v>
      </c>
      <c r="M425">
        <v>0</v>
      </c>
      <c r="N425" s="1">
        <v>45065</v>
      </c>
      <c r="O425" s="1">
        <v>45068</v>
      </c>
      <c r="P425" t="s">
        <v>28</v>
      </c>
      <c r="Q425">
        <f>+IF(OR(Datos[[#This Row],[Diagnostico]]="Inservible",Datos[[#This Row],[Estatus]]="Preventivo"),0,Datos[[#This Row],[Fecha_Final]]-Datos[[#This Row],[Día_Inicio]])</f>
        <v>0</v>
      </c>
      <c r="R425" s="2">
        <v>0</v>
      </c>
      <c r="S425" s="2">
        <v>0</v>
      </c>
      <c r="T425" t="s">
        <v>29</v>
      </c>
    </row>
    <row r="426" spans="1:20" x14ac:dyDescent="0.25">
      <c r="A426" t="s">
        <v>605</v>
      </c>
      <c r="B426" s="1">
        <v>45065</v>
      </c>
      <c r="C426" t="s">
        <v>539</v>
      </c>
      <c r="D426">
        <v>5</v>
      </c>
      <c r="E426" t="str">
        <f>+CONCATENATE("T",ROUNDUP(MONTH(Datos[[#This Row],[Fecha]])/3,0))</f>
        <v>T2</v>
      </c>
      <c r="F426" t="str">
        <f>+CONCATENATE("Sem"," ",ROUNDUP(MONTH(Datos[[#This Row],[Fecha]])/6,0))</f>
        <v>Sem 1</v>
      </c>
      <c r="G426" t="s">
        <v>190</v>
      </c>
      <c r="H426" t="s">
        <v>191</v>
      </c>
      <c r="I426" t="s">
        <v>24</v>
      </c>
      <c r="J426" t="s">
        <v>192</v>
      </c>
      <c r="K426" t="s">
        <v>85</v>
      </c>
      <c r="L426" t="s">
        <v>27</v>
      </c>
      <c r="M426">
        <v>0</v>
      </c>
      <c r="N426" s="1">
        <v>45065</v>
      </c>
      <c r="O426" s="1">
        <v>45074</v>
      </c>
      <c r="P426" t="s">
        <v>28</v>
      </c>
      <c r="Q426">
        <f>+IF(OR(Datos[[#This Row],[Diagnostico]]="Inservible",Datos[[#This Row],[Estatus]]="Preventivo"),0,Datos[[#This Row],[Fecha_Final]]-Datos[[#This Row],[Día_Inicio]])</f>
        <v>0</v>
      </c>
      <c r="R426" s="2">
        <v>0</v>
      </c>
      <c r="S426" s="2">
        <v>0</v>
      </c>
      <c r="T426" t="s">
        <v>29</v>
      </c>
    </row>
    <row r="427" spans="1:20" x14ac:dyDescent="0.25">
      <c r="A427" t="s">
        <v>606</v>
      </c>
      <c r="B427" s="1">
        <v>45065</v>
      </c>
      <c r="C427" t="s">
        <v>539</v>
      </c>
      <c r="D427">
        <v>5</v>
      </c>
      <c r="E427" t="str">
        <f>+CONCATENATE("T",ROUNDUP(MONTH(Datos[[#This Row],[Fecha]])/3,0))</f>
        <v>T2</v>
      </c>
      <c r="F427" t="str">
        <f>+CONCATENATE("Sem"," ",ROUNDUP(MONTH(Datos[[#This Row],[Fecha]])/6,0))</f>
        <v>Sem 1</v>
      </c>
      <c r="G427" t="s">
        <v>154</v>
      </c>
      <c r="H427" t="s">
        <v>155</v>
      </c>
      <c r="I427" t="s">
        <v>68</v>
      </c>
      <c r="J427" t="s">
        <v>156</v>
      </c>
      <c r="K427" t="s">
        <v>90</v>
      </c>
      <c r="L427" t="s">
        <v>27</v>
      </c>
      <c r="M427">
        <v>0</v>
      </c>
      <c r="N427" s="1">
        <v>45065</v>
      </c>
      <c r="O427" s="1">
        <v>45095</v>
      </c>
      <c r="P427" t="s">
        <v>28</v>
      </c>
      <c r="Q427">
        <f>+IF(OR(Datos[[#This Row],[Diagnostico]]="Inservible",Datos[[#This Row],[Estatus]]="Preventivo"),0,Datos[[#This Row],[Fecha_Final]]-Datos[[#This Row],[Día_Inicio]])</f>
        <v>0</v>
      </c>
      <c r="R427" s="2">
        <v>0</v>
      </c>
      <c r="S427" s="2">
        <v>0</v>
      </c>
      <c r="T427" t="s">
        <v>29</v>
      </c>
    </row>
    <row r="428" spans="1:20" x14ac:dyDescent="0.25">
      <c r="A428" t="s">
        <v>607</v>
      </c>
      <c r="B428" s="1">
        <v>45065</v>
      </c>
      <c r="C428" t="s">
        <v>539</v>
      </c>
      <c r="D428">
        <v>5</v>
      </c>
      <c r="E428" t="str">
        <f>+CONCATENATE("T",ROUNDUP(MONTH(Datos[[#This Row],[Fecha]])/3,0))</f>
        <v>T2</v>
      </c>
      <c r="F428" t="str">
        <f>+CONCATENATE("Sem"," ",ROUNDUP(MONTH(Datos[[#This Row],[Fecha]])/6,0))</f>
        <v>Sem 1</v>
      </c>
      <c r="G428" t="s">
        <v>169</v>
      </c>
      <c r="H428" t="s">
        <v>170</v>
      </c>
      <c r="I428" t="s">
        <v>68</v>
      </c>
      <c r="J428" t="s">
        <v>171</v>
      </c>
      <c r="K428" t="s">
        <v>39</v>
      </c>
      <c r="L428" t="s">
        <v>40</v>
      </c>
      <c r="M428" t="s">
        <v>51</v>
      </c>
      <c r="N428" s="1">
        <v>45065</v>
      </c>
      <c r="O428" s="1">
        <v>45125</v>
      </c>
      <c r="P428" t="s">
        <v>29</v>
      </c>
      <c r="Q428">
        <f>+IF(OR(Datos[[#This Row],[Diagnostico]]="Inservible",Datos[[#This Row],[Estatus]]="Preventivo"),0,Datos[[#This Row],[Fecha_Final]]-Datos[[#This Row],[Día_Inicio]])</f>
        <v>0</v>
      </c>
      <c r="R428" s="2">
        <v>1012</v>
      </c>
      <c r="S428" s="2">
        <v>291</v>
      </c>
      <c r="T428" t="s">
        <v>42</v>
      </c>
    </row>
    <row r="429" spans="1:20" x14ac:dyDescent="0.25">
      <c r="A429" t="s">
        <v>608</v>
      </c>
      <c r="B429" s="1">
        <v>45066</v>
      </c>
      <c r="C429" t="s">
        <v>539</v>
      </c>
      <c r="D429">
        <v>5</v>
      </c>
      <c r="E429" t="str">
        <f>+CONCATENATE("T",ROUNDUP(MONTH(Datos[[#This Row],[Fecha]])/3,0))</f>
        <v>T2</v>
      </c>
      <c r="F429" t="str">
        <f>+CONCATENATE("Sem"," ",ROUNDUP(MONTH(Datos[[#This Row],[Fecha]])/6,0))</f>
        <v>Sem 1</v>
      </c>
      <c r="G429" t="s">
        <v>158</v>
      </c>
      <c r="H429" t="s">
        <v>159</v>
      </c>
      <c r="I429" t="s">
        <v>101</v>
      </c>
      <c r="J429" t="s">
        <v>160</v>
      </c>
      <c r="K429" t="s">
        <v>97</v>
      </c>
      <c r="L429" t="s">
        <v>27</v>
      </c>
      <c r="M429">
        <v>0</v>
      </c>
      <c r="N429" s="1">
        <v>45066</v>
      </c>
      <c r="O429" s="1">
        <v>45075</v>
      </c>
      <c r="P429" t="s">
        <v>58</v>
      </c>
      <c r="Q429">
        <f>+IF(OR(Datos[[#This Row],[Diagnostico]]="Inservible",Datos[[#This Row],[Estatus]]="Preventivo"),0,Datos[[#This Row],[Fecha_Final]]-Datos[[#This Row],[Día_Inicio]])</f>
        <v>9</v>
      </c>
      <c r="R429" s="2">
        <v>933</v>
      </c>
      <c r="S429" s="2">
        <v>792</v>
      </c>
      <c r="T429" t="s">
        <v>64</v>
      </c>
    </row>
    <row r="430" spans="1:20" x14ac:dyDescent="0.25">
      <c r="A430" t="s">
        <v>609</v>
      </c>
      <c r="B430" s="1">
        <v>45066</v>
      </c>
      <c r="C430" t="s">
        <v>539</v>
      </c>
      <c r="D430">
        <v>5</v>
      </c>
      <c r="E430" t="str">
        <f>+CONCATENATE("T",ROUNDUP(MONTH(Datos[[#This Row],[Fecha]])/3,0))</f>
        <v>T2</v>
      </c>
      <c r="F430" t="str">
        <f>+CONCATENATE("Sem"," ",ROUNDUP(MONTH(Datos[[#This Row],[Fecha]])/6,0))</f>
        <v>Sem 1</v>
      </c>
      <c r="G430" t="s">
        <v>169</v>
      </c>
      <c r="H430" t="s">
        <v>170</v>
      </c>
      <c r="I430" t="s">
        <v>68</v>
      </c>
      <c r="J430" t="s">
        <v>171</v>
      </c>
      <c r="K430" t="s">
        <v>39</v>
      </c>
      <c r="L430" t="s">
        <v>40</v>
      </c>
      <c r="M430" t="s">
        <v>75</v>
      </c>
      <c r="N430" s="1">
        <v>45066</v>
      </c>
      <c r="O430" s="1">
        <v>45426</v>
      </c>
      <c r="P430" t="s">
        <v>29</v>
      </c>
      <c r="Q430">
        <f>+IF(OR(Datos[[#This Row],[Diagnostico]]="Inservible",Datos[[#This Row],[Estatus]]="Preventivo"),0,Datos[[#This Row],[Fecha_Final]]-Datos[[#This Row],[Día_Inicio]])</f>
        <v>0</v>
      </c>
      <c r="R430" s="2">
        <v>1164</v>
      </c>
      <c r="S430" s="2">
        <v>237</v>
      </c>
      <c r="T430" t="s">
        <v>42</v>
      </c>
    </row>
    <row r="431" spans="1:20" x14ac:dyDescent="0.25">
      <c r="A431" t="s">
        <v>610</v>
      </c>
      <c r="B431" s="1">
        <v>45066</v>
      </c>
      <c r="C431" t="s">
        <v>539</v>
      </c>
      <c r="D431">
        <v>5</v>
      </c>
      <c r="E431" t="str">
        <f>+CONCATENATE("T",ROUNDUP(MONTH(Datos[[#This Row],[Fecha]])/3,0))</f>
        <v>T2</v>
      </c>
      <c r="F431" t="str">
        <f>+CONCATENATE("Sem"," ",ROUNDUP(MONTH(Datos[[#This Row],[Fecha]])/6,0))</f>
        <v>Sem 1</v>
      </c>
      <c r="G431" t="s">
        <v>66</v>
      </c>
      <c r="H431" t="s">
        <v>67</v>
      </c>
      <c r="I431" t="s">
        <v>68</v>
      </c>
      <c r="J431" t="s">
        <v>69</v>
      </c>
      <c r="K431" t="s">
        <v>108</v>
      </c>
      <c r="L431" t="s">
        <v>27</v>
      </c>
      <c r="M431">
        <v>0</v>
      </c>
      <c r="N431" s="1">
        <v>45066</v>
      </c>
      <c r="O431" s="1">
        <v>45080</v>
      </c>
      <c r="P431" t="s">
        <v>28</v>
      </c>
      <c r="Q431">
        <f>+IF(OR(Datos[[#This Row],[Diagnostico]]="Inservible",Datos[[#This Row],[Estatus]]="Preventivo"),0,Datos[[#This Row],[Fecha_Final]]-Datos[[#This Row],[Día_Inicio]])</f>
        <v>0</v>
      </c>
      <c r="R431" s="2">
        <v>0</v>
      </c>
      <c r="S431" s="2">
        <v>0</v>
      </c>
      <c r="T431" t="s">
        <v>29</v>
      </c>
    </row>
    <row r="432" spans="1:20" x14ac:dyDescent="0.25">
      <c r="A432" t="s">
        <v>611</v>
      </c>
      <c r="B432" s="1">
        <v>45067</v>
      </c>
      <c r="C432" t="s">
        <v>539</v>
      </c>
      <c r="D432">
        <v>5</v>
      </c>
      <c r="E432" t="str">
        <f>+CONCATENATE("T",ROUNDUP(MONTH(Datos[[#This Row],[Fecha]])/3,0))</f>
        <v>T2</v>
      </c>
      <c r="F432" t="str">
        <f>+CONCATENATE("Sem"," ",ROUNDUP(MONTH(Datos[[#This Row],[Fecha]])/6,0))</f>
        <v>Sem 1</v>
      </c>
      <c r="G432" t="s">
        <v>72</v>
      </c>
      <c r="H432" t="s">
        <v>73</v>
      </c>
      <c r="I432" t="s">
        <v>24</v>
      </c>
      <c r="J432" t="s">
        <v>74</v>
      </c>
      <c r="K432" t="s">
        <v>110</v>
      </c>
      <c r="L432" t="s">
        <v>27</v>
      </c>
      <c r="M432">
        <v>0</v>
      </c>
      <c r="N432" s="1">
        <v>45067</v>
      </c>
      <c r="O432" s="1">
        <v>45081</v>
      </c>
      <c r="P432" t="s">
        <v>28</v>
      </c>
      <c r="Q432">
        <f>+IF(OR(Datos[[#This Row],[Diagnostico]]="Inservible",Datos[[#This Row],[Estatus]]="Preventivo"),0,Datos[[#This Row],[Fecha_Final]]-Datos[[#This Row],[Día_Inicio]])</f>
        <v>0</v>
      </c>
      <c r="R432" s="2">
        <v>0</v>
      </c>
      <c r="S432" s="2">
        <v>0</v>
      </c>
      <c r="T432" t="s">
        <v>29</v>
      </c>
    </row>
    <row r="433" spans="1:20" x14ac:dyDescent="0.25">
      <c r="A433" t="s">
        <v>612</v>
      </c>
      <c r="B433" s="1">
        <v>45068</v>
      </c>
      <c r="C433" t="s">
        <v>539</v>
      </c>
      <c r="D433">
        <v>5</v>
      </c>
      <c r="E433" t="str">
        <f>+CONCATENATE("T",ROUNDUP(MONTH(Datos[[#This Row],[Fecha]])/3,0))</f>
        <v>T2</v>
      </c>
      <c r="F433" t="str">
        <f>+CONCATENATE("Sem"," ",ROUNDUP(MONTH(Datos[[#This Row],[Fecha]])/6,0))</f>
        <v>Sem 1</v>
      </c>
      <c r="G433" t="s">
        <v>331</v>
      </c>
      <c r="H433" t="s">
        <v>332</v>
      </c>
      <c r="I433" t="s">
        <v>68</v>
      </c>
      <c r="J433" t="s">
        <v>74</v>
      </c>
      <c r="K433" t="s">
        <v>114</v>
      </c>
      <c r="L433" t="s">
        <v>27</v>
      </c>
      <c r="M433">
        <v>0</v>
      </c>
      <c r="N433" s="1">
        <v>45068</v>
      </c>
      <c r="O433" s="1">
        <v>45093</v>
      </c>
      <c r="P433" t="s">
        <v>58</v>
      </c>
      <c r="Q433">
        <f>+IF(OR(Datos[[#This Row],[Diagnostico]]="Inservible",Datos[[#This Row],[Estatus]]="Preventivo"),0,Datos[[#This Row],[Fecha_Final]]-Datos[[#This Row],[Día_Inicio]])</f>
        <v>25</v>
      </c>
      <c r="R433" s="2">
        <v>623</v>
      </c>
      <c r="S433" s="2">
        <v>145</v>
      </c>
      <c r="T433" t="s">
        <v>42</v>
      </c>
    </row>
    <row r="434" spans="1:20" x14ac:dyDescent="0.25">
      <c r="A434" t="s">
        <v>613</v>
      </c>
      <c r="B434" s="1">
        <v>45069</v>
      </c>
      <c r="C434" t="s">
        <v>539</v>
      </c>
      <c r="D434">
        <v>5</v>
      </c>
      <c r="E434" t="str">
        <f>+CONCATENATE("T",ROUNDUP(MONTH(Datos[[#This Row],[Fecha]])/3,0))</f>
        <v>T2</v>
      </c>
      <c r="F434" t="str">
        <f>+CONCATENATE("Sem"," ",ROUNDUP(MONTH(Datos[[#This Row],[Fecha]])/6,0))</f>
        <v>Sem 1</v>
      </c>
      <c r="G434" t="s">
        <v>158</v>
      </c>
      <c r="H434" t="s">
        <v>159</v>
      </c>
      <c r="I434" t="s">
        <v>101</v>
      </c>
      <c r="J434" t="s">
        <v>160</v>
      </c>
      <c r="K434" t="s">
        <v>119</v>
      </c>
      <c r="L434" t="s">
        <v>27</v>
      </c>
      <c r="M434">
        <v>0</v>
      </c>
      <c r="N434" s="1">
        <v>45069</v>
      </c>
      <c r="O434" s="1">
        <v>45079</v>
      </c>
      <c r="P434" t="s">
        <v>28</v>
      </c>
      <c r="Q434">
        <f>+IF(OR(Datos[[#This Row],[Diagnostico]]="Inservible",Datos[[#This Row],[Estatus]]="Preventivo"),0,Datos[[#This Row],[Fecha_Final]]-Datos[[#This Row],[Día_Inicio]])</f>
        <v>0</v>
      </c>
      <c r="R434" s="2">
        <v>0</v>
      </c>
      <c r="S434" s="2">
        <v>0</v>
      </c>
      <c r="T434" t="s">
        <v>29</v>
      </c>
    </row>
    <row r="435" spans="1:20" x14ac:dyDescent="0.25">
      <c r="A435" t="s">
        <v>614</v>
      </c>
      <c r="B435" s="1">
        <v>45069</v>
      </c>
      <c r="C435" t="s">
        <v>539</v>
      </c>
      <c r="D435">
        <v>5</v>
      </c>
      <c r="E435" t="str">
        <f>+CONCATENATE("T",ROUNDUP(MONTH(Datos[[#This Row],[Fecha]])/3,0))</f>
        <v>T2</v>
      </c>
      <c r="F435" t="str">
        <f>+CONCATENATE("Sem"," ",ROUNDUP(MONTH(Datos[[#This Row],[Fecha]])/6,0))</f>
        <v>Sem 1</v>
      </c>
      <c r="G435" t="s">
        <v>154</v>
      </c>
      <c r="H435" t="s">
        <v>155</v>
      </c>
      <c r="I435" t="s">
        <v>68</v>
      </c>
      <c r="J435" t="s">
        <v>156</v>
      </c>
      <c r="K435" t="s">
        <v>123</v>
      </c>
      <c r="L435" t="s">
        <v>27</v>
      </c>
      <c r="M435">
        <v>0</v>
      </c>
      <c r="N435" s="1">
        <v>45069</v>
      </c>
      <c r="O435" s="1">
        <v>45074</v>
      </c>
      <c r="P435" t="s">
        <v>58</v>
      </c>
      <c r="Q435">
        <f>+IF(OR(Datos[[#This Row],[Diagnostico]]="Inservible",Datos[[#This Row],[Estatus]]="Preventivo"),0,Datos[[#This Row],[Fecha_Final]]-Datos[[#This Row],[Día_Inicio]])</f>
        <v>5</v>
      </c>
      <c r="R435" s="2">
        <v>368</v>
      </c>
      <c r="S435" s="2">
        <v>428</v>
      </c>
      <c r="T435" t="s">
        <v>91</v>
      </c>
    </row>
    <row r="436" spans="1:20" x14ac:dyDescent="0.25">
      <c r="A436" t="s">
        <v>615</v>
      </c>
      <c r="B436" s="1">
        <v>45069</v>
      </c>
      <c r="C436" t="s">
        <v>539</v>
      </c>
      <c r="D436">
        <v>5</v>
      </c>
      <c r="E436" t="str">
        <f>+CONCATENATE("T",ROUNDUP(MONTH(Datos[[#This Row],[Fecha]])/3,0))</f>
        <v>T2</v>
      </c>
      <c r="F436" t="str">
        <f>+CONCATENATE("Sem"," ",ROUNDUP(MONTH(Datos[[#This Row],[Fecha]])/6,0))</f>
        <v>Sem 1</v>
      </c>
      <c r="G436" t="s">
        <v>164</v>
      </c>
      <c r="H436" t="s">
        <v>165</v>
      </c>
      <c r="I436" t="s">
        <v>24</v>
      </c>
      <c r="J436" t="s">
        <v>166</v>
      </c>
      <c r="K436" t="s">
        <v>128</v>
      </c>
      <c r="L436" t="s">
        <v>27</v>
      </c>
      <c r="M436">
        <v>0</v>
      </c>
      <c r="N436" s="1">
        <v>45069</v>
      </c>
      <c r="O436" s="1">
        <v>45087</v>
      </c>
      <c r="P436" t="s">
        <v>58</v>
      </c>
      <c r="Q436">
        <f>+IF(OR(Datos[[#This Row],[Diagnostico]]="Inservible",Datos[[#This Row],[Estatus]]="Preventivo"),0,Datos[[#This Row],[Fecha_Final]]-Datos[[#This Row],[Día_Inicio]])</f>
        <v>18</v>
      </c>
      <c r="R436" s="2">
        <v>539</v>
      </c>
      <c r="S436" s="2">
        <v>720</v>
      </c>
      <c r="T436" t="s">
        <v>64</v>
      </c>
    </row>
    <row r="437" spans="1:20" x14ac:dyDescent="0.25">
      <c r="A437" t="s">
        <v>616</v>
      </c>
      <c r="B437" s="1">
        <v>45069</v>
      </c>
      <c r="C437" t="s">
        <v>539</v>
      </c>
      <c r="D437">
        <v>5</v>
      </c>
      <c r="E437" t="str">
        <f>+CONCATENATE("T",ROUNDUP(MONTH(Datos[[#This Row],[Fecha]])/3,0))</f>
        <v>T2</v>
      </c>
      <c r="F437" t="str">
        <f>+CONCATENATE("Sem"," ",ROUNDUP(MONTH(Datos[[#This Row],[Fecha]])/6,0))</f>
        <v>Sem 1</v>
      </c>
      <c r="G437" t="s">
        <v>190</v>
      </c>
      <c r="H437" t="s">
        <v>191</v>
      </c>
      <c r="I437" t="s">
        <v>24</v>
      </c>
      <c r="J437" t="s">
        <v>192</v>
      </c>
      <c r="K437" t="s">
        <v>130</v>
      </c>
      <c r="L437" t="s">
        <v>27</v>
      </c>
      <c r="M437">
        <v>0</v>
      </c>
      <c r="N437" s="1">
        <v>45069</v>
      </c>
      <c r="O437" s="1">
        <v>45079</v>
      </c>
      <c r="P437" t="s">
        <v>28</v>
      </c>
      <c r="Q437">
        <f>+IF(OR(Datos[[#This Row],[Diagnostico]]="Inservible",Datos[[#This Row],[Estatus]]="Preventivo"),0,Datos[[#This Row],[Fecha_Final]]-Datos[[#This Row],[Día_Inicio]])</f>
        <v>0</v>
      </c>
      <c r="R437" s="2">
        <v>0</v>
      </c>
      <c r="S437" s="2">
        <v>0</v>
      </c>
      <c r="T437" t="s">
        <v>29</v>
      </c>
    </row>
    <row r="438" spans="1:20" x14ac:dyDescent="0.25">
      <c r="A438" t="s">
        <v>617</v>
      </c>
      <c r="B438" s="1">
        <v>45069</v>
      </c>
      <c r="C438" t="s">
        <v>539</v>
      </c>
      <c r="D438">
        <v>5</v>
      </c>
      <c r="E438" t="str">
        <f>+CONCATENATE("T",ROUNDUP(MONTH(Datos[[#This Row],[Fecha]])/3,0))</f>
        <v>T2</v>
      </c>
      <c r="F438" t="str">
        <f>+CONCATENATE("Sem"," ",ROUNDUP(MONTH(Datos[[#This Row],[Fecha]])/6,0))</f>
        <v>Sem 1</v>
      </c>
      <c r="G438" t="s">
        <v>246</v>
      </c>
      <c r="H438" t="s">
        <v>247</v>
      </c>
      <c r="I438" t="s">
        <v>24</v>
      </c>
      <c r="J438" t="s">
        <v>156</v>
      </c>
      <c r="K438" t="s">
        <v>39</v>
      </c>
      <c r="L438" t="s">
        <v>40</v>
      </c>
      <c r="M438" t="s">
        <v>196</v>
      </c>
      <c r="N438" s="1">
        <v>45069</v>
      </c>
      <c r="O438" s="1">
        <v>45099</v>
      </c>
      <c r="P438" t="s">
        <v>29</v>
      </c>
      <c r="Q438">
        <f>+IF(OR(Datos[[#This Row],[Diagnostico]]="Inservible",Datos[[#This Row],[Estatus]]="Preventivo"),0,Datos[[#This Row],[Fecha_Final]]-Datos[[#This Row],[Día_Inicio]])</f>
        <v>0</v>
      </c>
      <c r="R438" s="2">
        <v>1042</v>
      </c>
      <c r="S438" s="2">
        <v>637</v>
      </c>
      <c r="T438" t="s">
        <v>42</v>
      </c>
    </row>
    <row r="439" spans="1:20" x14ac:dyDescent="0.25">
      <c r="A439" t="s">
        <v>618</v>
      </c>
      <c r="B439" s="1">
        <v>45069</v>
      </c>
      <c r="C439" t="s">
        <v>539</v>
      </c>
      <c r="D439">
        <v>5</v>
      </c>
      <c r="E439" t="str">
        <f>+CONCATENATE("T",ROUNDUP(MONTH(Datos[[#This Row],[Fecha]])/3,0))</f>
        <v>T2</v>
      </c>
      <c r="F439" t="str">
        <f>+CONCATENATE("Sem"," ",ROUNDUP(MONTH(Datos[[#This Row],[Fecha]])/6,0))</f>
        <v>Sem 1</v>
      </c>
      <c r="G439" t="s">
        <v>53</v>
      </c>
      <c r="H439" t="s">
        <v>54</v>
      </c>
      <c r="I439" t="s">
        <v>55</v>
      </c>
      <c r="J439" t="s">
        <v>56</v>
      </c>
      <c r="K439" t="s">
        <v>26</v>
      </c>
      <c r="L439" t="s">
        <v>27</v>
      </c>
      <c r="M439">
        <v>0</v>
      </c>
      <c r="N439" s="1">
        <v>45069</v>
      </c>
      <c r="O439" s="1">
        <v>45088</v>
      </c>
      <c r="P439" t="s">
        <v>58</v>
      </c>
      <c r="Q439">
        <f>+IF(OR(Datos[[#This Row],[Diagnostico]]="Inservible",Datos[[#This Row],[Estatus]]="Preventivo"),0,Datos[[#This Row],[Fecha_Final]]-Datos[[#This Row],[Día_Inicio]])</f>
        <v>19</v>
      </c>
      <c r="R439" s="2">
        <v>759</v>
      </c>
      <c r="S439" s="2">
        <v>249</v>
      </c>
      <c r="T439" t="s">
        <v>59</v>
      </c>
    </row>
    <row r="440" spans="1:20" x14ac:dyDescent="0.25">
      <c r="A440" t="s">
        <v>619</v>
      </c>
      <c r="B440" s="1">
        <v>45069</v>
      </c>
      <c r="C440" t="s">
        <v>539</v>
      </c>
      <c r="D440">
        <v>5</v>
      </c>
      <c r="E440" t="str">
        <f>+CONCATENATE("T",ROUNDUP(MONTH(Datos[[#This Row],[Fecha]])/3,0))</f>
        <v>T2</v>
      </c>
      <c r="F440" t="str">
        <f>+CONCATENATE("Sem"," ",ROUNDUP(MONTH(Datos[[#This Row],[Fecha]])/6,0))</f>
        <v>Sem 1</v>
      </c>
      <c r="G440" t="s">
        <v>121</v>
      </c>
      <c r="H440" t="s">
        <v>122</v>
      </c>
      <c r="I440" t="s">
        <v>24</v>
      </c>
      <c r="J440" t="s">
        <v>102</v>
      </c>
      <c r="K440" t="s">
        <v>34</v>
      </c>
      <c r="L440" t="s">
        <v>27</v>
      </c>
      <c r="M440">
        <v>0</v>
      </c>
      <c r="N440" s="1">
        <v>45069</v>
      </c>
      <c r="O440" s="1">
        <v>45095</v>
      </c>
      <c r="P440" t="s">
        <v>28</v>
      </c>
      <c r="Q440">
        <f>+IF(OR(Datos[[#This Row],[Diagnostico]]="Inservible",Datos[[#This Row],[Estatus]]="Preventivo"),0,Datos[[#This Row],[Fecha_Final]]-Datos[[#This Row],[Día_Inicio]])</f>
        <v>0</v>
      </c>
      <c r="R440" s="2">
        <v>0</v>
      </c>
      <c r="S440" s="2">
        <v>0</v>
      </c>
      <c r="T440" t="s">
        <v>29</v>
      </c>
    </row>
    <row r="441" spans="1:20" x14ac:dyDescent="0.25">
      <c r="A441" t="s">
        <v>620</v>
      </c>
      <c r="B441" s="1">
        <v>45070</v>
      </c>
      <c r="C441" t="s">
        <v>539</v>
      </c>
      <c r="D441">
        <v>5</v>
      </c>
      <c r="E441" t="str">
        <f>+CONCATENATE("T",ROUNDUP(MONTH(Datos[[#This Row],[Fecha]])/3,0))</f>
        <v>T2</v>
      </c>
      <c r="F441" t="str">
        <f>+CONCATENATE("Sem"," ",ROUNDUP(MONTH(Datos[[#This Row],[Fecha]])/6,0))</f>
        <v>Sem 1</v>
      </c>
      <c r="G441" t="s">
        <v>190</v>
      </c>
      <c r="H441" t="s">
        <v>191</v>
      </c>
      <c r="I441" t="s">
        <v>24</v>
      </c>
      <c r="J441" t="s">
        <v>192</v>
      </c>
      <c r="K441" t="s">
        <v>39</v>
      </c>
      <c r="L441" t="s">
        <v>27</v>
      </c>
      <c r="M441">
        <v>0</v>
      </c>
      <c r="N441" s="1">
        <v>45070</v>
      </c>
      <c r="O441" s="1">
        <v>45085</v>
      </c>
      <c r="P441" t="s">
        <v>28</v>
      </c>
      <c r="Q441">
        <f>+IF(OR(Datos[[#This Row],[Diagnostico]]="Inservible",Datos[[#This Row],[Estatus]]="Preventivo"),0,Datos[[#This Row],[Fecha_Final]]-Datos[[#This Row],[Día_Inicio]])</f>
        <v>0</v>
      </c>
      <c r="R441" s="2">
        <v>0</v>
      </c>
      <c r="S441" s="2">
        <v>0</v>
      </c>
      <c r="T441" t="s">
        <v>29</v>
      </c>
    </row>
    <row r="442" spans="1:20" x14ac:dyDescent="0.25">
      <c r="A442" t="s">
        <v>621</v>
      </c>
      <c r="B442" s="1">
        <v>45070</v>
      </c>
      <c r="C442" t="s">
        <v>539</v>
      </c>
      <c r="D442">
        <v>5</v>
      </c>
      <c r="E442" t="str">
        <f>+CONCATENATE("T",ROUNDUP(MONTH(Datos[[#This Row],[Fecha]])/3,0))</f>
        <v>T2</v>
      </c>
      <c r="F442" t="str">
        <f>+CONCATENATE("Sem"," ",ROUNDUP(MONTH(Datos[[#This Row],[Fecha]])/6,0))</f>
        <v>Sem 1</v>
      </c>
      <c r="G442" t="s">
        <v>31</v>
      </c>
      <c r="H442" t="s">
        <v>32</v>
      </c>
      <c r="I442" t="s">
        <v>24</v>
      </c>
      <c r="J442" t="s">
        <v>33</v>
      </c>
      <c r="K442" t="s">
        <v>47</v>
      </c>
      <c r="L442" t="s">
        <v>27</v>
      </c>
      <c r="M442">
        <v>0</v>
      </c>
      <c r="N442" s="1">
        <v>45070</v>
      </c>
      <c r="O442" s="1">
        <v>45091</v>
      </c>
      <c r="P442" t="s">
        <v>28</v>
      </c>
      <c r="Q442">
        <f>+IF(OR(Datos[[#This Row],[Diagnostico]]="Inservible",Datos[[#This Row],[Estatus]]="Preventivo"),0,Datos[[#This Row],[Fecha_Final]]-Datos[[#This Row],[Día_Inicio]])</f>
        <v>0</v>
      </c>
      <c r="R442" s="2">
        <v>0</v>
      </c>
      <c r="S442" s="2">
        <v>0</v>
      </c>
      <c r="T442" t="s">
        <v>29</v>
      </c>
    </row>
    <row r="443" spans="1:20" x14ac:dyDescent="0.25">
      <c r="A443" t="s">
        <v>622</v>
      </c>
      <c r="B443" s="1">
        <v>45070</v>
      </c>
      <c r="C443" t="s">
        <v>539</v>
      </c>
      <c r="D443">
        <v>5</v>
      </c>
      <c r="E443" t="str">
        <f>+CONCATENATE("T",ROUNDUP(MONTH(Datos[[#This Row],[Fecha]])/3,0))</f>
        <v>T2</v>
      </c>
      <c r="F443" t="str">
        <f>+CONCATENATE("Sem"," ",ROUNDUP(MONTH(Datos[[#This Row],[Fecha]])/6,0))</f>
        <v>Sem 1</v>
      </c>
      <c r="G443" t="s">
        <v>49</v>
      </c>
      <c r="H443" t="s">
        <v>23</v>
      </c>
      <c r="I443" t="s">
        <v>24</v>
      </c>
      <c r="J443" t="s">
        <v>50</v>
      </c>
      <c r="K443" t="s">
        <v>147</v>
      </c>
      <c r="L443" t="s">
        <v>27</v>
      </c>
      <c r="M443">
        <v>0</v>
      </c>
      <c r="N443" s="1">
        <v>45070</v>
      </c>
      <c r="O443" s="1">
        <v>45097</v>
      </c>
      <c r="P443" t="s">
        <v>28</v>
      </c>
      <c r="Q443">
        <f>+IF(OR(Datos[[#This Row],[Diagnostico]]="Inservible",Datos[[#This Row],[Estatus]]="Preventivo"),0,Datos[[#This Row],[Fecha_Final]]-Datos[[#This Row],[Día_Inicio]])</f>
        <v>0</v>
      </c>
      <c r="R443" s="2">
        <v>0</v>
      </c>
      <c r="S443" s="2">
        <v>0</v>
      </c>
      <c r="T443" t="s">
        <v>29</v>
      </c>
    </row>
    <row r="444" spans="1:20" x14ac:dyDescent="0.25">
      <c r="A444" t="s">
        <v>623</v>
      </c>
      <c r="B444" s="1">
        <v>45071</v>
      </c>
      <c r="C444" t="s">
        <v>539</v>
      </c>
      <c r="D444">
        <v>5</v>
      </c>
      <c r="E444" t="str">
        <f>+CONCATENATE("T",ROUNDUP(MONTH(Datos[[#This Row],[Fecha]])/3,0))</f>
        <v>T2</v>
      </c>
      <c r="F444" t="str">
        <f>+CONCATENATE("Sem"," ",ROUNDUP(MONTH(Datos[[#This Row],[Fecha]])/6,0))</f>
        <v>Sem 1</v>
      </c>
      <c r="G444" t="s">
        <v>121</v>
      </c>
      <c r="H444" t="s">
        <v>122</v>
      </c>
      <c r="I444" t="s">
        <v>24</v>
      </c>
      <c r="J444" t="s">
        <v>102</v>
      </c>
      <c r="K444" t="s">
        <v>57</v>
      </c>
      <c r="L444" t="s">
        <v>27</v>
      </c>
      <c r="M444">
        <v>0</v>
      </c>
      <c r="N444" s="1">
        <v>45071</v>
      </c>
      <c r="O444" s="1">
        <v>45089</v>
      </c>
      <c r="P444" t="s">
        <v>58</v>
      </c>
      <c r="Q444">
        <f>+IF(OR(Datos[[#This Row],[Diagnostico]]="Inservible",Datos[[#This Row],[Estatus]]="Preventivo"),0,Datos[[#This Row],[Fecha_Final]]-Datos[[#This Row],[Día_Inicio]])</f>
        <v>18</v>
      </c>
      <c r="R444" s="2">
        <v>881</v>
      </c>
      <c r="S444" s="2">
        <v>834</v>
      </c>
      <c r="T444" t="s">
        <v>91</v>
      </c>
    </row>
    <row r="445" spans="1:20" x14ac:dyDescent="0.25">
      <c r="A445" t="s">
        <v>624</v>
      </c>
      <c r="B445" s="1">
        <v>45071</v>
      </c>
      <c r="C445" t="s">
        <v>539</v>
      </c>
      <c r="D445">
        <v>5</v>
      </c>
      <c r="E445" t="str">
        <f>+CONCATENATE("T",ROUNDUP(MONTH(Datos[[#This Row],[Fecha]])/3,0))</f>
        <v>T2</v>
      </c>
      <c r="F445" t="str">
        <f>+CONCATENATE("Sem"," ",ROUNDUP(MONTH(Datos[[#This Row],[Fecha]])/6,0))</f>
        <v>Sem 1</v>
      </c>
      <c r="G445" t="s">
        <v>82</v>
      </c>
      <c r="H445" t="s">
        <v>83</v>
      </c>
      <c r="I445" t="s">
        <v>24</v>
      </c>
      <c r="J445" t="s">
        <v>84</v>
      </c>
      <c r="K445" t="s">
        <v>63</v>
      </c>
      <c r="L445" t="s">
        <v>27</v>
      </c>
      <c r="M445">
        <v>0</v>
      </c>
      <c r="N445" s="1">
        <v>45071</v>
      </c>
      <c r="O445" s="1">
        <v>45083</v>
      </c>
      <c r="P445" t="s">
        <v>28</v>
      </c>
      <c r="Q445">
        <f>+IF(OR(Datos[[#This Row],[Diagnostico]]="Inservible",Datos[[#This Row],[Estatus]]="Preventivo"),0,Datos[[#This Row],[Fecha_Final]]-Datos[[#This Row],[Día_Inicio]])</f>
        <v>0</v>
      </c>
      <c r="R445" s="2">
        <v>0</v>
      </c>
      <c r="S445" s="2">
        <v>0</v>
      </c>
      <c r="T445" t="s">
        <v>29</v>
      </c>
    </row>
    <row r="446" spans="1:20" x14ac:dyDescent="0.25">
      <c r="A446" t="s">
        <v>625</v>
      </c>
      <c r="B446" s="1">
        <v>45071</v>
      </c>
      <c r="C446" t="s">
        <v>539</v>
      </c>
      <c r="D446">
        <v>5</v>
      </c>
      <c r="E446" t="str">
        <f>+CONCATENATE("T",ROUNDUP(MONTH(Datos[[#This Row],[Fecha]])/3,0))</f>
        <v>T2</v>
      </c>
      <c r="F446" t="str">
        <f>+CONCATENATE("Sem"," ",ROUNDUP(MONTH(Datos[[#This Row],[Fecha]])/6,0))</f>
        <v>Sem 1</v>
      </c>
      <c r="G446" t="s">
        <v>72</v>
      </c>
      <c r="H446" t="s">
        <v>73</v>
      </c>
      <c r="I446" t="s">
        <v>24</v>
      </c>
      <c r="J446" t="s">
        <v>74</v>
      </c>
      <c r="K446" t="s">
        <v>70</v>
      </c>
      <c r="L446" t="s">
        <v>27</v>
      </c>
      <c r="M446">
        <v>0</v>
      </c>
      <c r="N446" s="1">
        <v>45071</v>
      </c>
      <c r="O446" s="1">
        <v>45097</v>
      </c>
      <c r="P446" t="s">
        <v>58</v>
      </c>
      <c r="Q446">
        <f>+IF(OR(Datos[[#This Row],[Diagnostico]]="Inservible",Datos[[#This Row],[Estatus]]="Preventivo"),0,Datos[[#This Row],[Fecha_Final]]-Datos[[#This Row],[Día_Inicio]])</f>
        <v>26</v>
      </c>
      <c r="R446" s="2">
        <v>725</v>
      </c>
      <c r="S446" s="2">
        <v>811</v>
      </c>
      <c r="T446" t="s">
        <v>59</v>
      </c>
    </row>
    <row r="447" spans="1:20" x14ac:dyDescent="0.25">
      <c r="A447" t="s">
        <v>626</v>
      </c>
      <c r="B447" s="1">
        <v>45072</v>
      </c>
      <c r="C447" t="s">
        <v>539</v>
      </c>
      <c r="D447">
        <v>5</v>
      </c>
      <c r="E447" t="str">
        <f>+CONCATENATE("T",ROUNDUP(MONTH(Datos[[#This Row],[Fecha]])/3,0))</f>
        <v>T2</v>
      </c>
      <c r="F447" t="str">
        <f>+CONCATENATE("Sem"," ",ROUNDUP(MONTH(Datos[[#This Row],[Fecha]])/6,0))</f>
        <v>Sem 1</v>
      </c>
      <c r="G447" t="s">
        <v>49</v>
      </c>
      <c r="H447" t="s">
        <v>23</v>
      </c>
      <c r="I447" t="s">
        <v>24</v>
      </c>
      <c r="J447" t="s">
        <v>50</v>
      </c>
      <c r="K447" t="s">
        <v>161</v>
      </c>
      <c r="L447" t="s">
        <v>27</v>
      </c>
      <c r="M447">
        <v>0</v>
      </c>
      <c r="N447" s="1">
        <v>45072</v>
      </c>
      <c r="O447" s="1">
        <v>45101</v>
      </c>
      <c r="P447" t="s">
        <v>28</v>
      </c>
      <c r="Q447">
        <f>+IF(OR(Datos[[#This Row],[Diagnostico]]="Inservible",Datos[[#This Row],[Estatus]]="Preventivo"),0,Datos[[#This Row],[Fecha_Final]]-Datos[[#This Row],[Día_Inicio]])</f>
        <v>0</v>
      </c>
      <c r="R447" s="2">
        <v>0</v>
      </c>
      <c r="S447" s="2">
        <v>0</v>
      </c>
      <c r="T447" t="s">
        <v>29</v>
      </c>
    </row>
    <row r="448" spans="1:20" x14ac:dyDescent="0.25">
      <c r="A448" t="s">
        <v>627</v>
      </c>
      <c r="B448" s="1">
        <v>45072</v>
      </c>
      <c r="C448" t="s">
        <v>539</v>
      </c>
      <c r="D448">
        <v>5</v>
      </c>
      <c r="E448" t="str">
        <f>+CONCATENATE("T",ROUNDUP(MONTH(Datos[[#This Row],[Fecha]])/3,0))</f>
        <v>T2</v>
      </c>
      <c r="F448" t="str">
        <f>+CONCATENATE("Sem"," ",ROUNDUP(MONTH(Datos[[#This Row],[Fecha]])/6,0))</f>
        <v>Sem 1</v>
      </c>
      <c r="G448" t="s">
        <v>246</v>
      </c>
      <c r="H448" t="s">
        <v>247</v>
      </c>
      <c r="I448" t="s">
        <v>24</v>
      </c>
      <c r="J448" t="s">
        <v>156</v>
      </c>
      <c r="K448" t="s">
        <v>39</v>
      </c>
      <c r="L448" t="s">
        <v>40</v>
      </c>
      <c r="M448" t="s">
        <v>208</v>
      </c>
      <c r="N448" s="1">
        <v>45072</v>
      </c>
      <c r="O448" s="1">
        <v>45079</v>
      </c>
      <c r="P448" t="s">
        <v>29</v>
      </c>
      <c r="Q448">
        <f>+IF(OR(Datos[[#This Row],[Diagnostico]]="Inservible",Datos[[#This Row],[Estatus]]="Preventivo"),0,Datos[[#This Row],[Fecha_Final]]-Datos[[#This Row],[Día_Inicio]])</f>
        <v>0</v>
      </c>
      <c r="R448" s="2">
        <v>479</v>
      </c>
      <c r="S448" s="2">
        <v>844</v>
      </c>
      <c r="T448" t="s">
        <v>42</v>
      </c>
    </row>
    <row r="449" spans="1:20" x14ac:dyDescent="0.25">
      <c r="A449" t="s">
        <v>628</v>
      </c>
      <c r="B449" s="1">
        <v>45072</v>
      </c>
      <c r="C449" t="s">
        <v>539</v>
      </c>
      <c r="D449">
        <v>5</v>
      </c>
      <c r="E449" t="str">
        <f>+CONCATENATE("T",ROUNDUP(MONTH(Datos[[#This Row],[Fecha]])/3,0))</f>
        <v>T2</v>
      </c>
      <c r="F449" t="str">
        <f>+CONCATENATE("Sem"," ",ROUNDUP(MONTH(Datos[[#This Row],[Fecha]])/6,0))</f>
        <v>Sem 1</v>
      </c>
      <c r="G449" t="s">
        <v>125</v>
      </c>
      <c r="H449" t="s">
        <v>126</v>
      </c>
      <c r="I449" t="s">
        <v>24</v>
      </c>
      <c r="J449" t="s">
        <v>127</v>
      </c>
      <c r="K449" t="s">
        <v>85</v>
      </c>
      <c r="L449" t="s">
        <v>27</v>
      </c>
      <c r="M449">
        <v>0</v>
      </c>
      <c r="N449" s="1">
        <v>45072</v>
      </c>
      <c r="O449" s="1">
        <v>45087</v>
      </c>
      <c r="P449" t="s">
        <v>28</v>
      </c>
      <c r="Q449">
        <f>+IF(OR(Datos[[#This Row],[Diagnostico]]="Inservible",Datos[[#This Row],[Estatus]]="Preventivo"),0,Datos[[#This Row],[Fecha_Final]]-Datos[[#This Row],[Día_Inicio]])</f>
        <v>0</v>
      </c>
      <c r="R449" s="2">
        <v>0</v>
      </c>
      <c r="S449" s="2">
        <v>0</v>
      </c>
      <c r="T449" t="s">
        <v>29</v>
      </c>
    </row>
    <row r="450" spans="1:20" x14ac:dyDescent="0.25">
      <c r="A450" t="s">
        <v>629</v>
      </c>
      <c r="B450" s="1">
        <v>45072</v>
      </c>
      <c r="C450" t="s">
        <v>539</v>
      </c>
      <c r="D450">
        <v>5</v>
      </c>
      <c r="E450" t="str">
        <f>+CONCATENATE("T",ROUNDUP(MONTH(Datos[[#This Row],[Fecha]])/3,0))</f>
        <v>T2</v>
      </c>
      <c r="F450" t="str">
        <f>+CONCATENATE("Sem"," ",ROUNDUP(MONTH(Datos[[#This Row],[Fecha]])/6,0))</f>
        <v>Sem 1</v>
      </c>
      <c r="G450" t="s">
        <v>215</v>
      </c>
      <c r="H450" t="s">
        <v>216</v>
      </c>
      <c r="I450" t="s">
        <v>24</v>
      </c>
      <c r="J450" t="s">
        <v>50</v>
      </c>
      <c r="K450" t="s">
        <v>90</v>
      </c>
      <c r="L450" t="s">
        <v>27</v>
      </c>
      <c r="M450">
        <v>0</v>
      </c>
      <c r="N450" s="1">
        <v>45072</v>
      </c>
      <c r="O450" s="1">
        <v>45093</v>
      </c>
      <c r="P450" t="s">
        <v>58</v>
      </c>
      <c r="Q450">
        <f>+IF(OR(Datos[[#This Row],[Diagnostico]]="Inservible",Datos[[#This Row],[Estatus]]="Preventivo"),0,Datos[[#This Row],[Fecha_Final]]-Datos[[#This Row],[Día_Inicio]])</f>
        <v>21</v>
      </c>
      <c r="R450" s="2">
        <v>820</v>
      </c>
      <c r="S450" s="2">
        <v>104</v>
      </c>
      <c r="T450" t="s">
        <v>91</v>
      </c>
    </row>
    <row r="451" spans="1:20" x14ac:dyDescent="0.25">
      <c r="A451" t="s">
        <v>630</v>
      </c>
      <c r="B451" s="1">
        <v>45073</v>
      </c>
      <c r="C451" t="s">
        <v>539</v>
      </c>
      <c r="D451">
        <v>5</v>
      </c>
      <c r="E451" t="str">
        <f>+CONCATENATE("T",ROUNDUP(MONTH(Datos[[#This Row],[Fecha]])/3,0))</f>
        <v>T2</v>
      </c>
      <c r="F451" t="str">
        <f>+CONCATENATE("Sem"," ",ROUNDUP(MONTH(Datos[[#This Row],[Fecha]])/6,0))</f>
        <v>Sem 1</v>
      </c>
      <c r="G451" t="s">
        <v>169</v>
      </c>
      <c r="H451" t="s">
        <v>170</v>
      </c>
      <c r="I451" t="s">
        <v>68</v>
      </c>
      <c r="J451" t="s">
        <v>171</v>
      </c>
      <c r="K451" t="s">
        <v>172</v>
      </c>
      <c r="L451" t="s">
        <v>27</v>
      </c>
      <c r="M451">
        <v>0</v>
      </c>
      <c r="N451" s="1">
        <v>45073</v>
      </c>
      <c r="O451" s="1">
        <v>45097</v>
      </c>
      <c r="P451" t="s">
        <v>58</v>
      </c>
      <c r="Q451">
        <f>+IF(OR(Datos[[#This Row],[Diagnostico]]="Inservible",Datos[[#This Row],[Estatus]]="Preventivo"),0,Datos[[#This Row],[Fecha_Final]]-Datos[[#This Row],[Día_Inicio]])</f>
        <v>24</v>
      </c>
      <c r="R451" s="2">
        <v>984</v>
      </c>
      <c r="S451" s="2">
        <v>299</v>
      </c>
      <c r="T451" t="s">
        <v>64</v>
      </c>
    </row>
    <row r="452" spans="1:20" x14ac:dyDescent="0.25">
      <c r="A452" t="s">
        <v>631</v>
      </c>
      <c r="B452" s="1">
        <v>45073</v>
      </c>
      <c r="C452" t="s">
        <v>539</v>
      </c>
      <c r="D452">
        <v>5</v>
      </c>
      <c r="E452" t="str">
        <f>+CONCATENATE("T",ROUNDUP(MONTH(Datos[[#This Row],[Fecha]])/3,0))</f>
        <v>T2</v>
      </c>
      <c r="F452" t="str">
        <f>+CONCATENATE("Sem"," ",ROUNDUP(MONTH(Datos[[#This Row],[Fecha]])/6,0))</f>
        <v>Sem 1</v>
      </c>
      <c r="G452" t="s">
        <v>105</v>
      </c>
      <c r="H452" t="s">
        <v>106</v>
      </c>
      <c r="I452" t="s">
        <v>24</v>
      </c>
      <c r="J452" t="s">
        <v>107</v>
      </c>
      <c r="K452" t="s">
        <v>39</v>
      </c>
      <c r="L452" t="s">
        <v>40</v>
      </c>
      <c r="M452" t="s">
        <v>208</v>
      </c>
      <c r="N452" s="1">
        <v>45073</v>
      </c>
      <c r="O452" s="1">
        <v>45080</v>
      </c>
      <c r="P452" t="s">
        <v>29</v>
      </c>
      <c r="Q452">
        <f>+IF(OR(Datos[[#This Row],[Diagnostico]]="Inservible",Datos[[#This Row],[Estatus]]="Preventivo"),0,Datos[[#This Row],[Fecha_Final]]-Datos[[#This Row],[Día_Inicio]])</f>
        <v>0</v>
      </c>
      <c r="R452" s="2">
        <v>889</v>
      </c>
      <c r="S452" s="2">
        <v>307</v>
      </c>
      <c r="T452" t="s">
        <v>42</v>
      </c>
    </row>
    <row r="453" spans="1:20" x14ac:dyDescent="0.25">
      <c r="A453" t="s">
        <v>632</v>
      </c>
      <c r="B453" s="1">
        <v>45073</v>
      </c>
      <c r="C453" t="s">
        <v>539</v>
      </c>
      <c r="D453">
        <v>5</v>
      </c>
      <c r="E453" t="str">
        <f>+CONCATENATE("T",ROUNDUP(MONTH(Datos[[#This Row],[Fecha]])/3,0))</f>
        <v>T2</v>
      </c>
      <c r="F453" t="str">
        <f>+CONCATENATE("Sem"," ",ROUNDUP(MONTH(Datos[[#This Row],[Fecha]])/6,0))</f>
        <v>Sem 1</v>
      </c>
      <c r="G453" t="s">
        <v>190</v>
      </c>
      <c r="H453" t="s">
        <v>191</v>
      </c>
      <c r="I453" t="s">
        <v>24</v>
      </c>
      <c r="J453" t="s">
        <v>192</v>
      </c>
      <c r="K453" t="s">
        <v>178</v>
      </c>
      <c r="L453" t="s">
        <v>27</v>
      </c>
      <c r="M453">
        <v>0</v>
      </c>
      <c r="N453" s="1">
        <v>45073</v>
      </c>
      <c r="O453" s="1">
        <v>45102</v>
      </c>
      <c r="P453" t="s">
        <v>58</v>
      </c>
      <c r="Q453">
        <f>+IF(OR(Datos[[#This Row],[Diagnostico]]="Inservible",Datos[[#This Row],[Estatus]]="Preventivo"),0,Datos[[#This Row],[Fecha_Final]]-Datos[[#This Row],[Día_Inicio]])</f>
        <v>29</v>
      </c>
      <c r="R453" s="2">
        <v>406</v>
      </c>
      <c r="S453" s="2">
        <v>162</v>
      </c>
      <c r="T453" t="s">
        <v>42</v>
      </c>
    </row>
    <row r="454" spans="1:20" x14ac:dyDescent="0.25">
      <c r="A454" t="s">
        <v>633</v>
      </c>
      <c r="B454" s="1">
        <v>45073</v>
      </c>
      <c r="C454" t="s">
        <v>539</v>
      </c>
      <c r="D454">
        <v>5</v>
      </c>
      <c r="E454" t="str">
        <f>+CONCATENATE("T",ROUNDUP(MONTH(Datos[[#This Row],[Fecha]])/3,0))</f>
        <v>T2</v>
      </c>
      <c r="F454" t="str">
        <f>+CONCATENATE("Sem"," ",ROUNDUP(MONTH(Datos[[#This Row],[Fecha]])/6,0))</f>
        <v>Sem 1</v>
      </c>
      <c r="G454" t="s">
        <v>94</v>
      </c>
      <c r="H454" t="s">
        <v>95</v>
      </c>
      <c r="I454" t="s">
        <v>68</v>
      </c>
      <c r="J454" t="s">
        <v>96</v>
      </c>
      <c r="K454" t="s">
        <v>108</v>
      </c>
      <c r="L454" t="s">
        <v>27</v>
      </c>
      <c r="M454">
        <v>0</v>
      </c>
      <c r="N454" s="1">
        <v>45073</v>
      </c>
      <c r="O454" s="1">
        <v>45082</v>
      </c>
      <c r="P454" t="s">
        <v>58</v>
      </c>
      <c r="Q454">
        <f>+IF(OR(Datos[[#This Row],[Diagnostico]]="Inservible",Datos[[#This Row],[Estatus]]="Preventivo"),0,Datos[[#This Row],[Fecha_Final]]-Datos[[#This Row],[Día_Inicio]])</f>
        <v>9</v>
      </c>
      <c r="R454" s="2">
        <v>519</v>
      </c>
      <c r="S454" s="2">
        <v>515</v>
      </c>
      <c r="T454" t="s">
        <v>91</v>
      </c>
    </row>
    <row r="455" spans="1:20" x14ac:dyDescent="0.25">
      <c r="A455" t="s">
        <v>634</v>
      </c>
      <c r="B455" s="1">
        <v>45074</v>
      </c>
      <c r="C455" t="s">
        <v>539</v>
      </c>
      <c r="D455">
        <v>5</v>
      </c>
      <c r="E455" t="str">
        <f>+CONCATENATE("T",ROUNDUP(MONTH(Datos[[#This Row],[Fecha]])/3,0))</f>
        <v>T2</v>
      </c>
      <c r="F455" t="str">
        <f>+CONCATENATE("Sem"," ",ROUNDUP(MONTH(Datos[[#This Row],[Fecha]])/6,0))</f>
        <v>Sem 1</v>
      </c>
      <c r="G455" t="s">
        <v>31</v>
      </c>
      <c r="H455" t="s">
        <v>32</v>
      </c>
      <c r="I455" t="s">
        <v>24</v>
      </c>
      <c r="J455" t="s">
        <v>33</v>
      </c>
      <c r="K455" t="s">
        <v>110</v>
      </c>
      <c r="L455" t="s">
        <v>27</v>
      </c>
      <c r="M455">
        <v>0</v>
      </c>
      <c r="N455" s="1">
        <v>45074</v>
      </c>
      <c r="O455" s="1">
        <v>45091</v>
      </c>
      <c r="P455" t="s">
        <v>28</v>
      </c>
      <c r="Q455">
        <f>+IF(OR(Datos[[#This Row],[Diagnostico]]="Inservible",Datos[[#This Row],[Estatus]]="Preventivo"),0,Datos[[#This Row],[Fecha_Final]]-Datos[[#This Row],[Día_Inicio]])</f>
        <v>0</v>
      </c>
      <c r="R455" s="2">
        <v>0</v>
      </c>
      <c r="S455" s="2">
        <v>0</v>
      </c>
      <c r="T455" t="s">
        <v>29</v>
      </c>
    </row>
    <row r="456" spans="1:20" x14ac:dyDescent="0.25">
      <c r="A456" t="s">
        <v>635</v>
      </c>
      <c r="B456" s="1">
        <v>45074</v>
      </c>
      <c r="C456" t="s">
        <v>539</v>
      </c>
      <c r="D456">
        <v>5</v>
      </c>
      <c r="E456" t="str">
        <f>+CONCATENATE("T",ROUNDUP(MONTH(Datos[[#This Row],[Fecha]])/3,0))</f>
        <v>T2</v>
      </c>
      <c r="F456" t="str">
        <f>+CONCATENATE("Sem"," ",ROUNDUP(MONTH(Datos[[#This Row],[Fecha]])/6,0))</f>
        <v>Sem 1</v>
      </c>
      <c r="G456" t="s">
        <v>257</v>
      </c>
      <c r="H456" t="s">
        <v>258</v>
      </c>
      <c r="I456" t="s">
        <v>24</v>
      </c>
      <c r="J456" t="s">
        <v>204</v>
      </c>
      <c r="K456" t="s">
        <v>114</v>
      </c>
      <c r="L456" t="s">
        <v>27</v>
      </c>
      <c r="M456">
        <v>0</v>
      </c>
      <c r="N456" s="1">
        <v>45074</v>
      </c>
      <c r="O456" s="1">
        <v>45079</v>
      </c>
      <c r="P456" t="s">
        <v>28</v>
      </c>
      <c r="Q456">
        <f>+IF(OR(Datos[[#This Row],[Diagnostico]]="Inservible",Datos[[#This Row],[Estatus]]="Preventivo"),0,Datos[[#This Row],[Fecha_Final]]-Datos[[#This Row],[Día_Inicio]])</f>
        <v>0</v>
      </c>
      <c r="R456" s="2">
        <v>0</v>
      </c>
      <c r="S456" s="2">
        <v>0</v>
      </c>
      <c r="T456" t="s">
        <v>29</v>
      </c>
    </row>
    <row r="457" spans="1:20" x14ac:dyDescent="0.25">
      <c r="A457" t="s">
        <v>636</v>
      </c>
      <c r="B457" s="1">
        <v>45074</v>
      </c>
      <c r="C457" t="s">
        <v>539</v>
      </c>
      <c r="D457">
        <v>5</v>
      </c>
      <c r="E457" t="str">
        <f>+CONCATENATE("T",ROUNDUP(MONTH(Datos[[#This Row],[Fecha]])/3,0))</f>
        <v>T2</v>
      </c>
      <c r="F457" t="str">
        <f>+CONCATENATE("Sem"," ",ROUNDUP(MONTH(Datos[[#This Row],[Fecha]])/6,0))</f>
        <v>Sem 1</v>
      </c>
      <c r="G457" t="s">
        <v>180</v>
      </c>
      <c r="H457" t="s">
        <v>181</v>
      </c>
      <c r="I457" t="s">
        <v>24</v>
      </c>
      <c r="J457" t="s">
        <v>127</v>
      </c>
      <c r="K457" t="s">
        <v>119</v>
      </c>
      <c r="L457" t="s">
        <v>27</v>
      </c>
      <c r="M457">
        <v>0</v>
      </c>
      <c r="N457" s="1">
        <v>45074</v>
      </c>
      <c r="O457" s="1">
        <v>45085</v>
      </c>
      <c r="P457" t="s">
        <v>58</v>
      </c>
      <c r="Q457">
        <f>+IF(OR(Datos[[#This Row],[Diagnostico]]="Inservible",Datos[[#This Row],[Estatus]]="Preventivo"),0,Datos[[#This Row],[Fecha_Final]]-Datos[[#This Row],[Día_Inicio]])</f>
        <v>11</v>
      </c>
      <c r="R457" s="2">
        <v>259</v>
      </c>
      <c r="S457" s="2">
        <v>876</v>
      </c>
      <c r="T457" t="s">
        <v>59</v>
      </c>
    </row>
    <row r="458" spans="1:20" x14ac:dyDescent="0.25">
      <c r="A458" t="s">
        <v>637</v>
      </c>
      <c r="B458" s="1">
        <v>45074</v>
      </c>
      <c r="C458" t="s">
        <v>539</v>
      </c>
      <c r="D458">
        <v>5</v>
      </c>
      <c r="E458" t="str">
        <f>+CONCATENATE("T",ROUNDUP(MONTH(Datos[[#This Row],[Fecha]])/3,0))</f>
        <v>T2</v>
      </c>
      <c r="F458" t="str">
        <f>+CONCATENATE("Sem"," ",ROUNDUP(MONTH(Datos[[#This Row],[Fecha]])/6,0))</f>
        <v>Sem 1</v>
      </c>
      <c r="G458" t="s">
        <v>99</v>
      </c>
      <c r="H458" t="s">
        <v>100</v>
      </c>
      <c r="I458" t="s">
        <v>101</v>
      </c>
      <c r="J458" t="s">
        <v>102</v>
      </c>
      <c r="K458" t="s">
        <v>39</v>
      </c>
      <c r="L458" t="s">
        <v>40</v>
      </c>
      <c r="M458" t="s">
        <v>51</v>
      </c>
      <c r="N458" s="1">
        <v>45074</v>
      </c>
      <c r="O458" s="1">
        <v>45134</v>
      </c>
      <c r="P458" t="s">
        <v>29</v>
      </c>
      <c r="Q458">
        <f>+IF(OR(Datos[[#This Row],[Diagnostico]]="Inservible",Datos[[#This Row],[Estatus]]="Preventivo"),0,Datos[[#This Row],[Fecha_Final]]-Datos[[#This Row],[Día_Inicio]])</f>
        <v>0</v>
      </c>
      <c r="R458" s="2">
        <v>1013</v>
      </c>
      <c r="S458" s="2">
        <v>449</v>
      </c>
      <c r="T458" t="s">
        <v>42</v>
      </c>
    </row>
    <row r="459" spans="1:20" x14ac:dyDescent="0.25">
      <c r="A459" t="s">
        <v>638</v>
      </c>
      <c r="B459" s="1">
        <v>45075</v>
      </c>
      <c r="C459" t="s">
        <v>539</v>
      </c>
      <c r="D459">
        <v>5</v>
      </c>
      <c r="E459" t="str">
        <f>+CONCATENATE("T",ROUNDUP(MONTH(Datos[[#This Row],[Fecha]])/3,0))</f>
        <v>T2</v>
      </c>
      <c r="F459" t="str">
        <f>+CONCATENATE("Sem"," ",ROUNDUP(MONTH(Datos[[#This Row],[Fecha]])/6,0))</f>
        <v>Sem 1</v>
      </c>
      <c r="G459" t="s">
        <v>105</v>
      </c>
      <c r="H459" t="s">
        <v>106</v>
      </c>
      <c r="I459" t="s">
        <v>24</v>
      </c>
      <c r="J459" t="s">
        <v>107</v>
      </c>
      <c r="K459" t="s">
        <v>128</v>
      </c>
      <c r="L459" t="s">
        <v>27</v>
      </c>
      <c r="M459">
        <v>0</v>
      </c>
      <c r="N459" s="1">
        <v>45075</v>
      </c>
      <c r="O459" s="1">
        <v>45082</v>
      </c>
      <c r="P459" t="s">
        <v>58</v>
      </c>
      <c r="Q459">
        <f>+IF(OR(Datos[[#This Row],[Diagnostico]]="Inservible",Datos[[#This Row],[Estatus]]="Preventivo"),0,Datos[[#This Row],[Fecha_Final]]-Datos[[#This Row],[Día_Inicio]])</f>
        <v>7</v>
      </c>
      <c r="R459" s="2">
        <v>876</v>
      </c>
      <c r="S459" s="2">
        <v>642</v>
      </c>
      <c r="T459" t="s">
        <v>59</v>
      </c>
    </row>
    <row r="460" spans="1:20" x14ac:dyDescent="0.25">
      <c r="A460" t="s">
        <v>639</v>
      </c>
      <c r="B460" s="1">
        <v>45075</v>
      </c>
      <c r="C460" t="s">
        <v>539</v>
      </c>
      <c r="D460">
        <v>5</v>
      </c>
      <c r="E460" t="str">
        <f>+CONCATENATE("T",ROUNDUP(MONTH(Datos[[#This Row],[Fecha]])/3,0))</f>
        <v>T2</v>
      </c>
      <c r="F460" t="str">
        <f>+CONCATENATE("Sem"," ",ROUNDUP(MONTH(Datos[[#This Row],[Fecha]])/6,0))</f>
        <v>Sem 1</v>
      </c>
      <c r="G460" t="s">
        <v>335</v>
      </c>
      <c r="H460" t="s">
        <v>336</v>
      </c>
      <c r="I460" t="s">
        <v>24</v>
      </c>
      <c r="J460" t="s">
        <v>118</v>
      </c>
      <c r="K460" t="s">
        <v>39</v>
      </c>
      <c r="L460" t="s">
        <v>40</v>
      </c>
      <c r="M460" t="s">
        <v>75</v>
      </c>
      <c r="N460" s="1">
        <v>45075</v>
      </c>
      <c r="O460" s="1">
        <v>45435</v>
      </c>
      <c r="P460" t="s">
        <v>29</v>
      </c>
      <c r="Q460">
        <f>+IF(OR(Datos[[#This Row],[Diagnostico]]="Inservible",Datos[[#This Row],[Estatus]]="Preventivo"),0,Datos[[#This Row],[Fecha_Final]]-Datos[[#This Row],[Día_Inicio]])</f>
        <v>0</v>
      </c>
      <c r="R460" s="2">
        <v>960</v>
      </c>
      <c r="S460" s="2">
        <v>575</v>
      </c>
      <c r="T460" t="s">
        <v>42</v>
      </c>
    </row>
    <row r="461" spans="1:20" x14ac:dyDescent="0.25">
      <c r="A461" t="s">
        <v>640</v>
      </c>
      <c r="B461" s="1">
        <v>45075</v>
      </c>
      <c r="C461" t="s">
        <v>539</v>
      </c>
      <c r="D461">
        <v>5</v>
      </c>
      <c r="E461" t="str">
        <f>+CONCATENATE("T",ROUNDUP(MONTH(Datos[[#This Row],[Fecha]])/3,0))</f>
        <v>T2</v>
      </c>
      <c r="F461" t="str">
        <f>+CONCATENATE("Sem"," ",ROUNDUP(MONTH(Datos[[#This Row],[Fecha]])/6,0))</f>
        <v>Sem 1</v>
      </c>
      <c r="G461" t="s">
        <v>99</v>
      </c>
      <c r="H461" t="s">
        <v>100</v>
      </c>
      <c r="I461" t="s">
        <v>101</v>
      </c>
      <c r="J461" t="s">
        <v>102</v>
      </c>
      <c r="K461" t="s">
        <v>135</v>
      </c>
      <c r="L461" t="s">
        <v>27</v>
      </c>
      <c r="M461">
        <v>0</v>
      </c>
      <c r="N461" s="1">
        <v>45075</v>
      </c>
      <c r="O461" s="1">
        <v>45103</v>
      </c>
      <c r="P461" t="s">
        <v>58</v>
      </c>
      <c r="Q461">
        <f>+IF(OR(Datos[[#This Row],[Diagnostico]]="Inservible",Datos[[#This Row],[Estatus]]="Preventivo"),0,Datos[[#This Row],[Fecha_Final]]-Datos[[#This Row],[Día_Inicio]])</f>
        <v>28</v>
      </c>
      <c r="R461" s="2">
        <v>1001</v>
      </c>
      <c r="S461" s="2">
        <v>579</v>
      </c>
      <c r="T461" t="s">
        <v>91</v>
      </c>
    </row>
    <row r="462" spans="1:20" x14ac:dyDescent="0.25">
      <c r="A462" t="s">
        <v>641</v>
      </c>
      <c r="B462" s="1">
        <v>45077</v>
      </c>
      <c r="C462" t="s">
        <v>539</v>
      </c>
      <c r="D462">
        <v>5</v>
      </c>
      <c r="E462" t="str">
        <f>+CONCATENATE("T",ROUNDUP(MONTH(Datos[[#This Row],[Fecha]])/3,0))</f>
        <v>T2</v>
      </c>
      <c r="F462" t="str">
        <f>+CONCATENATE("Sem"," ",ROUNDUP(MONTH(Datos[[#This Row],[Fecha]])/6,0))</f>
        <v>Sem 1</v>
      </c>
      <c r="G462" t="s">
        <v>22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>
        <v>0</v>
      </c>
      <c r="N462" s="1">
        <v>45077</v>
      </c>
      <c r="O462" s="1">
        <v>45085</v>
      </c>
      <c r="P462" t="s">
        <v>28</v>
      </c>
      <c r="Q462">
        <f>+IF(OR(Datos[[#This Row],[Diagnostico]]="Inservible",Datos[[#This Row],[Estatus]]="Preventivo"),0,Datos[[#This Row],[Fecha_Final]]-Datos[[#This Row],[Día_Inicio]])</f>
        <v>0</v>
      </c>
      <c r="R462" s="2">
        <v>0</v>
      </c>
      <c r="S462" s="2">
        <v>0</v>
      </c>
      <c r="T462" t="s">
        <v>29</v>
      </c>
    </row>
    <row r="463" spans="1:20" x14ac:dyDescent="0.25">
      <c r="A463" t="s">
        <v>642</v>
      </c>
      <c r="B463" s="1">
        <v>45077</v>
      </c>
      <c r="C463" t="s">
        <v>539</v>
      </c>
      <c r="D463">
        <v>5</v>
      </c>
      <c r="E463" t="str">
        <f>+CONCATENATE("T",ROUNDUP(MONTH(Datos[[#This Row],[Fecha]])/3,0))</f>
        <v>T2</v>
      </c>
      <c r="F463" t="str">
        <f>+CONCATENATE("Sem"," ",ROUNDUP(MONTH(Datos[[#This Row],[Fecha]])/6,0))</f>
        <v>Sem 1</v>
      </c>
      <c r="G463" t="s">
        <v>22</v>
      </c>
      <c r="H463" t="s">
        <v>23</v>
      </c>
      <c r="I463" t="s">
        <v>24</v>
      </c>
      <c r="J463" t="s">
        <v>25</v>
      </c>
      <c r="K463" t="s">
        <v>34</v>
      </c>
      <c r="L463" t="s">
        <v>27</v>
      </c>
      <c r="M463">
        <v>0</v>
      </c>
      <c r="N463" s="1">
        <v>45077</v>
      </c>
      <c r="O463" s="1">
        <v>45105</v>
      </c>
      <c r="P463" t="s">
        <v>28</v>
      </c>
      <c r="Q463">
        <f>+IF(OR(Datos[[#This Row],[Diagnostico]]="Inservible",Datos[[#This Row],[Estatus]]="Preventivo"),0,Datos[[#This Row],[Fecha_Final]]-Datos[[#This Row],[Día_Inicio]])</f>
        <v>0</v>
      </c>
      <c r="R463" s="2">
        <v>0</v>
      </c>
      <c r="S463" s="2">
        <v>0</v>
      </c>
      <c r="T463" t="s">
        <v>29</v>
      </c>
    </row>
    <row r="464" spans="1:20" x14ac:dyDescent="0.25">
      <c r="A464" t="s">
        <v>643</v>
      </c>
      <c r="B464" s="1">
        <v>45077</v>
      </c>
      <c r="C464" t="s">
        <v>539</v>
      </c>
      <c r="D464">
        <v>5</v>
      </c>
      <c r="E464" t="str">
        <f>+CONCATENATE("T",ROUNDUP(MONTH(Datos[[#This Row],[Fecha]])/3,0))</f>
        <v>T2</v>
      </c>
      <c r="F464" t="str">
        <f>+CONCATENATE("Sem"," ",ROUNDUP(MONTH(Datos[[#This Row],[Fecha]])/6,0))</f>
        <v>Sem 1</v>
      </c>
      <c r="G464" t="s">
        <v>105</v>
      </c>
      <c r="H464" t="s">
        <v>106</v>
      </c>
      <c r="I464" t="s">
        <v>24</v>
      </c>
      <c r="J464" t="s">
        <v>107</v>
      </c>
      <c r="K464" t="s">
        <v>39</v>
      </c>
      <c r="L464" t="s">
        <v>27</v>
      </c>
      <c r="M464">
        <v>0</v>
      </c>
      <c r="N464" s="1">
        <v>45077</v>
      </c>
      <c r="O464" s="1">
        <v>45096</v>
      </c>
      <c r="P464" t="s">
        <v>58</v>
      </c>
      <c r="Q464">
        <f>+IF(OR(Datos[[#This Row],[Diagnostico]]="Inservible",Datos[[#This Row],[Estatus]]="Preventivo"),0,Datos[[#This Row],[Fecha_Final]]-Datos[[#This Row],[Día_Inicio]])</f>
        <v>19</v>
      </c>
      <c r="R464" s="2">
        <v>773</v>
      </c>
      <c r="S464" s="2">
        <v>455</v>
      </c>
      <c r="T464" t="s">
        <v>64</v>
      </c>
    </row>
    <row r="465" spans="1:20" x14ac:dyDescent="0.25">
      <c r="A465" t="s">
        <v>644</v>
      </c>
      <c r="B465" s="1">
        <v>45077</v>
      </c>
      <c r="C465" t="s">
        <v>539</v>
      </c>
      <c r="D465">
        <v>5</v>
      </c>
      <c r="E465" t="str">
        <f>+CONCATENATE("T",ROUNDUP(MONTH(Datos[[#This Row],[Fecha]])/3,0))</f>
        <v>T2</v>
      </c>
      <c r="F465" t="str">
        <f>+CONCATENATE("Sem"," ",ROUNDUP(MONTH(Datos[[#This Row],[Fecha]])/6,0))</f>
        <v>Sem 1</v>
      </c>
      <c r="G465" t="s">
        <v>77</v>
      </c>
      <c r="H465" t="s">
        <v>78</v>
      </c>
      <c r="I465" t="s">
        <v>24</v>
      </c>
      <c r="J465" t="s">
        <v>79</v>
      </c>
      <c r="K465" t="s">
        <v>47</v>
      </c>
      <c r="L465" t="s">
        <v>27</v>
      </c>
      <c r="M465">
        <v>0</v>
      </c>
      <c r="N465" s="1">
        <v>45077</v>
      </c>
      <c r="O465" s="1">
        <v>45096</v>
      </c>
      <c r="P465" t="s">
        <v>58</v>
      </c>
      <c r="Q465">
        <f>+IF(OR(Datos[[#This Row],[Diagnostico]]="Inservible",Datos[[#This Row],[Estatus]]="Preventivo"),0,Datos[[#This Row],[Fecha_Final]]-Datos[[#This Row],[Día_Inicio]])</f>
        <v>19</v>
      </c>
      <c r="R465" s="2">
        <v>578</v>
      </c>
      <c r="S465" s="2">
        <v>686</v>
      </c>
      <c r="T465" t="s">
        <v>64</v>
      </c>
    </row>
    <row r="466" spans="1:20" x14ac:dyDescent="0.25">
      <c r="A466" t="s">
        <v>645</v>
      </c>
      <c r="B466" s="1">
        <v>45078</v>
      </c>
      <c r="C466" t="s">
        <v>646</v>
      </c>
      <c r="D466">
        <v>6</v>
      </c>
      <c r="E466" t="str">
        <f>+CONCATENATE("T",ROUNDUP(MONTH(Datos[[#This Row],[Fecha]])/3,0))</f>
        <v>T2</v>
      </c>
      <c r="F466" t="str">
        <f>+CONCATENATE("Sem"," ",ROUNDUP(MONTH(Datos[[#This Row],[Fecha]])/6,0))</f>
        <v>Sem 1</v>
      </c>
      <c r="G466" t="s">
        <v>225</v>
      </c>
      <c r="H466" t="s">
        <v>226</v>
      </c>
      <c r="I466" t="s">
        <v>227</v>
      </c>
      <c r="J466" t="s">
        <v>89</v>
      </c>
      <c r="K466" t="s">
        <v>39</v>
      </c>
      <c r="L466" t="s">
        <v>40</v>
      </c>
      <c r="M466" t="s">
        <v>75</v>
      </c>
      <c r="N466" s="1">
        <v>45078</v>
      </c>
      <c r="O466" s="1">
        <v>45438</v>
      </c>
      <c r="P466" t="s">
        <v>29</v>
      </c>
      <c r="Q466">
        <f>+IF(OR(Datos[[#This Row],[Diagnostico]]="Inservible",Datos[[#This Row],[Estatus]]="Preventivo"),0,Datos[[#This Row],[Fecha_Final]]-Datos[[#This Row],[Día_Inicio]])</f>
        <v>0</v>
      </c>
      <c r="R466" s="2">
        <v>414</v>
      </c>
      <c r="S466" s="2">
        <v>796</v>
      </c>
      <c r="T466" t="s">
        <v>42</v>
      </c>
    </row>
    <row r="467" spans="1:20" x14ac:dyDescent="0.25">
      <c r="A467" t="s">
        <v>647</v>
      </c>
      <c r="B467" s="1">
        <v>45078</v>
      </c>
      <c r="C467" t="s">
        <v>646</v>
      </c>
      <c r="D467">
        <v>6</v>
      </c>
      <c r="E467" t="str">
        <f>+CONCATENATE("T",ROUNDUP(MONTH(Datos[[#This Row],[Fecha]])/3,0))</f>
        <v>T2</v>
      </c>
      <c r="F467" t="str">
        <f>+CONCATENATE("Sem"," ",ROUNDUP(MONTH(Datos[[#This Row],[Fecha]])/6,0))</f>
        <v>Sem 1</v>
      </c>
      <c r="G467" t="s">
        <v>87</v>
      </c>
      <c r="H467" t="s">
        <v>88</v>
      </c>
      <c r="I467" t="s">
        <v>68</v>
      </c>
      <c r="J467" t="s">
        <v>89</v>
      </c>
      <c r="K467" t="s">
        <v>57</v>
      </c>
      <c r="L467" t="s">
        <v>27</v>
      </c>
      <c r="M467">
        <v>0</v>
      </c>
      <c r="N467" s="1">
        <v>45078</v>
      </c>
      <c r="O467" s="1">
        <v>45084</v>
      </c>
      <c r="P467" t="s">
        <v>28</v>
      </c>
      <c r="Q467">
        <f>+IF(OR(Datos[[#This Row],[Diagnostico]]="Inservible",Datos[[#This Row],[Estatus]]="Preventivo"),0,Datos[[#This Row],[Fecha_Final]]-Datos[[#This Row],[Día_Inicio]])</f>
        <v>0</v>
      </c>
      <c r="R467" s="2">
        <v>0</v>
      </c>
      <c r="S467" s="2">
        <v>0</v>
      </c>
      <c r="T467" t="s">
        <v>29</v>
      </c>
    </row>
    <row r="468" spans="1:20" x14ac:dyDescent="0.25">
      <c r="A468" t="s">
        <v>648</v>
      </c>
      <c r="B468" s="1">
        <v>45078</v>
      </c>
      <c r="C468" t="s">
        <v>646</v>
      </c>
      <c r="D468">
        <v>6</v>
      </c>
      <c r="E468" t="str">
        <f>+CONCATENATE("T",ROUNDUP(MONTH(Datos[[#This Row],[Fecha]])/3,0))</f>
        <v>T2</v>
      </c>
      <c r="F468" t="str">
        <f>+CONCATENATE("Sem"," ",ROUNDUP(MONTH(Datos[[#This Row],[Fecha]])/6,0))</f>
        <v>Sem 1</v>
      </c>
      <c r="G468" t="s">
        <v>61</v>
      </c>
      <c r="H468" t="s">
        <v>62</v>
      </c>
      <c r="I468" t="s">
        <v>24</v>
      </c>
      <c r="J468" t="s">
        <v>46</v>
      </c>
      <c r="K468" t="s">
        <v>63</v>
      </c>
      <c r="L468" t="s">
        <v>27</v>
      </c>
      <c r="M468">
        <v>0</v>
      </c>
      <c r="N468" s="1">
        <v>45078</v>
      </c>
      <c r="O468" s="1">
        <v>45106</v>
      </c>
      <c r="P468" t="s">
        <v>28</v>
      </c>
      <c r="Q468">
        <f>+IF(OR(Datos[[#This Row],[Diagnostico]]="Inservible",Datos[[#This Row],[Estatus]]="Preventivo"),0,Datos[[#This Row],[Fecha_Final]]-Datos[[#This Row],[Día_Inicio]])</f>
        <v>0</v>
      </c>
      <c r="R468" s="2">
        <v>0</v>
      </c>
      <c r="S468" s="2">
        <v>0</v>
      </c>
      <c r="T468" t="s">
        <v>29</v>
      </c>
    </row>
    <row r="469" spans="1:20" x14ac:dyDescent="0.25">
      <c r="A469" t="s">
        <v>649</v>
      </c>
      <c r="B469" s="1">
        <v>45078</v>
      </c>
      <c r="C469" t="s">
        <v>646</v>
      </c>
      <c r="D469">
        <v>6</v>
      </c>
      <c r="E469" t="str">
        <f>+CONCATENATE("T",ROUNDUP(MONTH(Datos[[#This Row],[Fecha]])/3,0))</f>
        <v>T2</v>
      </c>
      <c r="F469" t="str">
        <f>+CONCATENATE("Sem"," ",ROUNDUP(MONTH(Datos[[#This Row],[Fecha]])/6,0))</f>
        <v>Sem 1</v>
      </c>
      <c r="G469" t="s">
        <v>246</v>
      </c>
      <c r="H469" t="s">
        <v>247</v>
      </c>
      <c r="I469" t="s">
        <v>24</v>
      </c>
      <c r="J469" t="s">
        <v>156</v>
      </c>
      <c r="K469" t="s">
        <v>70</v>
      </c>
      <c r="L469" t="s">
        <v>27</v>
      </c>
      <c r="M469">
        <v>0</v>
      </c>
      <c r="N469" s="1">
        <v>45078</v>
      </c>
      <c r="O469" s="1">
        <v>45083</v>
      </c>
      <c r="P469" t="s">
        <v>28</v>
      </c>
      <c r="Q469">
        <f>+IF(OR(Datos[[#This Row],[Diagnostico]]="Inservible",Datos[[#This Row],[Estatus]]="Preventivo"),0,Datos[[#This Row],[Fecha_Final]]-Datos[[#This Row],[Día_Inicio]])</f>
        <v>0</v>
      </c>
      <c r="R469" s="2">
        <v>0</v>
      </c>
      <c r="S469" s="2">
        <v>0</v>
      </c>
      <c r="T469" t="s">
        <v>29</v>
      </c>
    </row>
    <row r="470" spans="1:20" x14ac:dyDescent="0.25">
      <c r="A470" t="s">
        <v>650</v>
      </c>
      <c r="B470" s="1">
        <v>45079</v>
      </c>
      <c r="C470" t="s">
        <v>646</v>
      </c>
      <c r="D470">
        <v>6</v>
      </c>
      <c r="E470" t="str">
        <f>+CONCATENATE("T",ROUNDUP(MONTH(Datos[[#This Row],[Fecha]])/3,0))</f>
        <v>T2</v>
      </c>
      <c r="F470" t="str">
        <f>+CONCATENATE("Sem"," ",ROUNDUP(MONTH(Datos[[#This Row],[Fecha]])/6,0))</f>
        <v>Sem 1</v>
      </c>
      <c r="G470" t="s">
        <v>132</v>
      </c>
      <c r="H470" t="s">
        <v>133</v>
      </c>
      <c r="I470" t="s">
        <v>24</v>
      </c>
      <c r="J470" t="s">
        <v>134</v>
      </c>
      <c r="K470" t="s">
        <v>39</v>
      </c>
      <c r="L470" t="s">
        <v>40</v>
      </c>
      <c r="M470" t="s">
        <v>188</v>
      </c>
      <c r="N470" s="1">
        <v>45079</v>
      </c>
      <c r="O470" s="1">
        <v>45259</v>
      </c>
      <c r="P470" t="s">
        <v>29</v>
      </c>
      <c r="Q470">
        <f>+IF(OR(Datos[[#This Row],[Diagnostico]]="Inservible",Datos[[#This Row],[Estatus]]="Preventivo"),0,Datos[[#This Row],[Fecha_Final]]-Datos[[#This Row],[Día_Inicio]])</f>
        <v>0</v>
      </c>
      <c r="R470" s="2">
        <v>891</v>
      </c>
      <c r="S470" s="2">
        <v>847</v>
      </c>
      <c r="T470" t="s">
        <v>42</v>
      </c>
    </row>
    <row r="471" spans="1:20" x14ac:dyDescent="0.25">
      <c r="A471" t="s">
        <v>651</v>
      </c>
      <c r="B471" s="1">
        <v>45079</v>
      </c>
      <c r="C471" t="s">
        <v>646</v>
      </c>
      <c r="D471">
        <v>6</v>
      </c>
      <c r="E471" t="str">
        <f>+CONCATENATE("T",ROUNDUP(MONTH(Datos[[#This Row],[Fecha]])/3,0))</f>
        <v>T2</v>
      </c>
      <c r="F471" t="str">
        <f>+CONCATENATE("Sem"," ",ROUNDUP(MONTH(Datos[[#This Row],[Fecha]])/6,0))</f>
        <v>Sem 1</v>
      </c>
      <c r="G471" t="s">
        <v>94</v>
      </c>
      <c r="H471" t="s">
        <v>95</v>
      </c>
      <c r="I471" t="s">
        <v>68</v>
      </c>
      <c r="J471" t="s">
        <v>96</v>
      </c>
      <c r="K471" t="s">
        <v>80</v>
      </c>
      <c r="L471" t="s">
        <v>27</v>
      </c>
      <c r="M471">
        <v>0</v>
      </c>
      <c r="N471" s="1">
        <v>45079</v>
      </c>
      <c r="O471" s="1">
        <v>45098</v>
      </c>
      <c r="P471" t="s">
        <v>28</v>
      </c>
      <c r="Q471">
        <f>+IF(OR(Datos[[#This Row],[Diagnostico]]="Inservible",Datos[[#This Row],[Estatus]]="Preventivo"),0,Datos[[#This Row],[Fecha_Final]]-Datos[[#This Row],[Día_Inicio]])</f>
        <v>0</v>
      </c>
      <c r="R471" s="2">
        <v>0</v>
      </c>
      <c r="S471" s="2">
        <v>0</v>
      </c>
      <c r="T471" t="s">
        <v>29</v>
      </c>
    </row>
    <row r="472" spans="1:20" x14ac:dyDescent="0.25">
      <c r="A472" t="s">
        <v>652</v>
      </c>
      <c r="B472" s="1">
        <v>45079</v>
      </c>
      <c r="C472" t="s">
        <v>646</v>
      </c>
      <c r="D472">
        <v>6</v>
      </c>
      <c r="E472" t="str">
        <f>+CONCATENATE("T",ROUNDUP(MONTH(Datos[[#This Row],[Fecha]])/3,0))</f>
        <v>T2</v>
      </c>
      <c r="F472" t="str">
        <f>+CONCATENATE("Sem"," ",ROUNDUP(MONTH(Datos[[#This Row],[Fecha]])/6,0))</f>
        <v>Sem 1</v>
      </c>
      <c r="G472" t="s">
        <v>154</v>
      </c>
      <c r="H472" t="s">
        <v>155</v>
      </c>
      <c r="I472" t="s">
        <v>68</v>
      </c>
      <c r="J472" t="s">
        <v>156</v>
      </c>
      <c r="K472" t="s">
        <v>85</v>
      </c>
      <c r="L472" t="s">
        <v>27</v>
      </c>
      <c r="M472">
        <v>0</v>
      </c>
      <c r="N472" s="1">
        <v>45079</v>
      </c>
      <c r="O472" s="1">
        <v>45109</v>
      </c>
      <c r="P472" t="s">
        <v>58</v>
      </c>
      <c r="Q472">
        <f>+IF(OR(Datos[[#This Row],[Diagnostico]]="Inservible",Datos[[#This Row],[Estatus]]="Preventivo"),0,Datos[[#This Row],[Fecha_Final]]-Datos[[#This Row],[Día_Inicio]])</f>
        <v>30</v>
      </c>
      <c r="R472" s="2">
        <v>878</v>
      </c>
      <c r="S472" s="2">
        <v>393</v>
      </c>
      <c r="T472" t="s">
        <v>64</v>
      </c>
    </row>
    <row r="473" spans="1:20" x14ac:dyDescent="0.25">
      <c r="A473" t="s">
        <v>653</v>
      </c>
      <c r="B473" s="1">
        <v>45079</v>
      </c>
      <c r="C473" t="s">
        <v>646</v>
      </c>
      <c r="D473">
        <v>6</v>
      </c>
      <c r="E473" t="str">
        <f>+CONCATENATE("T",ROUNDUP(MONTH(Datos[[#This Row],[Fecha]])/3,0))</f>
        <v>T2</v>
      </c>
      <c r="F473" t="str">
        <f>+CONCATENATE("Sem"," ",ROUNDUP(MONTH(Datos[[#This Row],[Fecha]])/6,0))</f>
        <v>Sem 1</v>
      </c>
      <c r="G473" t="s">
        <v>260</v>
      </c>
      <c r="H473" t="s">
        <v>261</v>
      </c>
      <c r="I473" t="s">
        <v>24</v>
      </c>
      <c r="J473" t="s">
        <v>33</v>
      </c>
      <c r="K473" t="s">
        <v>90</v>
      </c>
      <c r="L473" t="s">
        <v>27</v>
      </c>
      <c r="M473">
        <v>0</v>
      </c>
      <c r="N473" s="1">
        <v>45079</v>
      </c>
      <c r="O473" s="1">
        <v>45104</v>
      </c>
      <c r="P473" t="s">
        <v>28</v>
      </c>
      <c r="Q473">
        <f>+IF(OR(Datos[[#This Row],[Diagnostico]]="Inservible",Datos[[#This Row],[Estatus]]="Preventivo"),0,Datos[[#This Row],[Fecha_Final]]-Datos[[#This Row],[Día_Inicio]])</f>
        <v>0</v>
      </c>
      <c r="R473" s="2">
        <v>0</v>
      </c>
      <c r="S473" s="2">
        <v>0</v>
      </c>
      <c r="T473" t="s">
        <v>29</v>
      </c>
    </row>
    <row r="474" spans="1:20" x14ac:dyDescent="0.25">
      <c r="A474" t="s">
        <v>654</v>
      </c>
      <c r="B474" s="1">
        <v>45079</v>
      </c>
      <c r="C474" t="s">
        <v>646</v>
      </c>
      <c r="D474">
        <v>6</v>
      </c>
      <c r="E474" t="str">
        <f>+CONCATENATE("T",ROUNDUP(MONTH(Datos[[#This Row],[Fecha]])/3,0))</f>
        <v>T2</v>
      </c>
      <c r="F474" t="str">
        <f>+CONCATENATE("Sem"," ",ROUNDUP(MONTH(Datos[[#This Row],[Fecha]])/6,0))</f>
        <v>Sem 1</v>
      </c>
      <c r="G474" t="s">
        <v>31</v>
      </c>
      <c r="H474" t="s">
        <v>32</v>
      </c>
      <c r="I474" t="s">
        <v>24</v>
      </c>
      <c r="J474" t="s">
        <v>33</v>
      </c>
      <c r="K474" t="s">
        <v>172</v>
      </c>
      <c r="L474" t="s">
        <v>27</v>
      </c>
      <c r="M474">
        <v>0</v>
      </c>
      <c r="N474" s="1">
        <v>45079</v>
      </c>
      <c r="O474" s="1">
        <v>45106</v>
      </c>
      <c r="P474" t="s">
        <v>28</v>
      </c>
      <c r="Q474">
        <f>+IF(OR(Datos[[#This Row],[Diagnostico]]="Inservible",Datos[[#This Row],[Estatus]]="Preventivo"),0,Datos[[#This Row],[Fecha_Final]]-Datos[[#This Row],[Día_Inicio]])</f>
        <v>0</v>
      </c>
      <c r="R474" s="2">
        <v>0</v>
      </c>
      <c r="S474" s="2">
        <v>0</v>
      </c>
      <c r="T474" t="s">
        <v>29</v>
      </c>
    </row>
    <row r="475" spans="1:20" x14ac:dyDescent="0.25">
      <c r="A475" t="s">
        <v>655</v>
      </c>
      <c r="B475" s="1">
        <v>45079</v>
      </c>
      <c r="C475" t="s">
        <v>646</v>
      </c>
      <c r="D475">
        <v>6</v>
      </c>
      <c r="E475" t="str">
        <f>+CONCATENATE("T",ROUNDUP(MONTH(Datos[[#This Row],[Fecha]])/3,0))</f>
        <v>T2</v>
      </c>
      <c r="F475" t="str">
        <f>+CONCATENATE("Sem"," ",ROUNDUP(MONTH(Datos[[#This Row],[Fecha]])/6,0))</f>
        <v>Sem 1</v>
      </c>
      <c r="G475" t="s">
        <v>335</v>
      </c>
      <c r="H475" t="s">
        <v>336</v>
      </c>
      <c r="I475" t="s">
        <v>24</v>
      </c>
      <c r="J475" t="s">
        <v>118</v>
      </c>
      <c r="K475" t="s">
        <v>97</v>
      </c>
      <c r="L475" t="s">
        <v>27</v>
      </c>
      <c r="M475">
        <v>0</v>
      </c>
      <c r="N475" s="1">
        <v>45079</v>
      </c>
      <c r="O475" s="1">
        <v>45089</v>
      </c>
      <c r="P475" t="s">
        <v>58</v>
      </c>
      <c r="Q475">
        <f>+IF(OR(Datos[[#This Row],[Diagnostico]]="Inservible",Datos[[#This Row],[Estatus]]="Preventivo"),0,Datos[[#This Row],[Fecha_Final]]-Datos[[#This Row],[Día_Inicio]])</f>
        <v>10</v>
      </c>
      <c r="R475" s="2">
        <v>688</v>
      </c>
      <c r="S475" s="2">
        <v>391</v>
      </c>
      <c r="T475" t="s">
        <v>59</v>
      </c>
    </row>
    <row r="476" spans="1:20" x14ac:dyDescent="0.25">
      <c r="A476" t="s">
        <v>656</v>
      </c>
      <c r="B476" s="1">
        <v>45079</v>
      </c>
      <c r="C476" t="s">
        <v>646</v>
      </c>
      <c r="D476">
        <v>6</v>
      </c>
      <c r="E476" t="str">
        <f>+CONCATENATE("T",ROUNDUP(MONTH(Datos[[#This Row],[Fecha]])/3,0))</f>
        <v>T2</v>
      </c>
      <c r="F476" t="str">
        <f>+CONCATENATE("Sem"," ",ROUNDUP(MONTH(Datos[[#This Row],[Fecha]])/6,0))</f>
        <v>Sem 1</v>
      </c>
      <c r="G476" t="s">
        <v>283</v>
      </c>
      <c r="H476" t="s">
        <v>284</v>
      </c>
      <c r="I476" t="s">
        <v>24</v>
      </c>
      <c r="J476" t="s">
        <v>192</v>
      </c>
      <c r="K476" t="s">
        <v>39</v>
      </c>
      <c r="L476" t="s">
        <v>40</v>
      </c>
      <c r="M476" t="s">
        <v>75</v>
      </c>
      <c r="N476" s="1">
        <v>45079</v>
      </c>
      <c r="O476" s="1">
        <v>45439</v>
      </c>
      <c r="P476" t="s">
        <v>29</v>
      </c>
      <c r="Q476">
        <f>+IF(OR(Datos[[#This Row],[Diagnostico]]="Inservible",Datos[[#This Row],[Estatus]]="Preventivo"),0,Datos[[#This Row],[Fecha_Final]]-Datos[[#This Row],[Día_Inicio]])</f>
        <v>0</v>
      </c>
      <c r="R476" s="2">
        <v>218</v>
      </c>
      <c r="S476" s="2">
        <v>861</v>
      </c>
      <c r="T476" t="s">
        <v>42</v>
      </c>
    </row>
    <row r="477" spans="1:20" x14ac:dyDescent="0.25">
      <c r="A477" t="s">
        <v>657</v>
      </c>
      <c r="B477" s="1">
        <v>45079</v>
      </c>
      <c r="C477" t="s">
        <v>646</v>
      </c>
      <c r="D477">
        <v>6</v>
      </c>
      <c r="E477" t="str">
        <f>+CONCATENATE("T",ROUNDUP(MONTH(Datos[[#This Row],[Fecha]])/3,0))</f>
        <v>T2</v>
      </c>
      <c r="F477" t="str">
        <f>+CONCATENATE("Sem"," ",ROUNDUP(MONTH(Datos[[#This Row],[Fecha]])/6,0))</f>
        <v>Sem 1</v>
      </c>
      <c r="G477" t="s">
        <v>206</v>
      </c>
      <c r="H477" t="s">
        <v>207</v>
      </c>
      <c r="I477" t="s">
        <v>24</v>
      </c>
      <c r="J477" t="s">
        <v>160</v>
      </c>
      <c r="K477" t="s">
        <v>108</v>
      </c>
      <c r="L477" t="s">
        <v>27</v>
      </c>
      <c r="M477">
        <v>0</v>
      </c>
      <c r="N477" s="1">
        <v>45079</v>
      </c>
      <c r="O477" s="1">
        <v>45104</v>
      </c>
      <c r="P477" t="s">
        <v>58</v>
      </c>
      <c r="Q477">
        <f>+IF(OR(Datos[[#This Row],[Diagnostico]]="Inservible",Datos[[#This Row],[Estatus]]="Preventivo"),0,Datos[[#This Row],[Fecha_Final]]-Datos[[#This Row],[Día_Inicio]])</f>
        <v>25</v>
      </c>
      <c r="R477" s="2">
        <v>632</v>
      </c>
      <c r="S477" s="2">
        <v>146</v>
      </c>
      <c r="T477" t="s">
        <v>91</v>
      </c>
    </row>
    <row r="478" spans="1:20" x14ac:dyDescent="0.25">
      <c r="A478" t="s">
        <v>658</v>
      </c>
      <c r="B478" s="1">
        <v>45079</v>
      </c>
      <c r="C478" t="s">
        <v>646</v>
      </c>
      <c r="D478">
        <v>6</v>
      </c>
      <c r="E478" t="str">
        <f>+CONCATENATE("T",ROUNDUP(MONTH(Datos[[#This Row],[Fecha]])/3,0))</f>
        <v>T2</v>
      </c>
      <c r="F478" t="str">
        <f>+CONCATENATE("Sem"," ",ROUNDUP(MONTH(Datos[[#This Row],[Fecha]])/6,0))</f>
        <v>Sem 1</v>
      </c>
      <c r="G478" t="s">
        <v>112</v>
      </c>
      <c r="H478" t="s">
        <v>113</v>
      </c>
      <c r="I478" t="s">
        <v>24</v>
      </c>
      <c r="J478" t="s">
        <v>79</v>
      </c>
      <c r="K478" t="s">
        <v>39</v>
      </c>
      <c r="L478" t="s">
        <v>40</v>
      </c>
      <c r="M478" t="s">
        <v>51</v>
      </c>
      <c r="N478" s="1">
        <v>45079</v>
      </c>
      <c r="O478" s="1">
        <v>45139</v>
      </c>
      <c r="P478" t="s">
        <v>29</v>
      </c>
      <c r="Q478">
        <f>+IF(OR(Datos[[#This Row],[Diagnostico]]="Inservible",Datos[[#This Row],[Estatus]]="Preventivo"),0,Datos[[#This Row],[Fecha_Final]]-Datos[[#This Row],[Día_Inicio]])</f>
        <v>0</v>
      </c>
      <c r="R478" s="2">
        <v>671</v>
      </c>
      <c r="S478" s="2">
        <v>654</v>
      </c>
      <c r="T478" t="s">
        <v>42</v>
      </c>
    </row>
    <row r="479" spans="1:20" x14ac:dyDescent="0.25">
      <c r="A479" t="s">
        <v>659</v>
      </c>
      <c r="B479" s="1">
        <v>45080</v>
      </c>
      <c r="C479" t="s">
        <v>646</v>
      </c>
      <c r="D479">
        <v>6</v>
      </c>
      <c r="E479" t="str">
        <f>+CONCATENATE("T",ROUNDUP(MONTH(Datos[[#This Row],[Fecha]])/3,0))</f>
        <v>T2</v>
      </c>
      <c r="F479" t="str">
        <f>+CONCATENATE("Sem"," ",ROUNDUP(MONTH(Datos[[#This Row],[Fecha]])/6,0))</f>
        <v>Sem 1</v>
      </c>
      <c r="G479" t="s">
        <v>286</v>
      </c>
      <c r="H479" t="s">
        <v>287</v>
      </c>
      <c r="I479" t="s">
        <v>24</v>
      </c>
      <c r="J479" t="s">
        <v>38</v>
      </c>
      <c r="K479" t="s">
        <v>114</v>
      </c>
      <c r="L479" t="s">
        <v>27</v>
      </c>
      <c r="M479">
        <v>0</v>
      </c>
      <c r="N479" s="1">
        <v>45080</v>
      </c>
      <c r="O479" s="1">
        <v>45099</v>
      </c>
      <c r="P479" t="s">
        <v>28</v>
      </c>
      <c r="Q479">
        <f>+IF(OR(Datos[[#This Row],[Diagnostico]]="Inservible",Datos[[#This Row],[Estatus]]="Preventivo"),0,Datos[[#This Row],[Fecha_Final]]-Datos[[#This Row],[Día_Inicio]])</f>
        <v>0</v>
      </c>
      <c r="R479" s="2">
        <v>0</v>
      </c>
      <c r="S479" s="2">
        <v>0</v>
      </c>
      <c r="T479" t="s">
        <v>29</v>
      </c>
    </row>
    <row r="480" spans="1:20" x14ac:dyDescent="0.25">
      <c r="A480" t="s">
        <v>660</v>
      </c>
      <c r="B480" s="1">
        <v>45080</v>
      </c>
      <c r="C480" t="s">
        <v>646</v>
      </c>
      <c r="D480">
        <v>6</v>
      </c>
      <c r="E480" t="str">
        <f>+CONCATENATE("T",ROUNDUP(MONTH(Datos[[#This Row],[Fecha]])/3,0))</f>
        <v>T2</v>
      </c>
      <c r="F480" t="str">
        <f>+CONCATENATE("Sem"," ",ROUNDUP(MONTH(Datos[[#This Row],[Fecha]])/6,0))</f>
        <v>Sem 1</v>
      </c>
      <c r="G480" t="s">
        <v>121</v>
      </c>
      <c r="H480" t="s">
        <v>122</v>
      </c>
      <c r="I480" t="s">
        <v>24</v>
      </c>
      <c r="J480" t="s">
        <v>102</v>
      </c>
      <c r="K480" t="s">
        <v>39</v>
      </c>
      <c r="L480" t="s">
        <v>40</v>
      </c>
      <c r="M480" t="s">
        <v>51</v>
      </c>
      <c r="N480" s="1">
        <v>45080</v>
      </c>
      <c r="O480" s="1">
        <v>45140</v>
      </c>
      <c r="P480" t="s">
        <v>29</v>
      </c>
      <c r="Q480">
        <f>+IF(OR(Datos[[#This Row],[Diagnostico]]="Inservible",Datos[[#This Row],[Estatus]]="Preventivo"),0,Datos[[#This Row],[Fecha_Final]]-Datos[[#This Row],[Día_Inicio]])</f>
        <v>0</v>
      </c>
      <c r="R480" s="2">
        <v>249</v>
      </c>
      <c r="S480" s="2">
        <v>685</v>
      </c>
      <c r="T480" t="s">
        <v>42</v>
      </c>
    </row>
    <row r="481" spans="1:20" x14ac:dyDescent="0.25">
      <c r="A481" t="s">
        <v>661</v>
      </c>
      <c r="B481" s="1">
        <v>45080</v>
      </c>
      <c r="C481" t="s">
        <v>646</v>
      </c>
      <c r="D481">
        <v>6</v>
      </c>
      <c r="E481" t="str">
        <f>+CONCATENATE("T",ROUNDUP(MONTH(Datos[[#This Row],[Fecha]])/3,0))</f>
        <v>T2</v>
      </c>
      <c r="F481" t="str">
        <f>+CONCATENATE("Sem"," ",ROUNDUP(MONTH(Datos[[#This Row],[Fecha]])/6,0))</f>
        <v>Sem 1</v>
      </c>
      <c r="G481" t="s">
        <v>22</v>
      </c>
      <c r="H481" t="s">
        <v>23</v>
      </c>
      <c r="I481" t="s">
        <v>24</v>
      </c>
      <c r="J481" t="s">
        <v>25</v>
      </c>
      <c r="K481" t="s">
        <v>123</v>
      </c>
      <c r="L481" t="s">
        <v>27</v>
      </c>
      <c r="M481">
        <v>0</v>
      </c>
      <c r="N481" s="1">
        <v>45080</v>
      </c>
      <c r="O481" s="1">
        <v>45089</v>
      </c>
      <c r="P481" t="s">
        <v>58</v>
      </c>
      <c r="Q481">
        <f>+IF(OR(Datos[[#This Row],[Diagnostico]]="Inservible",Datos[[#This Row],[Estatus]]="Preventivo"),0,Datos[[#This Row],[Fecha_Final]]-Datos[[#This Row],[Día_Inicio]])</f>
        <v>9</v>
      </c>
      <c r="R481" s="2">
        <v>578</v>
      </c>
      <c r="S481" s="2">
        <v>304</v>
      </c>
      <c r="T481" t="s">
        <v>91</v>
      </c>
    </row>
    <row r="482" spans="1:20" x14ac:dyDescent="0.25">
      <c r="A482" t="s">
        <v>662</v>
      </c>
      <c r="B482" s="1">
        <v>45081</v>
      </c>
      <c r="C482" t="s">
        <v>646</v>
      </c>
      <c r="D482">
        <v>6</v>
      </c>
      <c r="E482" t="str">
        <f>+CONCATENATE("T",ROUNDUP(MONTH(Datos[[#This Row],[Fecha]])/3,0))</f>
        <v>T2</v>
      </c>
      <c r="F482" t="str">
        <f>+CONCATENATE("Sem"," ",ROUNDUP(MONTH(Datos[[#This Row],[Fecha]])/6,0))</f>
        <v>Sem 1</v>
      </c>
      <c r="G482" t="s">
        <v>121</v>
      </c>
      <c r="H482" t="s">
        <v>122</v>
      </c>
      <c r="I482" t="s">
        <v>24</v>
      </c>
      <c r="J482" t="s">
        <v>102</v>
      </c>
      <c r="K482" t="s">
        <v>128</v>
      </c>
      <c r="L482" t="s">
        <v>27</v>
      </c>
      <c r="M482">
        <v>0</v>
      </c>
      <c r="N482" s="1">
        <v>45081</v>
      </c>
      <c r="O482" s="1">
        <v>45096</v>
      </c>
      <c r="P482" t="s">
        <v>58</v>
      </c>
      <c r="Q482">
        <f>+IF(OR(Datos[[#This Row],[Diagnostico]]="Inservible",Datos[[#This Row],[Estatus]]="Preventivo"),0,Datos[[#This Row],[Fecha_Final]]-Datos[[#This Row],[Día_Inicio]])</f>
        <v>15</v>
      </c>
      <c r="R482" s="2">
        <v>929</v>
      </c>
      <c r="S482" s="2">
        <v>141</v>
      </c>
      <c r="T482" t="s">
        <v>64</v>
      </c>
    </row>
    <row r="483" spans="1:20" x14ac:dyDescent="0.25">
      <c r="A483" t="s">
        <v>663</v>
      </c>
      <c r="B483" s="1">
        <v>45082</v>
      </c>
      <c r="C483" t="s">
        <v>646</v>
      </c>
      <c r="D483">
        <v>6</v>
      </c>
      <c r="E483" t="str">
        <f>+CONCATENATE("T",ROUNDUP(MONTH(Datos[[#This Row],[Fecha]])/3,0))</f>
        <v>T2</v>
      </c>
      <c r="F483" t="str">
        <f>+CONCATENATE("Sem"," ",ROUNDUP(MONTH(Datos[[#This Row],[Fecha]])/6,0))</f>
        <v>Sem 1</v>
      </c>
      <c r="G483" t="s">
        <v>257</v>
      </c>
      <c r="H483" t="s">
        <v>258</v>
      </c>
      <c r="I483" t="s">
        <v>24</v>
      </c>
      <c r="J483" t="s">
        <v>204</v>
      </c>
      <c r="K483" t="s">
        <v>130</v>
      </c>
      <c r="L483" t="s">
        <v>27</v>
      </c>
      <c r="M483">
        <v>0</v>
      </c>
      <c r="N483" s="1">
        <v>45082</v>
      </c>
      <c r="O483" s="1">
        <v>45092</v>
      </c>
      <c r="P483" t="s">
        <v>58</v>
      </c>
      <c r="Q483">
        <f>+IF(OR(Datos[[#This Row],[Diagnostico]]="Inservible",Datos[[#This Row],[Estatus]]="Preventivo"),0,Datos[[#This Row],[Fecha_Final]]-Datos[[#This Row],[Día_Inicio]])</f>
        <v>10</v>
      </c>
      <c r="R483" s="2">
        <v>1191</v>
      </c>
      <c r="S483" s="2">
        <v>113</v>
      </c>
      <c r="T483" t="s">
        <v>59</v>
      </c>
    </row>
    <row r="484" spans="1:20" x14ac:dyDescent="0.25">
      <c r="A484" t="s">
        <v>664</v>
      </c>
      <c r="B484" s="1">
        <v>45082</v>
      </c>
      <c r="C484" t="s">
        <v>646</v>
      </c>
      <c r="D484">
        <v>6</v>
      </c>
      <c r="E484" t="str">
        <f>+CONCATENATE("T",ROUNDUP(MONTH(Datos[[#This Row],[Fecha]])/3,0))</f>
        <v>T2</v>
      </c>
      <c r="F484" t="str">
        <f>+CONCATENATE("Sem"," ",ROUNDUP(MONTH(Datos[[#This Row],[Fecha]])/6,0))</f>
        <v>Sem 1</v>
      </c>
      <c r="G484" t="s">
        <v>22</v>
      </c>
      <c r="H484" t="s">
        <v>23</v>
      </c>
      <c r="I484" t="s">
        <v>24</v>
      </c>
      <c r="J484" t="s">
        <v>25</v>
      </c>
      <c r="K484" t="s">
        <v>135</v>
      </c>
      <c r="L484" t="s">
        <v>27</v>
      </c>
      <c r="M484">
        <v>0</v>
      </c>
      <c r="N484" s="1">
        <v>45082</v>
      </c>
      <c r="O484" s="1">
        <v>45084</v>
      </c>
      <c r="P484" t="s">
        <v>28</v>
      </c>
      <c r="Q484">
        <f>+IF(OR(Datos[[#This Row],[Diagnostico]]="Inservible",Datos[[#This Row],[Estatus]]="Preventivo"),0,Datos[[#This Row],[Fecha_Final]]-Datos[[#This Row],[Día_Inicio]])</f>
        <v>0</v>
      </c>
      <c r="R484" s="2">
        <v>0</v>
      </c>
      <c r="S484" s="2">
        <v>0</v>
      </c>
      <c r="T484" t="s">
        <v>29</v>
      </c>
    </row>
    <row r="485" spans="1:20" x14ac:dyDescent="0.25">
      <c r="A485" t="s">
        <v>665</v>
      </c>
      <c r="B485" s="1">
        <v>45083</v>
      </c>
      <c r="C485" t="s">
        <v>646</v>
      </c>
      <c r="D485">
        <v>6</v>
      </c>
      <c r="E485" t="str">
        <f>+CONCATENATE("T",ROUNDUP(MONTH(Datos[[#This Row],[Fecha]])/3,0))</f>
        <v>T2</v>
      </c>
      <c r="F485" t="str">
        <f>+CONCATENATE("Sem"," ",ROUNDUP(MONTH(Datos[[#This Row],[Fecha]])/6,0))</f>
        <v>Sem 1</v>
      </c>
      <c r="G485" t="s">
        <v>202</v>
      </c>
      <c r="H485" t="s">
        <v>203</v>
      </c>
      <c r="I485" t="s">
        <v>24</v>
      </c>
      <c r="J485" t="s">
        <v>204</v>
      </c>
      <c r="K485" t="s">
        <v>26</v>
      </c>
      <c r="L485" t="s">
        <v>27</v>
      </c>
      <c r="M485">
        <v>0</v>
      </c>
      <c r="N485" s="1">
        <v>45083</v>
      </c>
      <c r="O485" s="1">
        <v>45101</v>
      </c>
      <c r="P485" t="s">
        <v>28</v>
      </c>
      <c r="Q485">
        <f>+IF(OR(Datos[[#This Row],[Diagnostico]]="Inservible",Datos[[#This Row],[Estatus]]="Preventivo"),0,Datos[[#This Row],[Fecha_Final]]-Datos[[#This Row],[Día_Inicio]])</f>
        <v>0</v>
      </c>
      <c r="R485" s="2">
        <v>0</v>
      </c>
      <c r="S485" s="2">
        <v>0</v>
      </c>
      <c r="T485" t="s">
        <v>29</v>
      </c>
    </row>
    <row r="486" spans="1:20" x14ac:dyDescent="0.25">
      <c r="A486" t="s">
        <v>666</v>
      </c>
      <c r="B486" s="1">
        <v>45083</v>
      </c>
      <c r="C486" t="s">
        <v>646</v>
      </c>
      <c r="D486">
        <v>6</v>
      </c>
      <c r="E486" t="str">
        <f>+CONCATENATE("T",ROUNDUP(MONTH(Datos[[#This Row],[Fecha]])/3,0))</f>
        <v>T2</v>
      </c>
      <c r="F486" t="str">
        <f>+CONCATENATE("Sem"," ",ROUNDUP(MONTH(Datos[[#This Row],[Fecha]])/6,0))</f>
        <v>Sem 1</v>
      </c>
      <c r="G486" t="s">
        <v>183</v>
      </c>
      <c r="H486" t="s">
        <v>184</v>
      </c>
      <c r="I486" t="s">
        <v>24</v>
      </c>
      <c r="J486" t="s">
        <v>139</v>
      </c>
      <c r="K486" t="s">
        <v>39</v>
      </c>
      <c r="L486" t="s">
        <v>40</v>
      </c>
      <c r="M486" t="s">
        <v>51</v>
      </c>
      <c r="N486" s="1">
        <v>45083</v>
      </c>
      <c r="O486" s="1">
        <v>45143</v>
      </c>
      <c r="P486" t="s">
        <v>29</v>
      </c>
      <c r="Q486">
        <f>+IF(OR(Datos[[#This Row],[Diagnostico]]="Inservible",Datos[[#This Row],[Estatus]]="Preventivo"),0,Datos[[#This Row],[Fecha_Final]]-Datos[[#This Row],[Día_Inicio]])</f>
        <v>0</v>
      </c>
      <c r="R486" s="2">
        <v>673</v>
      </c>
      <c r="S486" s="2">
        <v>962</v>
      </c>
      <c r="T486" t="s">
        <v>42</v>
      </c>
    </row>
    <row r="487" spans="1:20" x14ac:dyDescent="0.25">
      <c r="A487" t="s">
        <v>667</v>
      </c>
      <c r="B487" s="1">
        <v>45083</v>
      </c>
      <c r="C487" t="s">
        <v>646</v>
      </c>
      <c r="D487">
        <v>6</v>
      </c>
      <c r="E487" t="str">
        <f>+CONCATENATE("T",ROUNDUP(MONTH(Datos[[#This Row],[Fecha]])/3,0))</f>
        <v>T2</v>
      </c>
      <c r="F487" t="str">
        <f>+CONCATENATE("Sem"," ",ROUNDUP(MONTH(Datos[[#This Row],[Fecha]])/6,0))</f>
        <v>Sem 1</v>
      </c>
      <c r="G487" t="s">
        <v>154</v>
      </c>
      <c r="H487" t="s">
        <v>155</v>
      </c>
      <c r="I487" t="s">
        <v>68</v>
      </c>
      <c r="J487" t="s">
        <v>156</v>
      </c>
      <c r="K487" t="s">
        <v>39</v>
      </c>
      <c r="L487" t="s">
        <v>27</v>
      </c>
      <c r="M487">
        <v>0</v>
      </c>
      <c r="N487" s="1">
        <v>45083</v>
      </c>
      <c r="O487" s="1">
        <v>45108</v>
      </c>
      <c r="P487" t="s">
        <v>28</v>
      </c>
      <c r="Q487">
        <f>+IF(OR(Datos[[#This Row],[Diagnostico]]="Inservible",Datos[[#This Row],[Estatus]]="Preventivo"),0,Datos[[#This Row],[Fecha_Final]]-Datos[[#This Row],[Día_Inicio]])</f>
        <v>0</v>
      </c>
      <c r="R487" s="2">
        <v>0</v>
      </c>
      <c r="S487" s="2">
        <v>0</v>
      </c>
      <c r="T487" t="s">
        <v>29</v>
      </c>
    </row>
    <row r="488" spans="1:20" x14ac:dyDescent="0.25">
      <c r="A488" t="s">
        <v>668</v>
      </c>
      <c r="B488" s="1">
        <v>45084</v>
      </c>
      <c r="C488" t="s">
        <v>646</v>
      </c>
      <c r="D488">
        <v>6</v>
      </c>
      <c r="E488" t="str">
        <f>+CONCATENATE("T",ROUNDUP(MONTH(Datos[[#This Row],[Fecha]])/3,0))</f>
        <v>T2</v>
      </c>
      <c r="F488" t="str">
        <f>+CONCATENATE("Sem"," ",ROUNDUP(MONTH(Datos[[#This Row],[Fecha]])/6,0))</f>
        <v>Sem 1</v>
      </c>
      <c r="G488" t="s">
        <v>225</v>
      </c>
      <c r="H488" t="s">
        <v>226</v>
      </c>
      <c r="I488" t="s">
        <v>227</v>
      </c>
      <c r="J488" t="s">
        <v>89</v>
      </c>
      <c r="K488" t="s">
        <v>47</v>
      </c>
      <c r="L488" t="s">
        <v>27</v>
      </c>
      <c r="M488">
        <v>0</v>
      </c>
      <c r="N488" s="1">
        <v>45084</v>
      </c>
      <c r="O488" s="1">
        <v>45101</v>
      </c>
      <c r="P488" t="s">
        <v>28</v>
      </c>
      <c r="Q488">
        <f>+IF(OR(Datos[[#This Row],[Diagnostico]]="Inservible",Datos[[#This Row],[Estatus]]="Preventivo"),0,Datos[[#This Row],[Fecha_Final]]-Datos[[#This Row],[Día_Inicio]])</f>
        <v>0</v>
      </c>
      <c r="R488" s="2">
        <v>0</v>
      </c>
      <c r="S488" s="2">
        <v>0</v>
      </c>
      <c r="T488" t="s">
        <v>29</v>
      </c>
    </row>
    <row r="489" spans="1:20" x14ac:dyDescent="0.25">
      <c r="A489" t="s">
        <v>669</v>
      </c>
      <c r="B489" s="1">
        <v>45084</v>
      </c>
      <c r="C489" t="s">
        <v>646</v>
      </c>
      <c r="D489">
        <v>6</v>
      </c>
      <c r="E489" t="str">
        <f>+CONCATENATE("T",ROUNDUP(MONTH(Datos[[#This Row],[Fecha]])/3,0))</f>
        <v>T2</v>
      </c>
      <c r="F489" t="str">
        <f>+CONCATENATE("Sem"," ",ROUNDUP(MONTH(Datos[[#This Row],[Fecha]])/6,0))</f>
        <v>Sem 1</v>
      </c>
      <c r="G489" t="s">
        <v>61</v>
      </c>
      <c r="H489" t="s">
        <v>62</v>
      </c>
      <c r="I489" t="s">
        <v>24</v>
      </c>
      <c r="J489" t="s">
        <v>46</v>
      </c>
      <c r="K489" t="s">
        <v>147</v>
      </c>
      <c r="L489" t="s">
        <v>27</v>
      </c>
      <c r="M489">
        <v>0</v>
      </c>
      <c r="N489" s="1">
        <v>45084</v>
      </c>
      <c r="O489" s="1">
        <v>45097</v>
      </c>
      <c r="P489" t="s">
        <v>28</v>
      </c>
      <c r="Q489">
        <f>+IF(OR(Datos[[#This Row],[Diagnostico]]="Inservible",Datos[[#This Row],[Estatus]]="Preventivo"),0,Datos[[#This Row],[Fecha_Final]]-Datos[[#This Row],[Día_Inicio]])</f>
        <v>0</v>
      </c>
      <c r="R489" s="2">
        <v>0</v>
      </c>
      <c r="S489" s="2">
        <v>0</v>
      </c>
      <c r="T489" t="s">
        <v>29</v>
      </c>
    </row>
    <row r="490" spans="1:20" x14ac:dyDescent="0.25">
      <c r="A490" t="s">
        <v>670</v>
      </c>
      <c r="B490" s="1">
        <v>45084</v>
      </c>
      <c r="C490" t="s">
        <v>646</v>
      </c>
      <c r="D490">
        <v>6</v>
      </c>
      <c r="E490" t="str">
        <f>+CONCATENATE("T",ROUNDUP(MONTH(Datos[[#This Row],[Fecha]])/3,0))</f>
        <v>T2</v>
      </c>
      <c r="F490" t="str">
        <f>+CONCATENATE("Sem"," ",ROUNDUP(MONTH(Datos[[#This Row],[Fecha]])/6,0))</f>
        <v>Sem 1</v>
      </c>
      <c r="G490" t="s">
        <v>225</v>
      </c>
      <c r="H490" t="s">
        <v>226</v>
      </c>
      <c r="I490" t="s">
        <v>227</v>
      </c>
      <c r="J490" t="s">
        <v>89</v>
      </c>
      <c r="K490" t="s">
        <v>39</v>
      </c>
      <c r="L490" t="s">
        <v>40</v>
      </c>
      <c r="M490" t="s">
        <v>75</v>
      </c>
      <c r="N490" s="1">
        <v>45084</v>
      </c>
      <c r="O490" s="1">
        <v>45444</v>
      </c>
      <c r="P490" t="s">
        <v>29</v>
      </c>
      <c r="Q490">
        <f>+IF(OR(Datos[[#This Row],[Diagnostico]]="Inservible",Datos[[#This Row],[Estatus]]="Preventivo"),0,Datos[[#This Row],[Fecha_Final]]-Datos[[#This Row],[Día_Inicio]])</f>
        <v>0</v>
      </c>
      <c r="R490" s="2">
        <v>1141</v>
      </c>
      <c r="S490" s="2">
        <v>780</v>
      </c>
      <c r="T490" t="s">
        <v>42</v>
      </c>
    </row>
    <row r="491" spans="1:20" x14ac:dyDescent="0.25">
      <c r="A491" t="s">
        <v>671</v>
      </c>
      <c r="B491" s="1">
        <v>45084</v>
      </c>
      <c r="C491" t="s">
        <v>646</v>
      </c>
      <c r="D491">
        <v>6</v>
      </c>
      <c r="E491" t="str">
        <f>+CONCATENATE("T",ROUNDUP(MONTH(Datos[[#This Row],[Fecha]])/3,0))</f>
        <v>T2</v>
      </c>
      <c r="F491" t="str">
        <f>+CONCATENATE("Sem"," ",ROUNDUP(MONTH(Datos[[#This Row],[Fecha]])/6,0))</f>
        <v>Sem 1</v>
      </c>
      <c r="G491" t="s">
        <v>190</v>
      </c>
      <c r="H491" t="s">
        <v>191</v>
      </c>
      <c r="I491" t="s">
        <v>24</v>
      </c>
      <c r="J491" t="s">
        <v>192</v>
      </c>
      <c r="K491" t="s">
        <v>63</v>
      </c>
      <c r="L491" t="s">
        <v>27</v>
      </c>
      <c r="M491">
        <v>0</v>
      </c>
      <c r="N491" s="1">
        <v>45084</v>
      </c>
      <c r="O491" s="1">
        <v>45088</v>
      </c>
      <c r="P491" t="s">
        <v>28</v>
      </c>
      <c r="Q491">
        <f>+IF(OR(Datos[[#This Row],[Diagnostico]]="Inservible",Datos[[#This Row],[Estatus]]="Preventivo"),0,Datos[[#This Row],[Fecha_Final]]-Datos[[#This Row],[Día_Inicio]])</f>
        <v>0</v>
      </c>
      <c r="R491" s="2">
        <v>0</v>
      </c>
      <c r="S491" s="2">
        <v>0</v>
      </c>
      <c r="T491" t="s">
        <v>29</v>
      </c>
    </row>
    <row r="492" spans="1:20" x14ac:dyDescent="0.25">
      <c r="A492" t="s">
        <v>672</v>
      </c>
      <c r="B492" s="1">
        <v>45084</v>
      </c>
      <c r="C492" t="s">
        <v>646</v>
      </c>
      <c r="D492">
        <v>6</v>
      </c>
      <c r="E492" t="str">
        <f>+CONCATENATE("T",ROUNDUP(MONTH(Datos[[#This Row],[Fecha]])/3,0))</f>
        <v>T2</v>
      </c>
      <c r="F492" t="str">
        <f>+CONCATENATE("Sem"," ",ROUNDUP(MONTH(Datos[[#This Row],[Fecha]])/6,0))</f>
        <v>Sem 1</v>
      </c>
      <c r="G492" t="s">
        <v>169</v>
      </c>
      <c r="H492" t="s">
        <v>170</v>
      </c>
      <c r="I492" t="s">
        <v>68</v>
      </c>
      <c r="J492" t="s">
        <v>171</v>
      </c>
      <c r="K492" t="s">
        <v>39</v>
      </c>
      <c r="L492" t="s">
        <v>40</v>
      </c>
      <c r="M492" t="s">
        <v>196</v>
      </c>
      <c r="N492" s="1">
        <v>45084</v>
      </c>
      <c r="O492" s="1">
        <v>45114</v>
      </c>
      <c r="P492" t="s">
        <v>29</v>
      </c>
      <c r="Q492">
        <f>+IF(OR(Datos[[#This Row],[Diagnostico]]="Inservible",Datos[[#This Row],[Estatus]]="Preventivo"),0,Datos[[#This Row],[Fecha_Final]]-Datos[[#This Row],[Día_Inicio]])</f>
        <v>0</v>
      </c>
      <c r="R492" s="2">
        <v>756</v>
      </c>
      <c r="S492" s="2">
        <v>556</v>
      </c>
      <c r="T492" t="s">
        <v>42</v>
      </c>
    </row>
    <row r="493" spans="1:20" x14ac:dyDescent="0.25">
      <c r="A493" t="s">
        <v>673</v>
      </c>
      <c r="B493" s="1">
        <v>45085</v>
      </c>
      <c r="C493" t="s">
        <v>646</v>
      </c>
      <c r="D493">
        <v>6</v>
      </c>
      <c r="E493" t="str">
        <f>+CONCATENATE("T",ROUNDUP(MONTH(Datos[[#This Row],[Fecha]])/3,0))</f>
        <v>T2</v>
      </c>
      <c r="F493" t="str">
        <f>+CONCATENATE("Sem"," ",ROUNDUP(MONTH(Datos[[#This Row],[Fecha]])/6,0))</f>
        <v>Sem 1</v>
      </c>
      <c r="G493" t="s">
        <v>82</v>
      </c>
      <c r="H493" t="s">
        <v>83</v>
      </c>
      <c r="I493" t="s">
        <v>24</v>
      </c>
      <c r="J493" t="s">
        <v>84</v>
      </c>
      <c r="K493" t="s">
        <v>161</v>
      </c>
      <c r="L493" t="s">
        <v>27</v>
      </c>
      <c r="M493">
        <v>0</v>
      </c>
      <c r="N493" s="1">
        <v>45085</v>
      </c>
      <c r="O493" s="1">
        <v>45098</v>
      </c>
      <c r="P493" t="s">
        <v>58</v>
      </c>
      <c r="Q493">
        <f>+IF(OR(Datos[[#This Row],[Diagnostico]]="Inservible",Datos[[#This Row],[Estatus]]="Preventivo"),0,Datos[[#This Row],[Fecha_Final]]-Datos[[#This Row],[Día_Inicio]])</f>
        <v>13</v>
      </c>
      <c r="R493" s="2">
        <v>1078</v>
      </c>
      <c r="S493" s="2">
        <v>826</v>
      </c>
      <c r="T493" t="s">
        <v>64</v>
      </c>
    </row>
    <row r="494" spans="1:20" x14ac:dyDescent="0.25">
      <c r="A494" t="s">
        <v>674</v>
      </c>
      <c r="B494" s="1">
        <v>45085</v>
      </c>
      <c r="C494" t="s">
        <v>646</v>
      </c>
      <c r="D494">
        <v>6</v>
      </c>
      <c r="E494" t="str">
        <f>+CONCATENATE("T",ROUNDUP(MONTH(Datos[[#This Row],[Fecha]])/3,0))</f>
        <v>T2</v>
      </c>
      <c r="F494" t="str">
        <f>+CONCATENATE("Sem"," ",ROUNDUP(MONTH(Datos[[#This Row],[Fecha]])/6,0))</f>
        <v>Sem 1</v>
      </c>
      <c r="G494" t="s">
        <v>137</v>
      </c>
      <c r="H494" t="s">
        <v>138</v>
      </c>
      <c r="I494" t="s">
        <v>68</v>
      </c>
      <c r="J494" t="s">
        <v>139</v>
      </c>
      <c r="K494" t="s">
        <v>80</v>
      </c>
      <c r="L494" t="s">
        <v>27</v>
      </c>
      <c r="M494">
        <v>0</v>
      </c>
      <c r="N494" s="1">
        <v>45085</v>
      </c>
      <c r="O494" s="1">
        <v>45111</v>
      </c>
      <c r="P494" t="s">
        <v>58</v>
      </c>
      <c r="Q494">
        <f>+IF(OR(Datos[[#This Row],[Diagnostico]]="Inservible",Datos[[#This Row],[Estatus]]="Preventivo"),0,Datos[[#This Row],[Fecha_Final]]-Datos[[#This Row],[Día_Inicio]])</f>
        <v>26</v>
      </c>
      <c r="R494" s="2">
        <v>989</v>
      </c>
      <c r="S494" s="2">
        <v>953</v>
      </c>
      <c r="T494" t="s">
        <v>91</v>
      </c>
    </row>
    <row r="495" spans="1:20" x14ac:dyDescent="0.25">
      <c r="A495" t="s">
        <v>675</v>
      </c>
      <c r="B495" s="1">
        <v>45085</v>
      </c>
      <c r="C495" t="s">
        <v>646</v>
      </c>
      <c r="D495">
        <v>6</v>
      </c>
      <c r="E495" t="str">
        <f>+CONCATENATE("T",ROUNDUP(MONTH(Datos[[#This Row],[Fecha]])/3,0))</f>
        <v>T2</v>
      </c>
      <c r="F495" t="str">
        <f>+CONCATENATE("Sem"," ",ROUNDUP(MONTH(Datos[[#This Row],[Fecha]])/6,0))</f>
        <v>Sem 1</v>
      </c>
      <c r="G495" t="s">
        <v>132</v>
      </c>
      <c r="H495" t="s">
        <v>133</v>
      </c>
      <c r="I495" t="s">
        <v>24</v>
      </c>
      <c r="J495" t="s">
        <v>134</v>
      </c>
      <c r="K495" t="s">
        <v>85</v>
      </c>
      <c r="L495" t="s">
        <v>27</v>
      </c>
      <c r="M495">
        <v>0</v>
      </c>
      <c r="N495" s="1">
        <v>45085</v>
      </c>
      <c r="O495" s="1">
        <v>45108</v>
      </c>
      <c r="P495" t="s">
        <v>28</v>
      </c>
      <c r="Q495">
        <f>+IF(OR(Datos[[#This Row],[Diagnostico]]="Inservible",Datos[[#This Row],[Estatus]]="Preventivo"),0,Datos[[#This Row],[Fecha_Final]]-Datos[[#This Row],[Día_Inicio]])</f>
        <v>0</v>
      </c>
      <c r="R495" s="2">
        <v>0</v>
      </c>
      <c r="S495" s="2">
        <v>0</v>
      </c>
      <c r="T495" t="s">
        <v>29</v>
      </c>
    </row>
    <row r="496" spans="1:20" x14ac:dyDescent="0.25">
      <c r="A496" t="s">
        <v>676</v>
      </c>
      <c r="B496" s="1">
        <v>45085</v>
      </c>
      <c r="C496" t="s">
        <v>646</v>
      </c>
      <c r="D496">
        <v>6</v>
      </c>
      <c r="E496" t="str">
        <f>+CONCATENATE("T",ROUNDUP(MONTH(Datos[[#This Row],[Fecha]])/3,0))</f>
        <v>T2</v>
      </c>
      <c r="F496" t="str">
        <f>+CONCATENATE("Sem"," ",ROUNDUP(MONTH(Datos[[#This Row],[Fecha]])/6,0))</f>
        <v>Sem 1</v>
      </c>
      <c r="G496" t="s">
        <v>180</v>
      </c>
      <c r="H496" t="s">
        <v>181</v>
      </c>
      <c r="I496" t="s">
        <v>24</v>
      </c>
      <c r="J496" t="s">
        <v>127</v>
      </c>
      <c r="K496" t="s">
        <v>90</v>
      </c>
      <c r="L496" t="s">
        <v>27</v>
      </c>
      <c r="M496">
        <v>0</v>
      </c>
      <c r="N496" s="1">
        <v>45085</v>
      </c>
      <c r="O496" s="1">
        <v>45098</v>
      </c>
      <c r="P496" t="s">
        <v>58</v>
      </c>
      <c r="Q496">
        <f>+IF(OR(Datos[[#This Row],[Diagnostico]]="Inservible",Datos[[#This Row],[Estatus]]="Preventivo"),0,Datos[[#This Row],[Fecha_Final]]-Datos[[#This Row],[Día_Inicio]])</f>
        <v>13</v>
      </c>
      <c r="R496" s="2">
        <v>213</v>
      </c>
      <c r="S496" s="2">
        <v>428</v>
      </c>
      <c r="T496" t="s">
        <v>91</v>
      </c>
    </row>
    <row r="497" spans="1:20" x14ac:dyDescent="0.25">
      <c r="A497" t="s">
        <v>677</v>
      </c>
      <c r="B497" s="1">
        <v>45088</v>
      </c>
      <c r="C497" t="s">
        <v>646</v>
      </c>
      <c r="D497">
        <v>6</v>
      </c>
      <c r="E497" t="str">
        <f>+CONCATENATE("T",ROUNDUP(MONTH(Datos[[#This Row],[Fecha]])/3,0))</f>
        <v>T2</v>
      </c>
      <c r="F497" t="str">
        <f>+CONCATENATE("Sem"," ",ROUNDUP(MONTH(Datos[[#This Row],[Fecha]])/6,0))</f>
        <v>Sem 1</v>
      </c>
      <c r="G497" t="s">
        <v>94</v>
      </c>
      <c r="H497" t="s">
        <v>95</v>
      </c>
      <c r="I497" t="s">
        <v>68</v>
      </c>
      <c r="J497" t="s">
        <v>96</v>
      </c>
      <c r="K497" t="s">
        <v>172</v>
      </c>
      <c r="L497" t="s">
        <v>27</v>
      </c>
      <c r="M497">
        <v>0</v>
      </c>
      <c r="N497" s="1">
        <v>45088</v>
      </c>
      <c r="O497" s="1">
        <v>45102</v>
      </c>
      <c r="P497" t="s">
        <v>28</v>
      </c>
      <c r="Q497">
        <f>+IF(OR(Datos[[#This Row],[Diagnostico]]="Inservible",Datos[[#This Row],[Estatus]]="Preventivo"),0,Datos[[#This Row],[Fecha_Final]]-Datos[[#This Row],[Día_Inicio]])</f>
        <v>0</v>
      </c>
      <c r="R497" s="2">
        <v>0</v>
      </c>
      <c r="S497" s="2">
        <v>0</v>
      </c>
      <c r="T497" t="s">
        <v>29</v>
      </c>
    </row>
    <row r="498" spans="1:20" x14ac:dyDescent="0.25">
      <c r="A498" t="s">
        <v>678</v>
      </c>
      <c r="B498" s="1">
        <v>45089</v>
      </c>
      <c r="C498" t="s">
        <v>646</v>
      </c>
      <c r="D498">
        <v>6</v>
      </c>
      <c r="E498" t="str">
        <f>+CONCATENATE("T",ROUNDUP(MONTH(Datos[[#This Row],[Fecha]])/3,0))</f>
        <v>T2</v>
      </c>
      <c r="F498" t="str">
        <f>+CONCATENATE("Sem"," ",ROUNDUP(MONTH(Datos[[#This Row],[Fecha]])/6,0))</f>
        <v>Sem 1</v>
      </c>
      <c r="G498" t="s">
        <v>202</v>
      </c>
      <c r="H498" t="s">
        <v>203</v>
      </c>
      <c r="I498" t="s">
        <v>24</v>
      </c>
      <c r="J498" t="s">
        <v>204</v>
      </c>
      <c r="K498" t="s">
        <v>97</v>
      </c>
      <c r="L498" t="s">
        <v>27</v>
      </c>
      <c r="M498">
        <v>0</v>
      </c>
      <c r="N498" s="1">
        <v>45089</v>
      </c>
      <c r="O498" s="1">
        <v>45099</v>
      </c>
      <c r="P498" t="s">
        <v>28</v>
      </c>
      <c r="Q498">
        <f>+IF(OR(Datos[[#This Row],[Diagnostico]]="Inservible",Datos[[#This Row],[Estatus]]="Preventivo"),0,Datos[[#This Row],[Fecha_Final]]-Datos[[#This Row],[Día_Inicio]])</f>
        <v>0</v>
      </c>
      <c r="R498" s="2">
        <v>0</v>
      </c>
      <c r="S498" s="2">
        <v>0</v>
      </c>
      <c r="T498" t="s">
        <v>29</v>
      </c>
    </row>
    <row r="499" spans="1:20" x14ac:dyDescent="0.25">
      <c r="A499" t="s">
        <v>679</v>
      </c>
      <c r="B499" s="1">
        <v>45089</v>
      </c>
      <c r="C499" t="s">
        <v>646</v>
      </c>
      <c r="D499">
        <v>6</v>
      </c>
      <c r="E499" t="str">
        <f>+CONCATENATE("T",ROUNDUP(MONTH(Datos[[#This Row],[Fecha]])/3,0))</f>
        <v>T2</v>
      </c>
      <c r="F499" t="str">
        <f>+CONCATENATE("Sem"," ",ROUNDUP(MONTH(Datos[[#This Row],[Fecha]])/6,0))</f>
        <v>Sem 1</v>
      </c>
      <c r="G499" t="s">
        <v>22</v>
      </c>
      <c r="H499" t="s">
        <v>23</v>
      </c>
      <c r="I499" t="s">
        <v>24</v>
      </c>
      <c r="J499" t="s">
        <v>25</v>
      </c>
      <c r="K499" t="s">
        <v>178</v>
      </c>
      <c r="L499" t="s">
        <v>27</v>
      </c>
      <c r="M499">
        <v>0</v>
      </c>
      <c r="N499" s="1">
        <v>45089</v>
      </c>
      <c r="O499" s="1">
        <v>45116</v>
      </c>
      <c r="P499" t="s">
        <v>58</v>
      </c>
      <c r="Q499">
        <f>+IF(OR(Datos[[#This Row],[Diagnostico]]="Inservible",Datos[[#This Row],[Estatus]]="Preventivo"),0,Datos[[#This Row],[Fecha_Final]]-Datos[[#This Row],[Día_Inicio]])</f>
        <v>27</v>
      </c>
      <c r="R499" s="2">
        <v>725</v>
      </c>
      <c r="S499" s="2">
        <v>933</v>
      </c>
      <c r="T499" t="s">
        <v>91</v>
      </c>
    </row>
    <row r="500" spans="1:20" x14ac:dyDescent="0.25">
      <c r="A500" t="s">
        <v>680</v>
      </c>
      <c r="B500" s="1">
        <v>45090</v>
      </c>
      <c r="C500" t="s">
        <v>646</v>
      </c>
      <c r="D500">
        <v>6</v>
      </c>
      <c r="E500" t="str">
        <f>+CONCATENATE("T",ROUNDUP(MONTH(Datos[[#This Row],[Fecha]])/3,0))</f>
        <v>T2</v>
      </c>
      <c r="F500" t="str">
        <f>+CONCATENATE("Sem"," ",ROUNDUP(MONTH(Datos[[#This Row],[Fecha]])/6,0))</f>
        <v>Sem 1</v>
      </c>
      <c r="G500" t="s">
        <v>190</v>
      </c>
      <c r="H500" t="s">
        <v>191</v>
      </c>
      <c r="I500" t="s">
        <v>24</v>
      </c>
      <c r="J500" t="s">
        <v>192</v>
      </c>
      <c r="K500" t="s">
        <v>39</v>
      </c>
      <c r="L500" t="s">
        <v>40</v>
      </c>
      <c r="M500" t="s">
        <v>196</v>
      </c>
      <c r="N500" s="1">
        <v>45090</v>
      </c>
      <c r="O500" s="1">
        <v>45120</v>
      </c>
      <c r="P500" t="s">
        <v>29</v>
      </c>
      <c r="Q500">
        <f>+IF(OR(Datos[[#This Row],[Diagnostico]]="Inservible",Datos[[#This Row],[Estatus]]="Preventivo"),0,Datos[[#This Row],[Fecha_Final]]-Datos[[#This Row],[Día_Inicio]])</f>
        <v>0</v>
      </c>
      <c r="R500" s="2">
        <v>233</v>
      </c>
      <c r="S500" s="2">
        <v>924</v>
      </c>
      <c r="T500" t="s">
        <v>42</v>
      </c>
    </row>
    <row r="501" spans="1:20" x14ac:dyDescent="0.25">
      <c r="A501" t="s">
        <v>681</v>
      </c>
      <c r="B501" s="1">
        <v>45090</v>
      </c>
      <c r="C501" t="s">
        <v>646</v>
      </c>
      <c r="D501">
        <v>6</v>
      </c>
      <c r="E501" t="str">
        <f>+CONCATENATE("T",ROUNDUP(MONTH(Datos[[#This Row],[Fecha]])/3,0))</f>
        <v>T2</v>
      </c>
      <c r="F501" t="str">
        <f>+CONCATENATE("Sem"," ",ROUNDUP(MONTH(Datos[[#This Row],[Fecha]])/6,0))</f>
        <v>Sem 1</v>
      </c>
      <c r="G501" t="s">
        <v>125</v>
      </c>
      <c r="H501" t="s">
        <v>126</v>
      </c>
      <c r="I501" t="s">
        <v>24</v>
      </c>
      <c r="J501" t="s">
        <v>127</v>
      </c>
      <c r="K501" t="s">
        <v>110</v>
      </c>
      <c r="L501" t="s">
        <v>27</v>
      </c>
      <c r="M501">
        <v>0</v>
      </c>
      <c r="N501" s="1">
        <v>45090</v>
      </c>
      <c r="O501" s="1">
        <v>45110</v>
      </c>
      <c r="P501" t="s">
        <v>58</v>
      </c>
      <c r="Q501">
        <f>+IF(OR(Datos[[#This Row],[Diagnostico]]="Inservible",Datos[[#This Row],[Estatus]]="Preventivo"),0,Datos[[#This Row],[Fecha_Final]]-Datos[[#This Row],[Día_Inicio]])</f>
        <v>20</v>
      </c>
      <c r="R501" s="2">
        <v>746</v>
      </c>
      <c r="S501" s="2">
        <v>449</v>
      </c>
      <c r="T501" t="s">
        <v>91</v>
      </c>
    </row>
    <row r="502" spans="1:20" x14ac:dyDescent="0.25">
      <c r="A502" t="s">
        <v>682</v>
      </c>
      <c r="B502" s="1">
        <v>45090</v>
      </c>
      <c r="C502" t="s">
        <v>646</v>
      </c>
      <c r="D502">
        <v>6</v>
      </c>
      <c r="E502" t="str">
        <f>+CONCATENATE("T",ROUNDUP(MONTH(Datos[[#This Row],[Fecha]])/3,0))</f>
        <v>T2</v>
      </c>
      <c r="F502" t="str">
        <f>+CONCATENATE("Sem"," ",ROUNDUP(MONTH(Datos[[#This Row],[Fecha]])/6,0))</f>
        <v>Sem 1</v>
      </c>
      <c r="G502" t="s">
        <v>132</v>
      </c>
      <c r="H502" t="s">
        <v>133</v>
      </c>
      <c r="I502" t="s">
        <v>24</v>
      </c>
      <c r="J502" t="s">
        <v>134</v>
      </c>
      <c r="K502" t="s">
        <v>114</v>
      </c>
      <c r="L502" t="s">
        <v>27</v>
      </c>
      <c r="M502">
        <v>0</v>
      </c>
      <c r="N502" s="1">
        <v>45090</v>
      </c>
      <c r="O502" s="1">
        <v>45094</v>
      </c>
      <c r="P502" t="s">
        <v>58</v>
      </c>
      <c r="Q502">
        <f>+IF(OR(Datos[[#This Row],[Diagnostico]]="Inservible",Datos[[#This Row],[Estatus]]="Preventivo"),0,Datos[[#This Row],[Fecha_Final]]-Datos[[#This Row],[Día_Inicio]])</f>
        <v>4</v>
      </c>
      <c r="R502" s="2">
        <v>445</v>
      </c>
      <c r="S502" s="2">
        <v>833</v>
      </c>
      <c r="T502" t="s">
        <v>64</v>
      </c>
    </row>
    <row r="503" spans="1:20" x14ac:dyDescent="0.25">
      <c r="A503" t="s">
        <v>683</v>
      </c>
      <c r="B503" s="1">
        <v>45091</v>
      </c>
      <c r="C503" t="s">
        <v>646</v>
      </c>
      <c r="D503">
        <v>6</v>
      </c>
      <c r="E503" t="str">
        <f>+CONCATENATE("T",ROUNDUP(MONTH(Datos[[#This Row],[Fecha]])/3,0))</f>
        <v>T2</v>
      </c>
      <c r="F503" t="str">
        <f>+CONCATENATE("Sem"," ",ROUNDUP(MONTH(Datos[[#This Row],[Fecha]])/6,0))</f>
        <v>Sem 1</v>
      </c>
      <c r="G503" t="s">
        <v>53</v>
      </c>
      <c r="H503" t="s">
        <v>54</v>
      </c>
      <c r="I503" t="s">
        <v>55</v>
      </c>
      <c r="J503" t="s">
        <v>56</v>
      </c>
      <c r="K503" t="s">
        <v>119</v>
      </c>
      <c r="L503" t="s">
        <v>27</v>
      </c>
      <c r="M503">
        <v>0</v>
      </c>
      <c r="N503" s="1">
        <v>45091</v>
      </c>
      <c r="O503" s="1">
        <v>45097</v>
      </c>
      <c r="P503" t="s">
        <v>28</v>
      </c>
      <c r="Q503">
        <f>+IF(OR(Datos[[#This Row],[Diagnostico]]="Inservible",Datos[[#This Row],[Estatus]]="Preventivo"),0,Datos[[#This Row],[Fecha_Final]]-Datos[[#This Row],[Día_Inicio]])</f>
        <v>0</v>
      </c>
      <c r="R503" s="2">
        <v>0</v>
      </c>
      <c r="S503" s="2">
        <v>0</v>
      </c>
      <c r="T503" t="s">
        <v>29</v>
      </c>
    </row>
    <row r="504" spans="1:20" x14ac:dyDescent="0.25">
      <c r="A504" t="s">
        <v>684</v>
      </c>
      <c r="B504" s="1">
        <v>45092</v>
      </c>
      <c r="C504" t="s">
        <v>646</v>
      </c>
      <c r="D504">
        <v>6</v>
      </c>
      <c r="E504" t="str">
        <f>+CONCATENATE("T",ROUNDUP(MONTH(Datos[[#This Row],[Fecha]])/3,0))</f>
        <v>T2</v>
      </c>
      <c r="F504" t="str">
        <f>+CONCATENATE("Sem"," ",ROUNDUP(MONTH(Datos[[#This Row],[Fecha]])/6,0))</f>
        <v>Sem 1</v>
      </c>
      <c r="G504" t="s">
        <v>116</v>
      </c>
      <c r="H504" t="s">
        <v>117</v>
      </c>
      <c r="I504" t="s">
        <v>24</v>
      </c>
      <c r="J504" t="s">
        <v>118</v>
      </c>
      <c r="K504" t="s">
        <v>123</v>
      </c>
      <c r="L504" t="s">
        <v>27</v>
      </c>
      <c r="M504">
        <v>0</v>
      </c>
      <c r="N504" s="1">
        <v>45092</v>
      </c>
      <c r="O504" s="1">
        <v>45110</v>
      </c>
      <c r="P504" t="s">
        <v>28</v>
      </c>
      <c r="Q504">
        <f>+IF(OR(Datos[[#This Row],[Diagnostico]]="Inservible",Datos[[#This Row],[Estatus]]="Preventivo"),0,Datos[[#This Row],[Fecha_Final]]-Datos[[#This Row],[Día_Inicio]])</f>
        <v>0</v>
      </c>
      <c r="R504" s="2">
        <v>0</v>
      </c>
      <c r="S504" s="2">
        <v>0</v>
      </c>
      <c r="T504" t="s">
        <v>29</v>
      </c>
    </row>
    <row r="505" spans="1:20" x14ac:dyDescent="0.25">
      <c r="A505" t="s">
        <v>685</v>
      </c>
      <c r="B505" s="1">
        <v>45092</v>
      </c>
      <c r="C505" t="s">
        <v>646</v>
      </c>
      <c r="D505">
        <v>6</v>
      </c>
      <c r="E505" t="str">
        <f>+CONCATENATE("T",ROUNDUP(MONTH(Datos[[#This Row],[Fecha]])/3,0))</f>
        <v>T2</v>
      </c>
      <c r="F505" t="str">
        <f>+CONCATENATE("Sem"," ",ROUNDUP(MONTH(Datos[[#This Row],[Fecha]])/6,0))</f>
        <v>Sem 1</v>
      </c>
      <c r="G505" t="s">
        <v>72</v>
      </c>
      <c r="H505" t="s">
        <v>73</v>
      </c>
      <c r="I505" t="s">
        <v>24</v>
      </c>
      <c r="J505" t="s">
        <v>74</v>
      </c>
      <c r="K505" t="s">
        <v>128</v>
      </c>
      <c r="L505" t="s">
        <v>27</v>
      </c>
      <c r="M505">
        <v>0</v>
      </c>
      <c r="N505" s="1">
        <v>45092</v>
      </c>
      <c r="O505" s="1">
        <v>45115</v>
      </c>
      <c r="P505" t="s">
        <v>58</v>
      </c>
      <c r="Q505">
        <f>+IF(OR(Datos[[#This Row],[Diagnostico]]="Inservible",Datos[[#This Row],[Estatus]]="Preventivo"),0,Datos[[#This Row],[Fecha_Final]]-Datos[[#This Row],[Día_Inicio]])</f>
        <v>23</v>
      </c>
      <c r="R505" s="2">
        <v>1121</v>
      </c>
      <c r="S505" s="2">
        <v>251</v>
      </c>
      <c r="T505" t="s">
        <v>91</v>
      </c>
    </row>
    <row r="506" spans="1:20" x14ac:dyDescent="0.25">
      <c r="A506" t="s">
        <v>686</v>
      </c>
      <c r="B506" s="1">
        <v>45093</v>
      </c>
      <c r="C506" t="s">
        <v>646</v>
      </c>
      <c r="D506">
        <v>6</v>
      </c>
      <c r="E506" t="str">
        <f>+CONCATENATE("T",ROUNDUP(MONTH(Datos[[#This Row],[Fecha]])/3,0))</f>
        <v>T2</v>
      </c>
      <c r="F506" t="str">
        <f>+CONCATENATE("Sem"," ",ROUNDUP(MONTH(Datos[[#This Row],[Fecha]])/6,0))</f>
        <v>Sem 1</v>
      </c>
      <c r="G506" t="s">
        <v>66</v>
      </c>
      <c r="H506" t="s">
        <v>67</v>
      </c>
      <c r="I506" t="s">
        <v>68</v>
      </c>
      <c r="J506" t="s">
        <v>69</v>
      </c>
      <c r="K506" t="s">
        <v>39</v>
      </c>
      <c r="L506" t="s">
        <v>40</v>
      </c>
      <c r="M506" t="s">
        <v>188</v>
      </c>
      <c r="N506" s="1">
        <v>45093</v>
      </c>
      <c r="O506" s="1">
        <v>45273</v>
      </c>
      <c r="P506" t="s">
        <v>29</v>
      </c>
      <c r="Q506">
        <f>+IF(OR(Datos[[#This Row],[Diagnostico]]="Inservible",Datos[[#This Row],[Estatus]]="Preventivo"),0,Datos[[#This Row],[Fecha_Final]]-Datos[[#This Row],[Día_Inicio]])</f>
        <v>0</v>
      </c>
      <c r="R506" s="2">
        <v>327</v>
      </c>
      <c r="S506" s="2">
        <v>901</v>
      </c>
      <c r="T506" t="s">
        <v>42</v>
      </c>
    </row>
    <row r="507" spans="1:20" x14ac:dyDescent="0.25">
      <c r="A507" t="s">
        <v>687</v>
      </c>
      <c r="B507" s="1">
        <v>45093</v>
      </c>
      <c r="C507" t="s">
        <v>646</v>
      </c>
      <c r="D507">
        <v>6</v>
      </c>
      <c r="E507" t="str">
        <f>+CONCATENATE("T",ROUNDUP(MONTH(Datos[[#This Row],[Fecha]])/3,0))</f>
        <v>T2</v>
      </c>
      <c r="F507" t="str">
        <f>+CONCATENATE("Sem"," ",ROUNDUP(MONTH(Datos[[#This Row],[Fecha]])/6,0))</f>
        <v>Sem 1</v>
      </c>
      <c r="G507" t="s">
        <v>137</v>
      </c>
      <c r="H507" t="s">
        <v>138</v>
      </c>
      <c r="I507" t="s">
        <v>68</v>
      </c>
      <c r="J507" t="s">
        <v>139</v>
      </c>
      <c r="K507" t="s">
        <v>135</v>
      </c>
      <c r="L507" t="s">
        <v>27</v>
      </c>
      <c r="M507">
        <v>0</v>
      </c>
      <c r="N507" s="1">
        <v>45093</v>
      </c>
      <c r="O507" s="1">
        <v>45103</v>
      </c>
      <c r="P507" t="s">
        <v>28</v>
      </c>
      <c r="Q507">
        <f>+IF(OR(Datos[[#This Row],[Diagnostico]]="Inservible",Datos[[#This Row],[Estatus]]="Preventivo"),0,Datos[[#This Row],[Fecha_Final]]-Datos[[#This Row],[Día_Inicio]])</f>
        <v>0</v>
      </c>
      <c r="R507" s="2">
        <v>0</v>
      </c>
      <c r="S507" s="2">
        <v>0</v>
      </c>
      <c r="T507" t="s">
        <v>29</v>
      </c>
    </row>
    <row r="508" spans="1:20" x14ac:dyDescent="0.25">
      <c r="A508" t="s">
        <v>688</v>
      </c>
      <c r="B508" s="1">
        <v>45093</v>
      </c>
      <c r="C508" t="s">
        <v>646</v>
      </c>
      <c r="D508">
        <v>6</v>
      </c>
      <c r="E508" t="str">
        <f>+CONCATENATE("T",ROUNDUP(MONTH(Datos[[#This Row],[Fecha]])/3,0))</f>
        <v>T2</v>
      </c>
      <c r="F508" t="str">
        <f>+CONCATENATE("Sem"," ",ROUNDUP(MONTH(Datos[[#This Row],[Fecha]])/6,0))</f>
        <v>Sem 1</v>
      </c>
      <c r="G508" t="s">
        <v>154</v>
      </c>
      <c r="H508" t="s">
        <v>155</v>
      </c>
      <c r="I508" t="s">
        <v>68</v>
      </c>
      <c r="J508" t="s">
        <v>156</v>
      </c>
      <c r="K508" t="s">
        <v>26</v>
      </c>
      <c r="L508" t="s">
        <v>27</v>
      </c>
      <c r="M508">
        <v>0</v>
      </c>
      <c r="N508" s="1">
        <v>45093</v>
      </c>
      <c r="O508" s="1">
        <v>45101</v>
      </c>
      <c r="P508" t="s">
        <v>58</v>
      </c>
      <c r="Q508">
        <f>+IF(OR(Datos[[#This Row],[Diagnostico]]="Inservible",Datos[[#This Row],[Estatus]]="Preventivo"),0,Datos[[#This Row],[Fecha_Final]]-Datos[[#This Row],[Día_Inicio]])</f>
        <v>8</v>
      </c>
      <c r="R508" s="2">
        <v>703</v>
      </c>
      <c r="S508" s="2">
        <v>633</v>
      </c>
      <c r="T508" t="s">
        <v>64</v>
      </c>
    </row>
    <row r="509" spans="1:20" x14ac:dyDescent="0.25">
      <c r="A509" t="s">
        <v>689</v>
      </c>
      <c r="B509" s="1">
        <v>45093</v>
      </c>
      <c r="C509" t="s">
        <v>646</v>
      </c>
      <c r="D509">
        <v>6</v>
      </c>
      <c r="E509" t="str">
        <f>+CONCATENATE("T",ROUNDUP(MONTH(Datos[[#This Row],[Fecha]])/3,0))</f>
        <v>T2</v>
      </c>
      <c r="F509" t="str">
        <f>+CONCATENATE("Sem"," ",ROUNDUP(MONTH(Datos[[#This Row],[Fecha]])/6,0))</f>
        <v>Sem 1</v>
      </c>
      <c r="G509" t="s">
        <v>125</v>
      </c>
      <c r="H509" t="s">
        <v>126</v>
      </c>
      <c r="I509" t="s">
        <v>24</v>
      </c>
      <c r="J509" t="s">
        <v>127</v>
      </c>
      <c r="K509" t="s">
        <v>34</v>
      </c>
      <c r="L509" t="s">
        <v>27</v>
      </c>
      <c r="M509">
        <v>0</v>
      </c>
      <c r="N509" s="1">
        <v>45093</v>
      </c>
      <c r="O509" s="1">
        <v>45115</v>
      </c>
      <c r="P509" t="s">
        <v>58</v>
      </c>
      <c r="Q509">
        <f>+IF(OR(Datos[[#This Row],[Diagnostico]]="Inservible",Datos[[#This Row],[Estatus]]="Preventivo"),0,Datos[[#This Row],[Fecha_Final]]-Datos[[#This Row],[Día_Inicio]])</f>
        <v>22</v>
      </c>
      <c r="R509" s="2">
        <v>911</v>
      </c>
      <c r="S509" s="2">
        <v>665</v>
      </c>
      <c r="T509" t="s">
        <v>64</v>
      </c>
    </row>
    <row r="510" spans="1:20" x14ac:dyDescent="0.25">
      <c r="A510" t="s">
        <v>690</v>
      </c>
      <c r="B510" s="1">
        <v>45093</v>
      </c>
      <c r="C510" t="s">
        <v>646</v>
      </c>
      <c r="D510">
        <v>6</v>
      </c>
      <c r="E510" t="str">
        <f>+CONCATENATE("T",ROUNDUP(MONTH(Datos[[#This Row],[Fecha]])/3,0))</f>
        <v>T2</v>
      </c>
      <c r="F510" t="str">
        <f>+CONCATENATE("Sem"," ",ROUNDUP(MONTH(Datos[[#This Row],[Fecha]])/6,0))</f>
        <v>Sem 1</v>
      </c>
      <c r="G510" t="s">
        <v>154</v>
      </c>
      <c r="H510" t="s">
        <v>155</v>
      </c>
      <c r="I510" t="s">
        <v>68</v>
      </c>
      <c r="J510" t="s">
        <v>156</v>
      </c>
      <c r="K510" t="s">
        <v>39</v>
      </c>
      <c r="L510" t="s">
        <v>40</v>
      </c>
      <c r="M510" t="s">
        <v>103</v>
      </c>
      <c r="N510" s="1">
        <v>45093</v>
      </c>
      <c r="O510" s="1">
        <v>45108</v>
      </c>
      <c r="P510" t="s">
        <v>29</v>
      </c>
      <c r="Q510">
        <f>+IF(OR(Datos[[#This Row],[Diagnostico]]="Inservible",Datos[[#This Row],[Estatus]]="Preventivo"),0,Datos[[#This Row],[Fecha_Final]]-Datos[[#This Row],[Día_Inicio]])</f>
        <v>0</v>
      </c>
      <c r="R510" s="2">
        <v>476</v>
      </c>
      <c r="S510" s="2">
        <v>628</v>
      </c>
      <c r="T510" t="s">
        <v>42</v>
      </c>
    </row>
    <row r="511" spans="1:20" x14ac:dyDescent="0.25">
      <c r="A511" t="s">
        <v>691</v>
      </c>
      <c r="B511" s="1">
        <v>45094</v>
      </c>
      <c r="C511" t="s">
        <v>646</v>
      </c>
      <c r="D511">
        <v>6</v>
      </c>
      <c r="E511" t="str">
        <f>+CONCATENATE("T",ROUNDUP(MONTH(Datos[[#This Row],[Fecha]])/3,0))</f>
        <v>T2</v>
      </c>
      <c r="F511" t="str">
        <f>+CONCATENATE("Sem"," ",ROUNDUP(MONTH(Datos[[#This Row],[Fecha]])/6,0))</f>
        <v>Sem 1</v>
      </c>
      <c r="G511" t="s">
        <v>44</v>
      </c>
      <c r="H511" t="s">
        <v>45</v>
      </c>
      <c r="I511" t="s">
        <v>24</v>
      </c>
      <c r="J511" t="s">
        <v>46</v>
      </c>
      <c r="K511" t="s">
        <v>47</v>
      </c>
      <c r="L511" t="s">
        <v>27</v>
      </c>
      <c r="M511">
        <v>0</v>
      </c>
      <c r="N511" s="1">
        <v>45094</v>
      </c>
      <c r="O511" s="1">
        <v>45113</v>
      </c>
      <c r="P511" t="s">
        <v>58</v>
      </c>
      <c r="Q511">
        <f>+IF(OR(Datos[[#This Row],[Diagnostico]]="Inservible",Datos[[#This Row],[Estatus]]="Preventivo"),0,Datos[[#This Row],[Fecha_Final]]-Datos[[#This Row],[Día_Inicio]])</f>
        <v>19</v>
      </c>
      <c r="R511" s="2">
        <v>230</v>
      </c>
      <c r="S511" s="2">
        <v>231</v>
      </c>
      <c r="T511" t="s">
        <v>91</v>
      </c>
    </row>
    <row r="512" spans="1:20" x14ac:dyDescent="0.25">
      <c r="A512" t="s">
        <v>692</v>
      </c>
      <c r="B512" s="1">
        <v>45094</v>
      </c>
      <c r="C512" t="s">
        <v>646</v>
      </c>
      <c r="D512">
        <v>6</v>
      </c>
      <c r="E512" t="str">
        <f>+CONCATENATE("T",ROUNDUP(MONTH(Datos[[#This Row],[Fecha]])/3,0))</f>
        <v>T2</v>
      </c>
      <c r="F512" t="str">
        <f>+CONCATENATE("Sem"," ",ROUNDUP(MONTH(Datos[[#This Row],[Fecha]])/6,0))</f>
        <v>Sem 1</v>
      </c>
      <c r="G512" t="s">
        <v>132</v>
      </c>
      <c r="H512" t="s">
        <v>133</v>
      </c>
      <c r="I512" t="s">
        <v>24</v>
      </c>
      <c r="J512" t="s">
        <v>134</v>
      </c>
      <c r="K512" t="s">
        <v>147</v>
      </c>
      <c r="L512" t="s">
        <v>27</v>
      </c>
      <c r="M512">
        <v>0</v>
      </c>
      <c r="N512" s="1">
        <v>45094</v>
      </c>
      <c r="O512" s="1">
        <v>45121</v>
      </c>
      <c r="P512" t="s">
        <v>28</v>
      </c>
      <c r="Q512">
        <f>+IF(OR(Datos[[#This Row],[Diagnostico]]="Inservible",Datos[[#This Row],[Estatus]]="Preventivo"),0,Datos[[#This Row],[Fecha_Final]]-Datos[[#This Row],[Día_Inicio]])</f>
        <v>0</v>
      </c>
      <c r="R512" s="2">
        <v>0</v>
      </c>
      <c r="S512" s="2">
        <v>0</v>
      </c>
      <c r="T512" t="s">
        <v>29</v>
      </c>
    </row>
    <row r="513" spans="1:20" x14ac:dyDescent="0.25">
      <c r="A513" t="s">
        <v>693</v>
      </c>
      <c r="B513" s="1">
        <v>45094</v>
      </c>
      <c r="C513" t="s">
        <v>646</v>
      </c>
      <c r="D513">
        <v>6</v>
      </c>
      <c r="E513" t="str">
        <f>+CONCATENATE("T",ROUNDUP(MONTH(Datos[[#This Row],[Fecha]])/3,0))</f>
        <v>T2</v>
      </c>
      <c r="F513" t="str">
        <f>+CONCATENATE("Sem"," ",ROUNDUP(MONTH(Datos[[#This Row],[Fecha]])/6,0))</f>
        <v>Sem 1</v>
      </c>
      <c r="G513" t="s">
        <v>72</v>
      </c>
      <c r="H513" t="s">
        <v>73</v>
      </c>
      <c r="I513" t="s">
        <v>24</v>
      </c>
      <c r="J513" t="s">
        <v>74</v>
      </c>
      <c r="K513" t="s">
        <v>57</v>
      </c>
      <c r="L513" t="s">
        <v>27</v>
      </c>
      <c r="M513">
        <v>0</v>
      </c>
      <c r="N513" s="1">
        <v>45094</v>
      </c>
      <c r="O513" s="1">
        <v>45122</v>
      </c>
      <c r="P513" t="s">
        <v>28</v>
      </c>
      <c r="Q513">
        <f>+IF(OR(Datos[[#This Row],[Diagnostico]]="Inservible",Datos[[#This Row],[Estatus]]="Preventivo"),0,Datos[[#This Row],[Fecha_Final]]-Datos[[#This Row],[Día_Inicio]])</f>
        <v>0</v>
      </c>
      <c r="R513" s="2">
        <v>0</v>
      </c>
      <c r="S513" s="2">
        <v>0</v>
      </c>
      <c r="T513" t="s">
        <v>29</v>
      </c>
    </row>
    <row r="514" spans="1:20" x14ac:dyDescent="0.25">
      <c r="A514" t="s">
        <v>694</v>
      </c>
      <c r="B514" s="1">
        <v>45094</v>
      </c>
      <c r="C514" t="s">
        <v>646</v>
      </c>
      <c r="D514">
        <v>6</v>
      </c>
      <c r="E514" t="str">
        <f>+CONCATENATE("T",ROUNDUP(MONTH(Datos[[#This Row],[Fecha]])/3,0))</f>
        <v>T2</v>
      </c>
      <c r="F514" t="str">
        <f>+CONCATENATE("Sem"," ",ROUNDUP(MONTH(Datos[[#This Row],[Fecha]])/6,0))</f>
        <v>Sem 1</v>
      </c>
      <c r="G514" t="s">
        <v>246</v>
      </c>
      <c r="H514" t="s">
        <v>247</v>
      </c>
      <c r="I514" t="s">
        <v>24</v>
      </c>
      <c r="J514" t="s">
        <v>156</v>
      </c>
      <c r="K514" t="s">
        <v>63</v>
      </c>
      <c r="L514" t="s">
        <v>27</v>
      </c>
      <c r="M514">
        <v>0</v>
      </c>
      <c r="N514" s="1">
        <v>45094</v>
      </c>
      <c r="O514" s="1">
        <v>45110</v>
      </c>
      <c r="P514" t="s">
        <v>58</v>
      </c>
      <c r="Q514">
        <f>+IF(OR(Datos[[#This Row],[Diagnostico]]="Inservible",Datos[[#This Row],[Estatus]]="Preventivo"),0,Datos[[#This Row],[Fecha_Final]]-Datos[[#This Row],[Día_Inicio]])</f>
        <v>16</v>
      </c>
      <c r="R514" s="2">
        <v>412</v>
      </c>
      <c r="S514" s="2">
        <v>370</v>
      </c>
      <c r="T514" t="s">
        <v>91</v>
      </c>
    </row>
    <row r="515" spans="1:20" x14ac:dyDescent="0.25">
      <c r="A515" t="s">
        <v>695</v>
      </c>
      <c r="B515" s="1">
        <v>45094</v>
      </c>
      <c r="C515" t="s">
        <v>646</v>
      </c>
      <c r="D515">
        <v>6</v>
      </c>
      <c r="E515" t="str">
        <f>+CONCATENATE("T",ROUNDUP(MONTH(Datos[[#This Row],[Fecha]])/3,0))</f>
        <v>T2</v>
      </c>
      <c r="F515" t="str">
        <f>+CONCATENATE("Sem"," ",ROUNDUP(MONTH(Datos[[#This Row],[Fecha]])/6,0))</f>
        <v>Sem 1</v>
      </c>
      <c r="G515" t="s">
        <v>190</v>
      </c>
      <c r="H515" t="s">
        <v>191</v>
      </c>
      <c r="I515" t="s">
        <v>24</v>
      </c>
      <c r="J515" t="s">
        <v>192</v>
      </c>
      <c r="K515" t="s">
        <v>70</v>
      </c>
      <c r="L515" t="s">
        <v>27</v>
      </c>
      <c r="M515">
        <v>0</v>
      </c>
      <c r="N515" s="1">
        <v>45094</v>
      </c>
      <c r="O515" s="1">
        <v>45121</v>
      </c>
      <c r="P515" t="s">
        <v>28</v>
      </c>
      <c r="Q515">
        <f>+IF(OR(Datos[[#This Row],[Diagnostico]]="Inservible",Datos[[#This Row],[Estatus]]="Preventivo"),0,Datos[[#This Row],[Fecha_Final]]-Datos[[#This Row],[Día_Inicio]])</f>
        <v>0</v>
      </c>
      <c r="R515" s="2">
        <v>0</v>
      </c>
      <c r="S515" s="2">
        <v>0</v>
      </c>
      <c r="T515" t="s">
        <v>29</v>
      </c>
    </row>
    <row r="516" spans="1:20" x14ac:dyDescent="0.25">
      <c r="A516" t="s">
        <v>696</v>
      </c>
      <c r="B516" s="1">
        <v>45094</v>
      </c>
      <c r="C516" t="s">
        <v>646</v>
      </c>
      <c r="D516">
        <v>6</v>
      </c>
      <c r="E516" t="str">
        <f>+CONCATENATE("T",ROUNDUP(MONTH(Datos[[#This Row],[Fecha]])/3,0))</f>
        <v>T2</v>
      </c>
      <c r="F516" t="str">
        <f>+CONCATENATE("Sem"," ",ROUNDUP(MONTH(Datos[[#This Row],[Fecha]])/6,0))</f>
        <v>Sem 1</v>
      </c>
      <c r="G516" t="s">
        <v>137</v>
      </c>
      <c r="H516" t="s">
        <v>138</v>
      </c>
      <c r="I516" t="s">
        <v>68</v>
      </c>
      <c r="J516" t="s">
        <v>139</v>
      </c>
      <c r="K516" t="s">
        <v>161</v>
      </c>
      <c r="L516" t="s">
        <v>27</v>
      </c>
      <c r="M516">
        <v>0</v>
      </c>
      <c r="N516" s="1">
        <v>45094</v>
      </c>
      <c r="O516" s="1">
        <v>45119</v>
      </c>
      <c r="P516" t="s">
        <v>58</v>
      </c>
      <c r="Q516">
        <f>+IF(OR(Datos[[#This Row],[Diagnostico]]="Inservible",Datos[[#This Row],[Estatus]]="Preventivo"),0,Datos[[#This Row],[Fecha_Final]]-Datos[[#This Row],[Día_Inicio]])</f>
        <v>25</v>
      </c>
      <c r="R516" s="2">
        <v>1066</v>
      </c>
      <c r="S516" s="2">
        <v>607</v>
      </c>
      <c r="T516" t="s">
        <v>64</v>
      </c>
    </row>
    <row r="517" spans="1:20" x14ac:dyDescent="0.25">
      <c r="A517" t="s">
        <v>697</v>
      </c>
      <c r="B517" s="1">
        <v>45094</v>
      </c>
      <c r="C517" t="s">
        <v>646</v>
      </c>
      <c r="D517">
        <v>6</v>
      </c>
      <c r="E517" t="str">
        <f>+CONCATENATE("T",ROUNDUP(MONTH(Datos[[#This Row],[Fecha]])/3,0))</f>
        <v>T2</v>
      </c>
      <c r="F517" t="str">
        <f>+CONCATENATE("Sem"," ",ROUNDUP(MONTH(Datos[[#This Row],[Fecha]])/6,0))</f>
        <v>Sem 1</v>
      </c>
      <c r="G517" t="s">
        <v>66</v>
      </c>
      <c r="H517" t="s">
        <v>67</v>
      </c>
      <c r="I517" t="s">
        <v>68</v>
      </c>
      <c r="J517" t="s">
        <v>69</v>
      </c>
      <c r="K517" t="s">
        <v>80</v>
      </c>
      <c r="L517" t="s">
        <v>27</v>
      </c>
      <c r="M517">
        <v>0</v>
      </c>
      <c r="N517" s="1">
        <v>45094</v>
      </c>
      <c r="O517" s="1">
        <v>45095</v>
      </c>
      <c r="P517" t="s">
        <v>28</v>
      </c>
      <c r="Q517">
        <f>+IF(OR(Datos[[#This Row],[Diagnostico]]="Inservible",Datos[[#This Row],[Estatus]]="Preventivo"),0,Datos[[#This Row],[Fecha_Final]]-Datos[[#This Row],[Día_Inicio]])</f>
        <v>0</v>
      </c>
      <c r="R517" s="2">
        <v>0</v>
      </c>
      <c r="S517" s="2">
        <v>0</v>
      </c>
      <c r="T517" t="s">
        <v>29</v>
      </c>
    </row>
    <row r="518" spans="1:20" x14ac:dyDescent="0.25">
      <c r="A518" t="s">
        <v>698</v>
      </c>
      <c r="B518" s="1">
        <v>45094</v>
      </c>
      <c r="C518" t="s">
        <v>646</v>
      </c>
      <c r="D518">
        <v>6</v>
      </c>
      <c r="E518" t="str">
        <f>+CONCATENATE("T",ROUNDUP(MONTH(Datos[[#This Row],[Fecha]])/3,0))</f>
        <v>T2</v>
      </c>
      <c r="F518" t="str">
        <f>+CONCATENATE("Sem"," ",ROUNDUP(MONTH(Datos[[#This Row],[Fecha]])/6,0))</f>
        <v>Sem 1</v>
      </c>
      <c r="G518" t="s">
        <v>149</v>
      </c>
      <c r="H518" t="s">
        <v>150</v>
      </c>
      <c r="I518" t="s">
        <v>68</v>
      </c>
      <c r="J518" t="s">
        <v>151</v>
      </c>
      <c r="K518" t="s">
        <v>85</v>
      </c>
      <c r="L518" t="s">
        <v>27</v>
      </c>
      <c r="M518">
        <v>0</v>
      </c>
      <c r="N518" s="1">
        <v>45094</v>
      </c>
      <c r="O518" s="1">
        <v>45113</v>
      </c>
      <c r="P518" t="s">
        <v>28</v>
      </c>
      <c r="Q518">
        <f>+IF(OR(Datos[[#This Row],[Diagnostico]]="Inservible",Datos[[#This Row],[Estatus]]="Preventivo"),0,Datos[[#This Row],[Fecha_Final]]-Datos[[#This Row],[Día_Inicio]])</f>
        <v>0</v>
      </c>
      <c r="R518" s="2">
        <v>0</v>
      </c>
      <c r="S518" s="2">
        <v>0</v>
      </c>
      <c r="T518" t="s">
        <v>29</v>
      </c>
    </row>
    <row r="519" spans="1:20" x14ac:dyDescent="0.25">
      <c r="A519" t="s">
        <v>699</v>
      </c>
      <c r="B519" s="1">
        <v>45094</v>
      </c>
      <c r="C519" t="s">
        <v>646</v>
      </c>
      <c r="D519">
        <v>6</v>
      </c>
      <c r="E519" t="str">
        <f>+CONCATENATE("T",ROUNDUP(MONTH(Datos[[#This Row],[Fecha]])/3,0))</f>
        <v>T2</v>
      </c>
      <c r="F519" t="str">
        <f>+CONCATENATE("Sem"," ",ROUNDUP(MONTH(Datos[[#This Row],[Fecha]])/6,0))</f>
        <v>Sem 1</v>
      </c>
      <c r="G519" t="s">
        <v>94</v>
      </c>
      <c r="H519" t="s">
        <v>95</v>
      </c>
      <c r="I519" t="s">
        <v>68</v>
      </c>
      <c r="J519" t="s">
        <v>96</v>
      </c>
      <c r="K519" t="s">
        <v>90</v>
      </c>
      <c r="L519" t="s">
        <v>27</v>
      </c>
      <c r="M519">
        <v>0</v>
      </c>
      <c r="N519" s="1">
        <v>45094</v>
      </c>
      <c r="O519" s="1">
        <v>45102</v>
      </c>
      <c r="P519" t="s">
        <v>28</v>
      </c>
      <c r="Q519">
        <f>+IF(OR(Datos[[#This Row],[Diagnostico]]="Inservible",Datos[[#This Row],[Estatus]]="Preventivo"),0,Datos[[#This Row],[Fecha_Final]]-Datos[[#This Row],[Día_Inicio]])</f>
        <v>0</v>
      </c>
      <c r="R519" s="2">
        <v>0</v>
      </c>
      <c r="S519" s="2">
        <v>0</v>
      </c>
      <c r="T519" t="s">
        <v>29</v>
      </c>
    </row>
    <row r="520" spans="1:20" x14ac:dyDescent="0.25">
      <c r="A520" t="s">
        <v>700</v>
      </c>
      <c r="B520" s="1">
        <v>45094</v>
      </c>
      <c r="C520" t="s">
        <v>646</v>
      </c>
      <c r="D520">
        <v>6</v>
      </c>
      <c r="E520" t="str">
        <f>+CONCATENATE("T",ROUNDUP(MONTH(Datos[[#This Row],[Fecha]])/3,0))</f>
        <v>T2</v>
      </c>
      <c r="F520" t="str">
        <f>+CONCATENATE("Sem"," ",ROUNDUP(MONTH(Datos[[#This Row],[Fecha]])/6,0))</f>
        <v>Sem 1</v>
      </c>
      <c r="G520" t="s">
        <v>31</v>
      </c>
      <c r="H520" t="s">
        <v>32</v>
      </c>
      <c r="I520" t="s">
        <v>24</v>
      </c>
      <c r="J520" t="s">
        <v>33</v>
      </c>
      <c r="K520" t="s">
        <v>39</v>
      </c>
      <c r="L520" t="s">
        <v>40</v>
      </c>
      <c r="M520" t="s">
        <v>188</v>
      </c>
      <c r="N520" s="1">
        <v>45094</v>
      </c>
      <c r="O520" s="1">
        <v>45274</v>
      </c>
      <c r="P520" t="s">
        <v>29</v>
      </c>
      <c r="Q520">
        <f>+IF(OR(Datos[[#This Row],[Diagnostico]]="Inservible",Datos[[#This Row],[Estatus]]="Preventivo"),0,Datos[[#This Row],[Fecha_Final]]-Datos[[#This Row],[Día_Inicio]])</f>
        <v>0</v>
      </c>
      <c r="R520" s="2">
        <v>500</v>
      </c>
      <c r="S520" s="2">
        <v>355</v>
      </c>
      <c r="T520" t="s">
        <v>42</v>
      </c>
    </row>
    <row r="521" spans="1:20" x14ac:dyDescent="0.25">
      <c r="A521" t="s">
        <v>701</v>
      </c>
      <c r="B521" s="1">
        <v>45095</v>
      </c>
      <c r="C521" t="s">
        <v>646</v>
      </c>
      <c r="D521">
        <v>6</v>
      </c>
      <c r="E521" t="str">
        <f>+CONCATENATE("T",ROUNDUP(MONTH(Datos[[#This Row],[Fecha]])/3,0))</f>
        <v>T2</v>
      </c>
      <c r="F521" t="str">
        <f>+CONCATENATE("Sem"," ",ROUNDUP(MONTH(Datos[[#This Row],[Fecha]])/6,0))</f>
        <v>Sem 1</v>
      </c>
      <c r="G521" t="s">
        <v>180</v>
      </c>
      <c r="H521" t="s">
        <v>181</v>
      </c>
      <c r="I521" t="s">
        <v>24</v>
      </c>
      <c r="J521" t="s">
        <v>127</v>
      </c>
      <c r="K521" t="s">
        <v>97</v>
      </c>
      <c r="L521" t="s">
        <v>27</v>
      </c>
      <c r="M521">
        <v>0</v>
      </c>
      <c r="N521" s="1">
        <v>45095</v>
      </c>
      <c r="O521" s="1">
        <v>45102</v>
      </c>
      <c r="P521" t="s">
        <v>58</v>
      </c>
      <c r="Q521">
        <f>+IF(OR(Datos[[#This Row],[Diagnostico]]="Inservible",Datos[[#This Row],[Estatus]]="Preventivo"),0,Datos[[#This Row],[Fecha_Final]]-Datos[[#This Row],[Día_Inicio]])</f>
        <v>7</v>
      </c>
      <c r="R521" s="2">
        <v>783</v>
      </c>
      <c r="S521" s="2">
        <v>792</v>
      </c>
      <c r="T521" t="s">
        <v>59</v>
      </c>
    </row>
    <row r="522" spans="1:20" x14ac:dyDescent="0.25">
      <c r="A522" t="s">
        <v>702</v>
      </c>
      <c r="B522" s="1">
        <v>45096</v>
      </c>
      <c r="C522" t="s">
        <v>646</v>
      </c>
      <c r="D522">
        <v>6</v>
      </c>
      <c r="E522" t="str">
        <f>+CONCATENATE("T",ROUNDUP(MONTH(Datos[[#This Row],[Fecha]])/3,0))</f>
        <v>T2</v>
      </c>
      <c r="F522" t="str">
        <f>+CONCATENATE("Sem"," ",ROUNDUP(MONTH(Datos[[#This Row],[Fecha]])/6,0))</f>
        <v>Sem 1</v>
      </c>
      <c r="G522" t="s">
        <v>105</v>
      </c>
      <c r="H522" t="s">
        <v>106</v>
      </c>
      <c r="I522" t="s">
        <v>24</v>
      </c>
      <c r="J522" t="s">
        <v>107</v>
      </c>
      <c r="K522" t="s">
        <v>178</v>
      </c>
      <c r="L522" t="s">
        <v>27</v>
      </c>
      <c r="M522">
        <v>0</v>
      </c>
      <c r="N522" s="1">
        <v>45096</v>
      </c>
      <c r="O522" s="1">
        <v>45116</v>
      </c>
      <c r="P522" t="s">
        <v>28</v>
      </c>
      <c r="Q522">
        <f>+IF(OR(Datos[[#This Row],[Diagnostico]]="Inservible",Datos[[#This Row],[Estatus]]="Preventivo"),0,Datos[[#This Row],[Fecha_Final]]-Datos[[#This Row],[Día_Inicio]])</f>
        <v>0</v>
      </c>
      <c r="R522" s="2">
        <v>0</v>
      </c>
      <c r="S522" s="2">
        <v>0</v>
      </c>
      <c r="T522" t="s">
        <v>29</v>
      </c>
    </row>
    <row r="523" spans="1:20" x14ac:dyDescent="0.25">
      <c r="A523" t="s">
        <v>703</v>
      </c>
      <c r="B523" s="1">
        <v>45096</v>
      </c>
      <c r="C523" t="s">
        <v>646</v>
      </c>
      <c r="D523">
        <v>6</v>
      </c>
      <c r="E523" t="str">
        <f>+CONCATENATE("T",ROUNDUP(MONTH(Datos[[#This Row],[Fecha]])/3,0))</f>
        <v>T2</v>
      </c>
      <c r="F523" t="str">
        <f>+CONCATENATE("Sem"," ",ROUNDUP(MONTH(Datos[[#This Row],[Fecha]])/6,0))</f>
        <v>Sem 1</v>
      </c>
      <c r="G523" t="s">
        <v>132</v>
      </c>
      <c r="H523" t="s">
        <v>133</v>
      </c>
      <c r="I523" t="s">
        <v>24</v>
      </c>
      <c r="J523" t="s">
        <v>134</v>
      </c>
      <c r="K523" t="s">
        <v>108</v>
      </c>
      <c r="L523" t="s">
        <v>27</v>
      </c>
      <c r="M523">
        <v>0</v>
      </c>
      <c r="N523" s="1">
        <v>45096</v>
      </c>
      <c r="O523" s="1">
        <v>45100</v>
      </c>
      <c r="P523" t="s">
        <v>28</v>
      </c>
      <c r="Q523">
        <f>+IF(OR(Datos[[#This Row],[Diagnostico]]="Inservible",Datos[[#This Row],[Estatus]]="Preventivo"),0,Datos[[#This Row],[Fecha_Final]]-Datos[[#This Row],[Día_Inicio]])</f>
        <v>0</v>
      </c>
      <c r="R523" s="2">
        <v>0</v>
      </c>
      <c r="S523" s="2">
        <v>0</v>
      </c>
      <c r="T523" t="s">
        <v>29</v>
      </c>
    </row>
    <row r="524" spans="1:20" x14ac:dyDescent="0.25">
      <c r="A524" t="s">
        <v>704</v>
      </c>
      <c r="B524" s="1">
        <v>45096</v>
      </c>
      <c r="C524" t="s">
        <v>646</v>
      </c>
      <c r="D524">
        <v>6</v>
      </c>
      <c r="E524" t="str">
        <f>+CONCATENATE("T",ROUNDUP(MONTH(Datos[[#This Row],[Fecha]])/3,0))</f>
        <v>T2</v>
      </c>
      <c r="F524" t="str">
        <f>+CONCATENATE("Sem"," ",ROUNDUP(MONTH(Datos[[#This Row],[Fecha]])/6,0))</f>
        <v>Sem 1</v>
      </c>
      <c r="G524" t="s">
        <v>158</v>
      </c>
      <c r="H524" t="s">
        <v>159</v>
      </c>
      <c r="I524" t="s">
        <v>101</v>
      </c>
      <c r="J524" t="s">
        <v>160</v>
      </c>
      <c r="K524" t="s">
        <v>110</v>
      </c>
      <c r="L524" t="s">
        <v>27</v>
      </c>
      <c r="M524">
        <v>0</v>
      </c>
      <c r="N524" s="1">
        <v>45096</v>
      </c>
      <c r="O524" s="1">
        <v>45104</v>
      </c>
      <c r="P524" t="s">
        <v>58</v>
      </c>
      <c r="Q524">
        <f>+IF(OR(Datos[[#This Row],[Diagnostico]]="Inservible",Datos[[#This Row],[Estatus]]="Preventivo"),0,Datos[[#This Row],[Fecha_Final]]-Datos[[#This Row],[Día_Inicio]])</f>
        <v>8</v>
      </c>
      <c r="R524" s="2">
        <v>639</v>
      </c>
      <c r="S524" s="2">
        <v>670</v>
      </c>
      <c r="T524" t="s">
        <v>91</v>
      </c>
    </row>
    <row r="525" spans="1:20" x14ac:dyDescent="0.25">
      <c r="A525" t="s">
        <v>705</v>
      </c>
      <c r="B525" s="1">
        <v>45096</v>
      </c>
      <c r="C525" t="s">
        <v>646</v>
      </c>
      <c r="D525">
        <v>6</v>
      </c>
      <c r="E525" t="str">
        <f>+CONCATENATE("T",ROUNDUP(MONTH(Datos[[#This Row],[Fecha]])/3,0))</f>
        <v>T2</v>
      </c>
      <c r="F525" t="str">
        <f>+CONCATENATE("Sem"," ",ROUNDUP(MONTH(Datos[[#This Row],[Fecha]])/6,0))</f>
        <v>Sem 1</v>
      </c>
      <c r="G525" t="s">
        <v>169</v>
      </c>
      <c r="H525" t="s">
        <v>170</v>
      </c>
      <c r="I525" t="s">
        <v>68</v>
      </c>
      <c r="J525" t="s">
        <v>171</v>
      </c>
      <c r="K525" t="s">
        <v>114</v>
      </c>
      <c r="L525" t="s">
        <v>27</v>
      </c>
      <c r="M525">
        <v>0</v>
      </c>
      <c r="N525" s="1">
        <v>45096</v>
      </c>
      <c r="O525" s="1">
        <v>45121</v>
      </c>
      <c r="P525" t="s">
        <v>28</v>
      </c>
      <c r="Q525">
        <f>+IF(OR(Datos[[#This Row],[Diagnostico]]="Inservible",Datos[[#This Row],[Estatus]]="Preventivo"),0,Datos[[#This Row],[Fecha_Final]]-Datos[[#This Row],[Día_Inicio]])</f>
        <v>0</v>
      </c>
      <c r="R525" s="2">
        <v>0</v>
      </c>
      <c r="S525" s="2">
        <v>0</v>
      </c>
      <c r="T525" t="s">
        <v>29</v>
      </c>
    </row>
    <row r="526" spans="1:20" x14ac:dyDescent="0.25">
      <c r="A526" t="s">
        <v>706</v>
      </c>
      <c r="B526" s="1">
        <v>45096</v>
      </c>
      <c r="C526" t="s">
        <v>646</v>
      </c>
      <c r="D526">
        <v>6</v>
      </c>
      <c r="E526" t="str">
        <f>+CONCATENATE("T",ROUNDUP(MONTH(Datos[[#This Row],[Fecha]])/3,0))</f>
        <v>T2</v>
      </c>
      <c r="F526" t="str">
        <f>+CONCATENATE("Sem"," ",ROUNDUP(MONTH(Datos[[#This Row],[Fecha]])/6,0))</f>
        <v>Sem 1</v>
      </c>
      <c r="G526" t="s">
        <v>137</v>
      </c>
      <c r="H526" t="s">
        <v>138</v>
      </c>
      <c r="I526" t="s">
        <v>68</v>
      </c>
      <c r="J526" t="s">
        <v>139</v>
      </c>
      <c r="K526" t="s">
        <v>119</v>
      </c>
      <c r="L526" t="s">
        <v>27</v>
      </c>
      <c r="M526">
        <v>0</v>
      </c>
      <c r="N526" s="1">
        <v>45096</v>
      </c>
      <c r="O526" s="1">
        <v>45103</v>
      </c>
      <c r="P526" t="s">
        <v>58</v>
      </c>
      <c r="Q526">
        <f>+IF(OR(Datos[[#This Row],[Diagnostico]]="Inservible",Datos[[#This Row],[Estatus]]="Preventivo"),0,Datos[[#This Row],[Fecha_Final]]-Datos[[#This Row],[Día_Inicio]])</f>
        <v>7</v>
      </c>
      <c r="R526" s="2">
        <v>406</v>
      </c>
      <c r="S526" s="2">
        <v>896</v>
      </c>
      <c r="T526" t="s">
        <v>42</v>
      </c>
    </row>
    <row r="527" spans="1:20" x14ac:dyDescent="0.25">
      <c r="A527" t="s">
        <v>707</v>
      </c>
      <c r="B527" s="1">
        <v>45096</v>
      </c>
      <c r="C527" t="s">
        <v>646</v>
      </c>
      <c r="D527">
        <v>6</v>
      </c>
      <c r="E527" t="str">
        <f>+CONCATENATE("T",ROUNDUP(MONTH(Datos[[#This Row],[Fecha]])/3,0))</f>
        <v>T2</v>
      </c>
      <c r="F527" t="str">
        <f>+CONCATENATE("Sem"," ",ROUNDUP(MONTH(Datos[[#This Row],[Fecha]])/6,0))</f>
        <v>Sem 1</v>
      </c>
      <c r="G527" t="s">
        <v>121</v>
      </c>
      <c r="H527" t="s">
        <v>122</v>
      </c>
      <c r="I527" t="s">
        <v>24</v>
      </c>
      <c r="J527" t="s">
        <v>102</v>
      </c>
      <c r="K527" t="s">
        <v>123</v>
      </c>
      <c r="L527" t="s">
        <v>27</v>
      </c>
      <c r="M527">
        <v>0</v>
      </c>
      <c r="N527" s="1">
        <v>45096</v>
      </c>
      <c r="O527" s="1">
        <v>45118</v>
      </c>
      <c r="P527" t="s">
        <v>28</v>
      </c>
      <c r="Q527">
        <f>+IF(OR(Datos[[#This Row],[Diagnostico]]="Inservible",Datos[[#This Row],[Estatus]]="Preventivo"),0,Datos[[#This Row],[Fecha_Final]]-Datos[[#This Row],[Día_Inicio]])</f>
        <v>0</v>
      </c>
      <c r="R527" s="2">
        <v>0</v>
      </c>
      <c r="S527" s="2">
        <v>0</v>
      </c>
      <c r="T527" t="s">
        <v>29</v>
      </c>
    </row>
    <row r="528" spans="1:20" x14ac:dyDescent="0.25">
      <c r="A528" t="s">
        <v>708</v>
      </c>
      <c r="B528" s="1">
        <v>45097</v>
      </c>
      <c r="C528" t="s">
        <v>646</v>
      </c>
      <c r="D528">
        <v>6</v>
      </c>
      <c r="E528" t="str">
        <f>+CONCATENATE("T",ROUNDUP(MONTH(Datos[[#This Row],[Fecha]])/3,0))</f>
        <v>T2</v>
      </c>
      <c r="F528" t="str">
        <f>+CONCATENATE("Sem"," ",ROUNDUP(MONTH(Datos[[#This Row],[Fecha]])/6,0))</f>
        <v>Sem 1</v>
      </c>
      <c r="G528" t="s">
        <v>331</v>
      </c>
      <c r="H528" t="s">
        <v>332</v>
      </c>
      <c r="I528" t="s">
        <v>68</v>
      </c>
      <c r="J528" t="s">
        <v>74</v>
      </c>
      <c r="K528" t="s">
        <v>128</v>
      </c>
      <c r="L528" t="s">
        <v>27</v>
      </c>
      <c r="M528">
        <v>0</v>
      </c>
      <c r="N528" s="1">
        <v>45097</v>
      </c>
      <c r="O528" s="1">
        <v>45124</v>
      </c>
      <c r="P528" t="s">
        <v>28</v>
      </c>
      <c r="Q528">
        <f>+IF(OR(Datos[[#This Row],[Diagnostico]]="Inservible",Datos[[#This Row],[Estatus]]="Preventivo"),0,Datos[[#This Row],[Fecha_Final]]-Datos[[#This Row],[Día_Inicio]])</f>
        <v>0</v>
      </c>
      <c r="R528" s="2">
        <v>0</v>
      </c>
      <c r="S528" s="2">
        <v>0</v>
      </c>
      <c r="T528" t="s">
        <v>29</v>
      </c>
    </row>
    <row r="529" spans="1:20" x14ac:dyDescent="0.25">
      <c r="A529" t="s">
        <v>709</v>
      </c>
      <c r="B529" s="1">
        <v>45097</v>
      </c>
      <c r="C529" t="s">
        <v>646</v>
      </c>
      <c r="D529">
        <v>6</v>
      </c>
      <c r="E529" t="str">
        <f>+CONCATENATE("T",ROUNDUP(MONTH(Datos[[#This Row],[Fecha]])/3,0))</f>
        <v>T2</v>
      </c>
      <c r="F529" t="str">
        <f>+CONCATENATE("Sem"," ",ROUNDUP(MONTH(Datos[[#This Row],[Fecha]])/6,0))</f>
        <v>Sem 1</v>
      </c>
      <c r="G529" t="s">
        <v>175</v>
      </c>
      <c r="H529" t="s">
        <v>176</v>
      </c>
      <c r="I529" t="s">
        <v>24</v>
      </c>
      <c r="J529" t="s">
        <v>177</v>
      </c>
      <c r="K529" t="s">
        <v>130</v>
      </c>
      <c r="L529" t="s">
        <v>27</v>
      </c>
      <c r="M529">
        <v>0</v>
      </c>
      <c r="N529" s="1">
        <v>45097</v>
      </c>
      <c r="O529" s="1">
        <v>45118</v>
      </c>
      <c r="P529" t="s">
        <v>28</v>
      </c>
      <c r="Q529">
        <f>+IF(OR(Datos[[#This Row],[Diagnostico]]="Inservible",Datos[[#This Row],[Estatus]]="Preventivo"),0,Datos[[#This Row],[Fecha_Final]]-Datos[[#This Row],[Día_Inicio]])</f>
        <v>0</v>
      </c>
      <c r="R529" s="2">
        <v>0</v>
      </c>
      <c r="S529" s="2">
        <v>0</v>
      </c>
      <c r="T529" t="s">
        <v>29</v>
      </c>
    </row>
    <row r="530" spans="1:20" x14ac:dyDescent="0.25">
      <c r="A530" t="s">
        <v>710</v>
      </c>
      <c r="B530" s="1">
        <v>45098</v>
      </c>
      <c r="C530" t="s">
        <v>646</v>
      </c>
      <c r="D530">
        <v>6</v>
      </c>
      <c r="E530" t="str">
        <f>+CONCATENATE("T",ROUNDUP(MONTH(Datos[[#This Row],[Fecha]])/3,0))</f>
        <v>T2</v>
      </c>
      <c r="F530" t="str">
        <f>+CONCATENATE("Sem"," ",ROUNDUP(MONTH(Datos[[#This Row],[Fecha]])/6,0))</f>
        <v>Sem 1</v>
      </c>
      <c r="G530" t="s">
        <v>72</v>
      </c>
      <c r="H530" t="s">
        <v>73</v>
      </c>
      <c r="I530" t="s">
        <v>24</v>
      </c>
      <c r="J530" t="s">
        <v>74</v>
      </c>
      <c r="K530" t="s">
        <v>135</v>
      </c>
      <c r="L530" t="s">
        <v>27</v>
      </c>
      <c r="M530">
        <v>0</v>
      </c>
      <c r="N530" s="1">
        <v>45098</v>
      </c>
      <c r="O530" s="1">
        <v>45124</v>
      </c>
      <c r="P530" t="s">
        <v>58</v>
      </c>
      <c r="Q530">
        <f>+IF(OR(Datos[[#This Row],[Diagnostico]]="Inservible",Datos[[#This Row],[Estatus]]="Preventivo"),0,Datos[[#This Row],[Fecha_Final]]-Datos[[#This Row],[Día_Inicio]])</f>
        <v>26</v>
      </c>
      <c r="R530" s="2">
        <v>957</v>
      </c>
      <c r="S530" s="2">
        <v>191</v>
      </c>
      <c r="T530" t="s">
        <v>59</v>
      </c>
    </row>
    <row r="531" spans="1:20" x14ac:dyDescent="0.25">
      <c r="A531" t="s">
        <v>711</v>
      </c>
      <c r="B531" s="1">
        <v>45098</v>
      </c>
      <c r="C531" t="s">
        <v>646</v>
      </c>
      <c r="D531">
        <v>6</v>
      </c>
      <c r="E531" t="str">
        <f>+CONCATENATE("T",ROUNDUP(MONTH(Datos[[#This Row],[Fecha]])/3,0))</f>
        <v>T2</v>
      </c>
      <c r="F531" t="str">
        <f>+CONCATENATE("Sem"," ",ROUNDUP(MONTH(Datos[[#This Row],[Fecha]])/6,0))</f>
        <v>Sem 1</v>
      </c>
      <c r="G531" t="s">
        <v>331</v>
      </c>
      <c r="H531" t="s">
        <v>332</v>
      </c>
      <c r="I531" t="s">
        <v>68</v>
      </c>
      <c r="J531" t="s">
        <v>74</v>
      </c>
      <c r="K531" t="s">
        <v>26</v>
      </c>
      <c r="L531" t="s">
        <v>27</v>
      </c>
      <c r="M531">
        <v>0</v>
      </c>
      <c r="N531" s="1">
        <v>45098</v>
      </c>
      <c r="O531" s="1">
        <v>45107</v>
      </c>
      <c r="P531" t="s">
        <v>28</v>
      </c>
      <c r="Q531">
        <f>+IF(OR(Datos[[#This Row],[Diagnostico]]="Inservible",Datos[[#This Row],[Estatus]]="Preventivo"),0,Datos[[#This Row],[Fecha_Final]]-Datos[[#This Row],[Día_Inicio]])</f>
        <v>0</v>
      </c>
      <c r="R531" s="2">
        <v>0</v>
      </c>
      <c r="S531" s="2">
        <v>0</v>
      </c>
      <c r="T531" t="s">
        <v>29</v>
      </c>
    </row>
    <row r="532" spans="1:20" x14ac:dyDescent="0.25">
      <c r="A532" t="s">
        <v>712</v>
      </c>
      <c r="B532" s="1">
        <v>45098</v>
      </c>
      <c r="C532" t="s">
        <v>646</v>
      </c>
      <c r="D532">
        <v>6</v>
      </c>
      <c r="E532" t="str">
        <f>+CONCATENATE("T",ROUNDUP(MONTH(Datos[[#This Row],[Fecha]])/3,0))</f>
        <v>T2</v>
      </c>
      <c r="F532" t="str">
        <f>+CONCATENATE("Sem"," ",ROUNDUP(MONTH(Datos[[#This Row],[Fecha]])/6,0))</f>
        <v>Sem 1</v>
      </c>
      <c r="G532" t="s">
        <v>202</v>
      </c>
      <c r="H532" t="s">
        <v>203</v>
      </c>
      <c r="I532" t="s">
        <v>24</v>
      </c>
      <c r="J532" t="s">
        <v>204</v>
      </c>
      <c r="K532" t="s">
        <v>39</v>
      </c>
      <c r="L532" t="s">
        <v>40</v>
      </c>
      <c r="M532" t="s">
        <v>208</v>
      </c>
      <c r="N532" s="1">
        <v>45098</v>
      </c>
      <c r="O532" s="1">
        <v>45105</v>
      </c>
      <c r="P532" t="s">
        <v>29</v>
      </c>
      <c r="Q532">
        <f>+IF(OR(Datos[[#This Row],[Diagnostico]]="Inservible",Datos[[#This Row],[Estatus]]="Preventivo"),0,Datos[[#This Row],[Fecha_Final]]-Datos[[#This Row],[Día_Inicio]])</f>
        <v>0</v>
      </c>
      <c r="R532" s="2">
        <v>979</v>
      </c>
      <c r="S532" s="2">
        <v>990</v>
      </c>
      <c r="T532" t="s">
        <v>42</v>
      </c>
    </row>
    <row r="533" spans="1:20" x14ac:dyDescent="0.25">
      <c r="A533" t="s">
        <v>713</v>
      </c>
      <c r="B533" s="1">
        <v>45099</v>
      </c>
      <c r="C533" t="s">
        <v>646</v>
      </c>
      <c r="D533">
        <v>6</v>
      </c>
      <c r="E533" t="str">
        <f>+CONCATENATE("T",ROUNDUP(MONTH(Datos[[#This Row],[Fecha]])/3,0))</f>
        <v>T2</v>
      </c>
      <c r="F533" t="str">
        <f>+CONCATENATE("Sem"," ",ROUNDUP(MONTH(Datos[[#This Row],[Fecha]])/6,0))</f>
        <v>Sem 1</v>
      </c>
      <c r="G533" t="s">
        <v>82</v>
      </c>
      <c r="H533" t="s">
        <v>83</v>
      </c>
      <c r="I533" t="s">
        <v>24</v>
      </c>
      <c r="J533" t="s">
        <v>84</v>
      </c>
      <c r="K533" t="s">
        <v>39</v>
      </c>
      <c r="L533" t="s">
        <v>27</v>
      </c>
      <c r="M533">
        <v>0</v>
      </c>
      <c r="N533" s="1">
        <v>45099</v>
      </c>
      <c r="O533" s="1">
        <v>45115</v>
      </c>
      <c r="P533" t="s">
        <v>28</v>
      </c>
      <c r="Q533">
        <f>+IF(OR(Datos[[#This Row],[Diagnostico]]="Inservible",Datos[[#This Row],[Estatus]]="Preventivo"),0,Datos[[#This Row],[Fecha_Final]]-Datos[[#This Row],[Día_Inicio]])</f>
        <v>0</v>
      </c>
      <c r="R533" s="2">
        <v>0</v>
      </c>
      <c r="S533" s="2">
        <v>0</v>
      </c>
      <c r="T533" t="s">
        <v>29</v>
      </c>
    </row>
    <row r="534" spans="1:20" x14ac:dyDescent="0.25">
      <c r="A534" t="s">
        <v>714</v>
      </c>
      <c r="B534" s="1">
        <v>45099</v>
      </c>
      <c r="C534" t="s">
        <v>646</v>
      </c>
      <c r="D534">
        <v>6</v>
      </c>
      <c r="E534" t="str">
        <f>+CONCATENATE("T",ROUNDUP(MONTH(Datos[[#This Row],[Fecha]])/3,0))</f>
        <v>T2</v>
      </c>
      <c r="F534" t="str">
        <f>+CONCATENATE("Sem"," ",ROUNDUP(MONTH(Datos[[#This Row],[Fecha]])/6,0))</f>
        <v>Sem 1</v>
      </c>
      <c r="G534" t="s">
        <v>180</v>
      </c>
      <c r="H534" t="s">
        <v>181</v>
      </c>
      <c r="I534" t="s">
        <v>24</v>
      </c>
      <c r="J534" t="s">
        <v>127</v>
      </c>
      <c r="K534" t="s">
        <v>39</v>
      </c>
      <c r="L534" t="s">
        <v>40</v>
      </c>
      <c r="M534" t="s">
        <v>196</v>
      </c>
      <c r="N534" s="1">
        <v>45099</v>
      </c>
      <c r="O534" s="1">
        <v>45129</v>
      </c>
      <c r="P534" t="s">
        <v>29</v>
      </c>
      <c r="Q534">
        <f>+IF(OR(Datos[[#This Row],[Diagnostico]]="Inservible",Datos[[#This Row],[Estatus]]="Preventivo"),0,Datos[[#This Row],[Fecha_Final]]-Datos[[#This Row],[Día_Inicio]])</f>
        <v>0</v>
      </c>
      <c r="R534" s="2">
        <v>883</v>
      </c>
      <c r="S534" s="2">
        <v>742</v>
      </c>
      <c r="T534" t="s">
        <v>42</v>
      </c>
    </row>
    <row r="535" spans="1:20" x14ac:dyDescent="0.25">
      <c r="A535" t="s">
        <v>715</v>
      </c>
      <c r="B535" s="1">
        <v>45099</v>
      </c>
      <c r="C535" t="s">
        <v>646</v>
      </c>
      <c r="D535">
        <v>6</v>
      </c>
      <c r="E535" t="str">
        <f>+CONCATENATE("T",ROUNDUP(MONTH(Datos[[#This Row],[Fecha]])/3,0))</f>
        <v>T2</v>
      </c>
      <c r="F535" t="str">
        <f>+CONCATENATE("Sem"," ",ROUNDUP(MONTH(Datos[[#This Row],[Fecha]])/6,0))</f>
        <v>Sem 1</v>
      </c>
      <c r="G535" t="s">
        <v>72</v>
      </c>
      <c r="H535" t="s">
        <v>73</v>
      </c>
      <c r="I535" t="s">
        <v>24</v>
      </c>
      <c r="J535" t="s">
        <v>74</v>
      </c>
      <c r="K535" t="s">
        <v>147</v>
      </c>
      <c r="L535" t="s">
        <v>27</v>
      </c>
      <c r="M535">
        <v>0</v>
      </c>
      <c r="N535" s="1">
        <v>45099</v>
      </c>
      <c r="O535" s="1">
        <v>45115</v>
      </c>
      <c r="P535" t="s">
        <v>28</v>
      </c>
      <c r="Q535">
        <f>+IF(OR(Datos[[#This Row],[Diagnostico]]="Inservible",Datos[[#This Row],[Estatus]]="Preventivo"),0,Datos[[#This Row],[Fecha_Final]]-Datos[[#This Row],[Día_Inicio]])</f>
        <v>0</v>
      </c>
      <c r="R535" s="2">
        <v>0</v>
      </c>
      <c r="S535" s="2">
        <v>0</v>
      </c>
      <c r="T535" t="s">
        <v>29</v>
      </c>
    </row>
    <row r="536" spans="1:20" x14ac:dyDescent="0.25">
      <c r="A536" t="s">
        <v>716</v>
      </c>
      <c r="B536" s="1">
        <v>45099</v>
      </c>
      <c r="C536" t="s">
        <v>646</v>
      </c>
      <c r="D536">
        <v>6</v>
      </c>
      <c r="E536" t="str">
        <f>+CONCATENATE("T",ROUNDUP(MONTH(Datos[[#This Row],[Fecha]])/3,0))</f>
        <v>T2</v>
      </c>
      <c r="F536" t="str">
        <f>+CONCATENATE("Sem"," ",ROUNDUP(MONTH(Datos[[#This Row],[Fecha]])/6,0))</f>
        <v>Sem 1</v>
      </c>
      <c r="G536" t="s">
        <v>87</v>
      </c>
      <c r="H536" t="s">
        <v>88</v>
      </c>
      <c r="I536" t="s">
        <v>68</v>
      </c>
      <c r="J536" t="s">
        <v>89</v>
      </c>
      <c r="K536" t="s">
        <v>39</v>
      </c>
      <c r="L536" t="s">
        <v>40</v>
      </c>
      <c r="M536" t="s">
        <v>75</v>
      </c>
      <c r="N536" s="1">
        <v>45099</v>
      </c>
      <c r="O536" s="1">
        <v>45459</v>
      </c>
      <c r="P536" t="s">
        <v>29</v>
      </c>
      <c r="Q536">
        <f>+IF(OR(Datos[[#This Row],[Diagnostico]]="Inservible",Datos[[#This Row],[Estatus]]="Preventivo"),0,Datos[[#This Row],[Fecha_Final]]-Datos[[#This Row],[Día_Inicio]])</f>
        <v>0</v>
      </c>
      <c r="R536" s="2">
        <v>283</v>
      </c>
      <c r="S536" s="2">
        <v>637</v>
      </c>
      <c r="T536" t="s">
        <v>42</v>
      </c>
    </row>
    <row r="537" spans="1:20" x14ac:dyDescent="0.25">
      <c r="A537" t="s">
        <v>717</v>
      </c>
      <c r="B537" s="1">
        <v>45099</v>
      </c>
      <c r="C537" t="s">
        <v>646</v>
      </c>
      <c r="D537">
        <v>6</v>
      </c>
      <c r="E537" t="str">
        <f>+CONCATENATE("T",ROUNDUP(MONTH(Datos[[#This Row],[Fecha]])/3,0))</f>
        <v>T2</v>
      </c>
      <c r="F537" t="str">
        <f>+CONCATENATE("Sem"," ",ROUNDUP(MONTH(Datos[[#This Row],[Fecha]])/6,0))</f>
        <v>Sem 1</v>
      </c>
      <c r="G537" t="s">
        <v>225</v>
      </c>
      <c r="H537" t="s">
        <v>226</v>
      </c>
      <c r="I537" t="s">
        <v>227</v>
      </c>
      <c r="J537" t="s">
        <v>89</v>
      </c>
      <c r="K537" t="s">
        <v>63</v>
      </c>
      <c r="L537" t="s">
        <v>27</v>
      </c>
      <c r="M537">
        <v>0</v>
      </c>
      <c r="N537" s="1">
        <v>45099</v>
      </c>
      <c r="O537" s="1">
        <v>45104</v>
      </c>
      <c r="P537" t="s">
        <v>58</v>
      </c>
      <c r="Q537">
        <f>+IF(OR(Datos[[#This Row],[Diagnostico]]="Inservible",Datos[[#This Row],[Estatus]]="Preventivo"),0,Datos[[#This Row],[Fecha_Final]]-Datos[[#This Row],[Día_Inicio]])</f>
        <v>5</v>
      </c>
      <c r="R537" s="2">
        <v>395</v>
      </c>
      <c r="S537" s="2">
        <v>176</v>
      </c>
      <c r="T537" t="s">
        <v>64</v>
      </c>
    </row>
    <row r="538" spans="1:20" x14ac:dyDescent="0.25">
      <c r="A538" t="s">
        <v>718</v>
      </c>
      <c r="B538" s="1">
        <v>45099</v>
      </c>
      <c r="C538" t="s">
        <v>646</v>
      </c>
      <c r="D538">
        <v>6</v>
      </c>
      <c r="E538" t="str">
        <f>+CONCATENATE("T",ROUNDUP(MONTH(Datos[[#This Row],[Fecha]])/3,0))</f>
        <v>T2</v>
      </c>
      <c r="F538" t="str">
        <f>+CONCATENATE("Sem"," ",ROUNDUP(MONTH(Datos[[#This Row],[Fecha]])/6,0))</f>
        <v>Sem 1</v>
      </c>
      <c r="G538" t="s">
        <v>286</v>
      </c>
      <c r="H538" t="s">
        <v>287</v>
      </c>
      <c r="I538" t="s">
        <v>24</v>
      </c>
      <c r="J538" t="s">
        <v>38</v>
      </c>
      <c r="K538" t="s">
        <v>39</v>
      </c>
      <c r="L538" t="s">
        <v>40</v>
      </c>
      <c r="M538" t="s">
        <v>103</v>
      </c>
      <c r="N538" s="1">
        <v>45099</v>
      </c>
      <c r="O538" s="1">
        <v>45114</v>
      </c>
      <c r="P538" t="s">
        <v>29</v>
      </c>
      <c r="Q538">
        <f>+IF(OR(Datos[[#This Row],[Diagnostico]]="Inservible",Datos[[#This Row],[Estatus]]="Preventivo"),0,Datos[[#This Row],[Fecha_Final]]-Datos[[#This Row],[Día_Inicio]])</f>
        <v>0</v>
      </c>
      <c r="R538" s="2">
        <v>335</v>
      </c>
      <c r="S538" s="2">
        <v>784</v>
      </c>
      <c r="T538" t="s">
        <v>42</v>
      </c>
    </row>
    <row r="539" spans="1:20" x14ac:dyDescent="0.25">
      <c r="A539" t="s">
        <v>719</v>
      </c>
      <c r="B539" s="1">
        <v>45100</v>
      </c>
      <c r="C539" t="s">
        <v>646</v>
      </c>
      <c r="D539">
        <v>6</v>
      </c>
      <c r="E539" t="str">
        <f>+CONCATENATE("T",ROUNDUP(MONTH(Datos[[#This Row],[Fecha]])/3,0))</f>
        <v>T2</v>
      </c>
      <c r="F539" t="str">
        <f>+CONCATENATE("Sem"," ",ROUNDUP(MONTH(Datos[[#This Row],[Fecha]])/6,0))</f>
        <v>Sem 1</v>
      </c>
      <c r="G539" t="s">
        <v>335</v>
      </c>
      <c r="H539" t="s">
        <v>336</v>
      </c>
      <c r="I539" t="s">
        <v>24</v>
      </c>
      <c r="J539" t="s">
        <v>118</v>
      </c>
      <c r="K539" t="s">
        <v>161</v>
      </c>
      <c r="L539" t="s">
        <v>27</v>
      </c>
      <c r="M539">
        <v>0</v>
      </c>
      <c r="N539" s="1">
        <v>45100</v>
      </c>
      <c r="O539" s="1">
        <v>45110</v>
      </c>
      <c r="P539" t="s">
        <v>28</v>
      </c>
      <c r="Q539">
        <f>+IF(OR(Datos[[#This Row],[Diagnostico]]="Inservible",Datos[[#This Row],[Estatus]]="Preventivo"),0,Datos[[#This Row],[Fecha_Final]]-Datos[[#This Row],[Día_Inicio]])</f>
        <v>0</v>
      </c>
      <c r="R539" s="2">
        <v>0</v>
      </c>
      <c r="S539" s="2">
        <v>0</v>
      </c>
      <c r="T539" t="s">
        <v>29</v>
      </c>
    </row>
    <row r="540" spans="1:20" x14ac:dyDescent="0.25">
      <c r="A540" t="s">
        <v>720</v>
      </c>
      <c r="B540" s="1">
        <v>45101</v>
      </c>
      <c r="C540" t="s">
        <v>646</v>
      </c>
      <c r="D540">
        <v>6</v>
      </c>
      <c r="E540" t="str">
        <f>+CONCATENATE("T",ROUNDUP(MONTH(Datos[[#This Row],[Fecha]])/3,0))</f>
        <v>T2</v>
      </c>
      <c r="F540" t="str">
        <f>+CONCATENATE("Sem"," ",ROUNDUP(MONTH(Datos[[#This Row],[Fecha]])/6,0))</f>
        <v>Sem 1</v>
      </c>
      <c r="G540" t="s">
        <v>141</v>
      </c>
      <c r="H540" t="s">
        <v>142</v>
      </c>
      <c r="I540" t="s">
        <v>24</v>
      </c>
      <c r="J540" t="s">
        <v>143</v>
      </c>
      <c r="K540" t="s">
        <v>80</v>
      </c>
      <c r="L540" t="s">
        <v>27</v>
      </c>
      <c r="M540">
        <v>0</v>
      </c>
      <c r="N540" s="1">
        <v>45101</v>
      </c>
      <c r="O540" s="1">
        <v>45122</v>
      </c>
      <c r="P540" t="s">
        <v>58</v>
      </c>
      <c r="Q540">
        <f>+IF(OR(Datos[[#This Row],[Diagnostico]]="Inservible",Datos[[#This Row],[Estatus]]="Preventivo"),0,Datos[[#This Row],[Fecha_Final]]-Datos[[#This Row],[Día_Inicio]])</f>
        <v>21</v>
      </c>
      <c r="R540" s="2">
        <v>323</v>
      </c>
      <c r="S540" s="2">
        <v>148</v>
      </c>
      <c r="T540" t="s">
        <v>42</v>
      </c>
    </row>
    <row r="541" spans="1:20" x14ac:dyDescent="0.25">
      <c r="A541" t="s">
        <v>721</v>
      </c>
      <c r="B541" s="1">
        <v>45101</v>
      </c>
      <c r="C541" t="s">
        <v>646</v>
      </c>
      <c r="D541">
        <v>6</v>
      </c>
      <c r="E541" t="str">
        <f>+CONCATENATE("T",ROUNDUP(MONTH(Datos[[#This Row],[Fecha]])/3,0))</f>
        <v>T2</v>
      </c>
      <c r="F541" t="str">
        <f>+CONCATENATE("Sem"," ",ROUNDUP(MONTH(Datos[[#This Row],[Fecha]])/6,0))</f>
        <v>Sem 1</v>
      </c>
      <c r="G541" t="s">
        <v>137</v>
      </c>
      <c r="H541" t="s">
        <v>138</v>
      </c>
      <c r="I541" t="s">
        <v>68</v>
      </c>
      <c r="J541" t="s">
        <v>139</v>
      </c>
      <c r="K541" t="s">
        <v>85</v>
      </c>
      <c r="L541" t="s">
        <v>27</v>
      </c>
      <c r="M541">
        <v>0</v>
      </c>
      <c r="N541" s="1">
        <v>45101</v>
      </c>
      <c r="O541" s="1">
        <v>45103</v>
      </c>
      <c r="P541" t="s">
        <v>58</v>
      </c>
      <c r="Q541">
        <f>+IF(OR(Datos[[#This Row],[Diagnostico]]="Inservible",Datos[[#This Row],[Estatus]]="Preventivo"),0,Datos[[#This Row],[Fecha_Final]]-Datos[[#This Row],[Día_Inicio]])</f>
        <v>2</v>
      </c>
      <c r="R541" s="2">
        <v>290</v>
      </c>
      <c r="S541" s="2">
        <v>835</v>
      </c>
      <c r="T541" t="s">
        <v>42</v>
      </c>
    </row>
    <row r="542" spans="1:20" x14ac:dyDescent="0.25">
      <c r="A542" t="s">
        <v>722</v>
      </c>
      <c r="B542" s="1">
        <v>45101</v>
      </c>
      <c r="C542" t="s">
        <v>646</v>
      </c>
      <c r="D542">
        <v>6</v>
      </c>
      <c r="E542" t="str">
        <f>+CONCATENATE("T",ROUNDUP(MONTH(Datos[[#This Row],[Fecha]])/3,0))</f>
        <v>T2</v>
      </c>
      <c r="F542" t="str">
        <f>+CONCATENATE("Sem"," ",ROUNDUP(MONTH(Datos[[#This Row],[Fecha]])/6,0))</f>
        <v>Sem 1</v>
      </c>
      <c r="G542" t="s">
        <v>158</v>
      </c>
      <c r="H542" t="s">
        <v>159</v>
      </c>
      <c r="I542" t="s">
        <v>101</v>
      </c>
      <c r="J542" t="s">
        <v>160</v>
      </c>
      <c r="K542" t="s">
        <v>39</v>
      </c>
      <c r="L542" t="s">
        <v>40</v>
      </c>
      <c r="M542" t="s">
        <v>208</v>
      </c>
      <c r="N542" s="1">
        <v>45101</v>
      </c>
      <c r="O542" s="1">
        <v>45108</v>
      </c>
      <c r="P542" t="s">
        <v>29</v>
      </c>
      <c r="Q542">
        <f>+IF(OR(Datos[[#This Row],[Diagnostico]]="Inservible",Datos[[#This Row],[Estatus]]="Preventivo"),0,Datos[[#This Row],[Fecha_Final]]-Datos[[#This Row],[Día_Inicio]])</f>
        <v>0</v>
      </c>
      <c r="R542" s="2">
        <v>753</v>
      </c>
      <c r="S542" s="2">
        <v>834</v>
      </c>
      <c r="T542" t="s">
        <v>42</v>
      </c>
    </row>
    <row r="543" spans="1:20" x14ac:dyDescent="0.25">
      <c r="A543" t="s">
        <v>723</v>
      </c>
      <c r="B543" s="1">
        <v>45101</v>
      </c>
      <c r="C543" t="s">
        <v>646</v>
      </c>
      <c r="D543">
        <v>6</v>
      </c>
      <c r="E543" t="str">
        <f>+CONCATENATE("T",ROUNDUP(MONTH(Datos[[#This Row],[Fecha]])/3,0))</f>
        <v>T2</v>
      </c>
      <c r="F543" t="str">
        <f>+CONCATENATE("Sem"," ",ROUNDUP(MONTH(Datos[[#This Row],[Fecha]])/6,0))</f>
        <v>Sem 1</v>
      </c>
      <c r="G543" t="s">
        <v>61</v>
      </c>
      <c r="H543" t="s">
        <v>62</v>
      </c>
      <c r="I543" t="s">
        <v>24</v>
      </c>
      <c r="J543" t="s">
        <v>46</v>
      </c>
      <c r="K543" t="s">
        <v>172</v>
      </c>
      <c r="L543" t="s">
        <v>27</v>
      </c>
      <c r="M543">
        <v>0</v>
      </c>
      <c r="N543" s="1">
        <v>45101</v>
      </c>
      <c r="O543" s="1">
        <v>45123</v>
      </c>
      <c r="P543" t="s">
        <v>58</v>
      </c>
      <c r="Q543">
        <f>+IF(OR(Datos[[#This Row],[Diagnostico]]="Inservible",Datos[[#This Row],[Estatus]]="Preventivo"),0,Datos[[#This Row],[Fecha_Final]]-Datos[[#This Row],[Día_Inicio]])</f>
        <v>22</v>
      </c>
      <c r="R543" s="2">
        <v>1036</v>
      </c>
      <c r="S543" s="2">
        <v>378</v>
      </c>
      <c r="T543" t="s">
        <v>91</v>
      </c>
    </row>
    <row r="544" spans="1:20" x14ac:dyDescent="0.25">
      <c r="A544" t="s">
        <v>724</v>
      </c>
      <c r="B544" s="1">
        <v>45102</v>
      </c>
      <c r="C544" t="s">
        <v>646</v>
      </c>
      <c r="D544">
        <v>6</v>
      </c>
      <c r="E544" t="str">
        <f>+CONCATENATE("T",ROUNDUP(MONTH(Datos[[#This Row],[Fecha]])/3,0))</f>
        <v>T2</v>
      </c>
      <c r="F544" t="str">
        <f>+CONCATENATE("Sem"," ",ROUNDUP(MONTH(Datos[[#This Row],[Fecha]])/6,0))</f>
        <v>Sem 1</v>
      </c>
      <c r="G544" t="s">
        <v>87</v>
      </c>
      <c r="H544" t="s">
        <v>88</v>
      </c>
      <c r="I544" t="s">
        <v>68</v>
      </c>
      <c r="J544" t="s">
        <v>89</v>
      </c>
      <c r="K544" t="s">
        <v>97</v>
      </c>
      <c r="L544" t="s">
        <v>27</v>
      </c>
      <c r="M544">
        <v>0</v>
      </c>
      <c r="N544" s="1">
        <v>45102</v>
      </c>
      <c r="O544" s="1">
        <v>45132</v>
      </c>
      <c r="P544" t="s">
        <v>58</v>
      </c>
      <c r="Q544">
        <f>+IF(OR(Datos[[#This Row],[Diagnostico]]="Inservible",Datos[[#This Row],[Estatus]]="Preventivo"),0,Datos[[#This Row],[Fecha_Final]]-Datos[[#This Row],[Día_Inicio]])</f>
        <v>30</v>
      </c>
      <c r="R544" s="2">
        <v>791</v>
      </c>
      <c r="S544" s="2">
        <v>462</v>
      </c>
      <c r="T544" t="s">
        <v>59</v>
      </c>
    </row>
    <row r="545" spans="1:20" x14ac:dyDescent="0.25">
      <c r="A545" t="s">
        <v>725</v>
      </c>
      <c r="B545" s="1">
        <v>45102</v>
      </c>
      <c r="C545" t="s">
        <v>646</v>
      </c>
      <c r="D545">
        <v>6</v>
      </c>
      <c r="E545" t="str">
        <f>+CONCATENATE("T",ROUNDUP(MONTH(Datos[[#This Row],[Fecha]])/3,0))</f>
        <v>T2</v>
      </c>
      <c r="F545" t="str">
        <f>+CONCATENATE("Sem"," ",ROUNDUP(MONTH(Datos[[#This Row],[Fecha]])/6,0))</f>
        <v>Sem 1</v>
      </c>
      <c r="G545" t="s">
        <v>22</v>
      </c>
      <c r="H545" t="s">
        <v>23</v>
      </c>
      <c r="I545" t="s">
        <v>24</v>
      </c>
      <c r="J545" t="s">
        <v>25</v>
      </c>
      <c r="K545" t="s">
        <v>178</v>
      </c>
      <c r="L545" t="s">
        <v>27</v>
      </c>
      <c r="M545">
        <v>0</v>
      </c>
      <c r="N545" s="1">
        <v>45102</v>
      </c>
      <c r="O545" s="1">
        <v>45111</v>
      </c>
      <c r="P545" t="s">
        <v>28</v>
      </c>
      <c r="Q545">
        <f>+IF(OR(Datos[[#This Row],[Diagnostico]]="Inservible",Datos[[#This Row],[Estatus]]="Preventivo"),0,Datos[[#This Row],[Fecha_Final]]-Datos[[#This Row],[Día_Inicio]])</f>
        <v>0</v>
      </c>
      <c r="R545" s="2">
        <v>0</v>
      </c>
      <c r="S545" s="2">
        <v>0</v>
      </c>
      <c r="T545" t="s">
        <v>29</v>
      </c>
    </row>
    <row r="546" spans="1:20" x14ac:dyDescent="0.25">
      <c r="A546" t="s">
        <v>726</v>
      </c>
      <c r="B546" s="1">
        <v>45102</v>
      </c>
      <c r="C546" t="s">
        <v>646</v>
      </c>
      <c r="D546">
        <v>6</v>
      </c>
      <c r="E546" t="str">
        <f>+CONCATENATE("T",ROUNDUP(MONTH(Datos[[#This Row],[Fecha]])/3,0))</f>
        <v>T2</v>
      </c>
      <c r="F546" t="str">
        <f>+CONCATENATE("Sem"," ",ROUNDUP(MONTH(Datos[[#This Row],[Fecha]])/6,0))</f>
        <v>Sem 1</v>
      </c>
      <c r="G546" t="s">
        <v>87</v>
      </c>
      <c r="H546" t="s">
        <v>88</v>
      </c>
      <c r="I546" t="s">
        <v>68</v>
      </c>
      <c r="J546" t="s">
        <v>89</v>
      </c>
      <c r="K546" t="s">
        <v>39</v>
      </c>
      <c r="L546" t="s">
        <v>40</v>
      </c>
      <c r="M546" t="s">
        <v>41</v>
      </c>
      <c r="N546" s="1">
        <v>45102</v>
      </c>
      <c r="O546" s="1">
        <v>45192</v>
      </c>
      <c r="P546" t="s">
        <v>29</v>
      </c>
      <c r="Q546">
        <f>+IF(OR(Datos[[#This Row],[Diagnostico]]="Inservible",Datos[[#This Row],[Estatus]]="Preventivo"),0,Datos[[#This Row],[Fecha_Final]]-Datos[[#This Row],[Día_Inicio]])</f>
        <v>0</v>
      </c>
      <c r="R546" s="2">
        <v>546</v>
      </c>
      <c r="S546" s="2">
        <v>221</v>
      </c>
      <c r="T546" t="s">
        <v>42</v>
      </c>
    </row>
    <row r="547" spans="1:20" x14ac:dyDescent="0.25">
      <c r="A547" t="s">
        <v>727</v>
      </c>
      <c r="B547" s="1">
        <v>45102</v>
      </c>
      <c r="C547" t="s">
        <v>646</v>
      </c>
      <c r="D547">
        <v>6</v>
      </c>
      <c r="E547" t="str">
        <f>+CONCATENATE("T",ROUNDUP(MONTH(Datos[[#This Row],[Fecha]])/3,0))</f>
        <v>T2</v>
      </c>
      <c r="F547" t="str">
        <f>+CONCATENATE("Sem"," ",ROUNDUP(MONTH(Datos[[#This Row],[Fecha]])/6,0))</f>
        <v>Sem 1</v>
      </c>
      <c r="G547" t="s">
        <v>149</v>
      </c>
      <c r="H547" t="s">
        <v>150</v>
      </c>
      <c r="I547" t="s">
        <v>68</v>
      </c>
      <c r="J547" t="s">
        <v>151</v>
      </c>
      <c r="K547" t="s">
        <v>110</v>
      </c>
      <c r="L547" t="s">
        <v>27</v>
      </c>
      <c r="M547">
        <v>0</v>
      </c>
      <c r="N547" s="1">
        <v>45102</v>
      </c>
      <c r="O547" s="1">
        <v>45112</v>
      </c>
      <c r="P547" t="s">
        <v>58</v>
      </c>
      <c r="Q547">
        <f>+IF(OR(Datos[[#This Row],[Diagnostico]]="Inservible",Datos[[#This Row],[Estatus]]="Preventivo"),0,Datos[[#This Row],[Fecha_Final]]-Datos[[#This Row],[Día_Inicio]])</f>
        <v>10</v>
      </c>
      <c r="R547" s="2">
        <v>529</v>
      </c>
      <c r="S547" s="2">
        <v>529</v>
      </c>
      <c r="T547" t="s">
        <v>91</v>
      </c>
    </row>
    <row r="548" spans="1:20" x14ac:dyDescent="0.25">
      <c r="A548" t="s">
        <v>728</v>
      </c>
      <c r="B548" s="1">
        <v>45102</v>
      </c>
      <c r="C548" t="s">
        <v>646</v>
      </c>
      <c r="D548">
        <v>6</v>
      </c>
      <c r="E548" t="str">
        <f>+CONCATENATE("T",ROUNDUP(MONTH(Datos[[#This Row],[Fecha]])/3,0))</f>
        <v>T2</v>
      </c>
      <c r="F548" t="str">
        <f>+CONCATENATE("Sem"," ",ROUNDUP(MONTH(Datos[[#This Row],[Fecha]])/6,0))</f>
        <v>Sem 1</v>
      </c>
      <c r="G548" t="s">
        <v>49</v>
      </c>
      <c r="H548" t="s">
        <v>23</v>
      </c>
      <c r="I548" t="s">
        <v>24</v>
      </c>
      <c r="J548" t="s">
        <v>50</v>
      </c>
      <c r="K548" t="s">
        <v>39</v>
      </c>
      <c r="L548" t="s">
        <v>40</v>
      </c>
      <c r="M548" t="s">
        <v>103</v>
      </c>
      <c r="N548" s="1">
        <v>45102</v>
      </c>
      <c r="O548" s="1">
        <v>45117</v>
      </c>
      <c r="P548" t="s">
        <v>29</v>
      </c>
      <c r="Q548">
        <f>+IF(OR(Datos[[#This Row],[Diagnostico]]="Inservible",Datos[[#This Row],[Estatus]]="Preventivo"),0,Datos[[#This Row],[Fecha_Final]]-Datos[[#This Row],[Día_Inicio]])</f>
        <v>0</v>
      </c>
      <c r="R548" s="2">
        <v>687</v>
      </c>
      <c r="S548" s="2">
        <v>709</v>
      </c>
      <c r="T548" t="s">
        <v>42</v>
      </c>
    </row>
    <row r="549" spans="1:20" x14ac:dyDescent="0.25">
      <c r="A549" t="s">
        <v>729</v>
      </c>
      <c r="B549" s="1">
        <v>45102</v>
      </c>
      <c r="C549" t="s">
        <v>646</v>
      </c>
      <c r="D549">
        <v>6</v>
      </c>
      <c r="E549" t="str">
        <f>+CONCATENATE("T",ROUNDUP(MONTH(Datos[[#This Row],[Fecha]])/3,0))</f>
        <v>T2</v>
      </c>
      <c r="F549" t="str">
        <f>+CONCATENATE("Sem"," ",ROUNDUP(MONTH(Datos[[#This Row],[Fecha]])/6,0))</f>
        <v>Sem 1</v>
      </c>
      <c r="G549" t="s">
        <v>94</v>
      </c>
      <c r="H549" t="s">
        <v>95</v>
      </c>
      <c r="I549" t="s">
        <v>68</v>
      </c>
      <c r="J549" t="s">
        <v>96</v>
      </c>
      <c r="K549" t="s">
        <v>119</v>
      </c>
      <c r="L549" t="s">
        <v>27</v>
      </c>
      <c r="M549">
        <v>0</v>
      </c>
      <c r="N549" s="1">
        <v>45102</v>
      </c>
      <c r="O549" s="1">
        <v>45104</v>
      </c>
      <c r="P549" t="s">
        <v>58</v>
      </c>
      <c r="Q549">
        <f>+IF(OR(Datos[[#This Row],[Diagnostico]]="Inservible",Datos[[#This Row],[Estatus]]="Preventivo"),0,Datos[[#This Row],[Fecha_Final]]-Datos[[#This Row],[Día_Inicio]])</f>
        <v>2</v>
      </c>
      <c r="R549" s="2">
        <v>1005</v>
      </c>
      <c r="S549" s="2">
        <v>192</v>
      </c>
      <c r="T549" t="s">
        <v>59</v>
      </c>
    </row>
    <row r="550" spans="1:20" x14ac:dyDescent="0.25">
      <c r="A550" t="s">
        <v>730</v>
      </c>
      <c r="B550" s="1">
        <v>45103</v>
      </c>
      <c r="C550" t="s">
        <v>646</v>
      </c>
      <c r="D550">
        <v>6</v>
      </c>
      <c r="E550" t="str">
        <f>+CONCATENATE("T",ROUNDUP(MONTH(Datos[[#This Row],[Fecha]])/3,0))</f>
        <v>T2</v>
      </c>
      <c r="F550" t="str">
        <f>+CONCATENATE("Sem"," ",ROUNDUP(MONTH(Datos[[#This Row],[Fecha]])/6,0))</f>
        <v>Sem 1</v>
      </c>
      <c r="G550" t="s">
        <v>154</v>
      </c>
      <c r="H550" t="s">
        <v>155</v>
      </c>
      <c r="I550" t="s">
        <v>68</v>
      </c>
      <c r="J550" t="s">
        <v>156</v>
      </c>
      <c r="K550" t="s">
        <v>39</v>
      </c>
      <c r="L550" t="s">
        <v>40</v>
      </c>
      <c r="M550" t="s">
        <v>188</v>
      </c>
      <c r="N550" s="1">
        <v>45103</v>
      </c>
      <c r="O550" s="1">
        <v>45283</v>
      </c>
      <c r="P550" t="s">
        <v>29</v>
      </c>
      <c r="Q550">
        <f>+IF(OR(Datos[[#This Row],[Diagnostico]]="Inservible",Datos[[#This Row],[Estatus]]="Preventivo"),0,Datos[[#This Row],[Fecha_Final]]-Datos[[#This Row],[Día_Inicio]])</f>
        <v>0</v>
      </c>
      <c r="R550" s="2">
        <v>1131</v>
      </c>
      <c r="S550" s="2">
        <v>973</v>
      </c>
      <c r="T550" t="s">
        <v>42</v>
      </c>
    </row>
    <row r="551" spans="1:20" x14ac:dyDescent="0.25">
      <c r="A551" t="s">
        <v>731</v>
      </c>
      <c r="B551" s="1">
        <v>45103</v>
      </c>
      <c r="C551" t="s">
        <v>646</v>
      </c>
      <c r="D551">
        <v>6</v>
      </c>
      <c r="E551" t="str">
        <f>+CONCATENATE("T",ROUNDUP(MONTH(Datos[[#This Row],[Fecha]])/3,0))</f>
        <v>T2</v>
      </c>
      <c r="F551" t="str">
        <f>+CONCATENATE("Sem"," ",ROUNDUP(MONTH(Datos[[#This Row],[Fecha]])/6,0))</f>
        <v>Sem 1</v>
      </c>
      <c r="G551" t="s">
        <v>44</v>
      </c>
      <c r="H551" t="s">
        <v>45</v>
      </c>
      <c r="I551" t="s">
        <v>24</v>
      </c>
      <c r="J551" t="s">
        <v>46</v>
      </c>
      <c r="K551" t="s">
        <v>128</v>
      </c>
      <c r="L551" t="s">
        <v>27</v>
      </c>
      <c r="M551">
        <v>0</v>
      </c>
      <c r="N551" s="1">
        <v>45103</v>
      </c>
      <c r="O551" s="1">
        <v>45109</v>
      </c>
      <c r="P551" t="s">
        <v>58</v>
      </c>
      <c r="Q551">
        <f>+IF(OR(Datos[[#This Row],[Diagnostico]]="Inservible",Datos[[#This Row],[Estatus]]="Preventivo"),0,Datos[[#This Row],[Fecha_Final]]-Datos[[#This Row],[Día_Inicio]])</f>
        <v>6</v>
      </c>
      <c r="R551" s="2">
        <v>913</v>
      </c>
      <c r="S551" s="2">
        <v>928</v>
      </c>
      <c r="T551" t="s">
        <v>64</v>
      </c>
    </row>
    <row r="552" spans="1:20" x14ac:dyDescent="0.25">
      <c r="A552" t="s">
        <v>732</v>
      </c>
      <c r="B552" s="1">
        <v>45104</v>
      </c>
      <c r="C552" t="s">
        <v>646</v>
      </c>
      <c r="D552">
        <v>6</v>
      </c>
      <c r="E552" t="str">
        <f>+CONCATENATE("T",ROUNDUP(MONTH(Datos[[#This Row],[Fecha]])/3,0))</f>
        <v>T2</v>
      </c>
      <c r="F552" t="str">
        <f>+CONCATENATE("Sem"," ",ROUNDUP(MONTH(Datos[[#This Row],[Fecha]])/6,0))</f>
        <v>Sem 1</v>
      </c>
      <c r="G552" t="s">
        <v>260</v>
      </c>
      <c r="H552" t="s">
        <v>261</v>
      </c>
      <c r="I552" t="s">
        <v>24</v>
      </c>
      <c r="J552" t="s">
        <v>33</v>
      </c>
      <c r="K552" t="s">
        <v>39</v>
      </c>
      <c r="L552" t="s">
        <v>40</v>
      </c>
      <c r="M552" t="s">
        <v>75</v>
      </c>
      <c r="N552" s="1">
        <v>45104</v>
      </c>
      <c r="O552" s="1">
        <v>45464</v>
      </c>
      <c r="P552" t="s">
        <v>29</v>
      </c>
      <c r="Q552">
        <f>+IF(OR(Datos[[#This Row],[Diagnostico]]="Inservible",Datos[[#This Row],[Estatus]]="Preventivo"),0,Datos[[#This Row],[Fecha_Final]]-Datos[[#This Row],[Día_Inicio]])</f>
        <v>0</v>
      </c>
      <c r="R552" s="2">
        <v>548</v>
      </c>
      <c r="S552" s="2">
        <v>274</v>
      </c>
      <c r="T552" t="s">
        <v>42</v>
      </c>
    </row>
    <row r="553" spans="1:20" x14ac:dyDescent="0.25">
      <c r="A553" t="s">
        <v>733</v>
      </c>
      <c r="B553" s="1">
        <v>45105</v>
      </c>
      <c r="C553" t="s">
        <v>646</v>
      </c>
      <c r="D553">
        <v>6</v>
      </c>
      <c r="E553" t="str">
        <f>+CONCATENATE("T",ROUNDUP(MONTH(Datos[[#This Row],[Fecha]])/3,0))</f>
        <v>T2</v>
      </c>
      <c r="F553" t="str">
        <f>+CONCATENATE("Sem"," ",ROUNDUP(MONTH(Datos[[#This Row],[Fecha]])/6,0))</f>
        <v>Sem 1</v>
      </c>
      <c r="G553" t="s">
        <v>77</v>
      </c>
      <c r="H553" t="s">
        <v>78</v>
      </c>
      <c r="I553" t="s">
        <v>24</v>
      </c>
      <c r="J553" t="s">
        <v>79</v>
      </c>
      <c r="K553" t="s">
        <v>135</v>
      </c>
      <c r="L553" t="s">
        <v>27</v>
      </c>
      <c r="M553">
        <v>0</v>
      </c>
      <c r="N553" s="1">
        <v>45105</v>
      </c>
      <c r="O553" s="1">
        <v>45133</v>
      </c>
      <c r="P553" t="s">
        <v>28</v>
      </c>
      <c r="Q553">
        <f>+IF(OR(Datos[[#This Row],[Diagnostico]]="Inservible",Datos[[#This Row],[Estatus]]="Preventivo"),0,Datos[[#This Row],[Fecha_Final]]-Datos[[#This Row],[Día_Inicio]])</f>
        <v>0</v>
      </c>
      <c r="R553" s="2">
        <v>0</v>
      </c>
      <c r="S553" s="2">
        <v>0</v>
      </c>
      <c r="T553" t="s">
        <v>29</v>
      </c>
    </row>
    <row r="554" spans="1:20" x14ac:dyDescent="0.25">
      <c r="A554" t="s">
        <v>734</v>
      </c>
      <c r="B554" s="1">
        <v>45105</v>
      </c>
      <c r="C554" t="s">
        <v>646</v>
      </c>
      <c r="D554">
        <v>6</v>
      </c>
      <c r="E554" t="str">
        <f>+CONCATENATE("T",ROUNDUP(MONTH(Datos[[#This Row],[Fecha]])/3,0))</f>
        <v>T2</v>
      </c>
      <c r="F554" t="str">
        <f>+CONCATENATE("Sem"," ",ROUNDUP(MONTH(Datos[[#This Row],[Fecha]])/6,0))</f>
        <v>Sem 1</v>
      </c>
      <c r="G554" t="s">
        <v>149</v>
      </c>
      <c r="H554" t="s">
        <v>150</v>
      </c>
      <c r="I554" t="s">
        <v>68</v>
      </c>
      <c r="J554" t="s">
        <v>151</v>
      </c>
      <c r="K554" t="s">
        <v>26</v>
      </c>
      <c r="L554" t="s">
        <v>27</v>
      </c>
      <c r="M554">
        <v>0</v>
      </c>
      <c r="N554" s="1">
        <v>45105</v>
      </c>
      <c r="O554" s="1">
        <v>45125</v>
      </c>
      <c r="P554" t="s">
        <v>28</v>
      </c>
      <c r="Q554">
        <f>+IF(OR(Datos[[#This Row],[Diagnostico]]="Inservible",Datos[[#This Row],[Estatus]]="Preventivo"),0,Datos[[#This Row],[Fecha_Final]]-Datos[[#This Row],[Día_Inicio]])</f>
        <v>0</v>
      </c>
      <c r="R554" s="2">
        <v>0</v>
      </c>
      <c r="S554" s="2">
        <v>0</v>
      </c>
      <c r="T554" t="s">
        <v>29</v>
      </c>
    </row>
    <row r="555" spans="1:20" x14ac:dyDescent="0.25">
      <c r="A555" t="s">
        <v>735</v>
      </c>
      <c r="B555" s="1">
        <v>45106</v>
      </c>
      <c r="C555" t="s">
        <v>646</v>
      </c>
      <c r="D555">
        <v>6</v>
      </c>
      <c r="E555" t="str">
        <f>+CONCATENATE("T",ROUNDUP(MONTH(Datos[[#This Row],[Fecha]])/3,0))</f>
        <v>T2</v>
      </c>
      <c r="F555" t="str">
        <f>+CONCATENATE("Sem"," ",ROUNDUP(MONTH(Datos[[#This Row],[Fecha]])/6,0))</f>
        <v>Sem 1</v>
      </c>
      <c r="G555" t="s">
        <v>237</v>
      </c>
      <c r="H555" t="s">
        <v>238</v>
      </c>
      <c r="I555" t="s">
        <v>24</v>
      </c>
      <c r="J555" t="s">
        <v>177</v>
      </c>
      <c r="K555" t="s">
        <v>34</v>
      </c>
      <c r="L555" t="s">
        <v>27</v>
      </c>
      <c r="M555">
        <v>0</v>
      </c>
      <c r="N555" s="1">
        <v>45106</v>
      </c>
      <c r="O555" s="1">
        <v>45131</v>
      </c>
      <c r="P555" t="s">
        <v>58</v>
      </c>
      <c r="Q555">
        <f>+IF(OR(Datos[[#This Row],[Diagnostico]]="Inservible",Datos[[#This Row],[Estatus]]="Preventivo"),0,Datos[[#This Row],[Fecha_Final]]-Datos[[#This Row],[Día_Inicio]])</f>
        <v>25</v>
      </c>
      <c r="R555" s="2">
        <v>711</v>
      </c>
      <c r="S555" s="2">
        <v>981</v>
      </c>
      <c r="T555" t="s">
        <v>91</v>
      </c>
    </row>
    <row r="556" spans="1:20" x14ac:dyDescent="0.25">
      <c r="A556" t="s">
        <v>736</v>
      </c>
      <c r="B556" s="1">
        <v>45106</v>
      </c>
      <c r="C556" t="s">
        <v>646</v>
      </c>
      <c r="D556">
        <v>6</v>
      </c>
      <c r="E556" t="str">
        <f>+CONCATENATE("T",ROUNDUP(MONTH(Datos[[#This Row],[Fecha]])/3,0))</f>
        <v>T2</v>
      </c>
      <c r="F556" t="str">
        <f>+CONCATENATE("Sem"," ",ROUNDUP(MONTH(Datos[[#This Row],[Fecha]])/6,0))</f>
        <v>Sem 1</v>
      </c>
      <c r="G556" t="s">
        <v>112</v>
      </c>
      <c r="H556" t="s">
        <v>113</v>
      </c>
      <c r="I556" t="s">
        <v>24</v>
      </c>
      <c r="J556" t="s">
        <v>79</v>
      </c>
      <c r="K556" t="s">
        <v>39</v>
      </c>
      <c r="L556" t="s">
        <v>40</v>
      </c>
      <c r="M556" t="s">
        <v>51</v>
      </c>
      <c r="N556" s="1">
        <v>45106</v>
      </c>
      <c r="O556" s="1">
        <v>45166</v>
      </c>
      <c r="P556" t="s">
        <v>29</v>
      </c>
      <c r="Q556">
        <f>+IF(OR(Datos[[#This Row],[Diagnostico]]="Inservible",Datos[[#This Row],[Estatus]]="Preventivo"),0,Datos[[#This Row],[Fecha_Final]]-Datos[[#This Row],[Día_Inicio]])</f>
        <v>0</v>
      </c>
      <c r="R556" s="2">
        <v>1118</v>
      </c>
      <c r="S556" s="2">
        <v>756</v>
      </c>
      <c r="T556" t="s">
        <v>42</v>
      </c>
    </row>
    <row r="557" spans="1:20" x14ac:dyDescent="0.25">
      <c r="A557" t="s">
        <v>737</v>
      </c>
      <c r="B557" s="1">
        <v>45106</v>
      </c>
      <c r="C557" t="s">
        <v>646</v>
      </c>
      <c r="D557">
        <v>6</v>
      </c>
      <c r="E557" t="str">
        <f>+CONCATENATE("T",ROUNDUP(MONTH(Datos[[#This Row],[Fecha]])/3,0))</f>
        <v>T2</v>
      </c>
      <c r="F557" t="str">
        <f>+CONCATENATE("Sem"," ",ROUNDUP(MONTH(Datos[[#This Row],[Fecha]])/6,0))</f>
        <v>Sem 1</v>
      </c>
      <c r="G557" t="s">
        <v>44</v>
      </c>
      <c r="H557" t="s">
        <v>45</v>
      </c>
      <c r="I557" t="s">
        <v>24</v>
      </c>
      <c r="J557" t="s">
        <v>46</v>
      </c>
      <c r="K557" t="s">
        <v>47</v>
      </c>
      <c r="L557" t="s">
        <v>27</v>
      </c>
      <c r="M557">
        <v>0</v>
      </c>
      <c r="N557" s="1">
        <v>45106</v>
      </c>
      <c r="O557" s="1">
        <v>45131</v>
      </c>
      <c r="P557" t="s">
        <v>28</v>
      </c>
      <c r="Q557">
        <f>+IF(OR(Datos[[#This Row],[Diagnostico]]="Inservible",Datos[[#This Row],[Estatus]]="Preventivo"),0,Datos[[#This Row],[Fecha_Final]]-Datos[[#This Row],[Día_Inicio]])</f>
        <v>0</v>
      </c>
      <c r="R557" s="2">
        <v>0</v>
      </c>
      <c r="S557" s="2">
        <v>0</v>
      </c>
      <c r="T557" t="s">
        <v>29</v>
      </c>
    </row>
    <row r="558" spans="1:20" x14ac:dyDescent="0.25">
      <c r="A558" t="s">
        <v>738</v>
      </c>
      <c r="B558" s="1">
        <v>45106</v>
      </c>
      <c r="C558" t="s">
        <v>646</v>
      </c>
      <c r="D558">
        <v>6</v>
      </c>
      <c r="E558" t="str">
        <f>+CONCATENATE("T",ROUNDUP(MONTH(Datos[[#This Row],[Fecha]])/3,0))</f>
        <v>T2</v>
      </c>
      <c r="F558" t="str">
        <f>+CONCATENATE("Sem"," ",ROUNDUP(MONTH(Datos[[#This Row],[Fecha]])/6,0))</f>
        <v>Sem 1</v>
      </c>
      <c r="G558" t="s">
        <v>36</v>
      </c>
      <c r="H558" t="s">
        <v>37</v>
      </c>
      <c r="I558" t="s">
        <v>24</v>
      </c>
      <c r="J558" t="s">
        <v>38</v>
      </c>
      <c r="K558" t="s">
        <v>39</v>
      </c>
      <c r="L558" t="s">
        <v>40</v>
      </c>
      <c r="M558" t="s">
        <v>75</v>
      </c>
      <c r="N558" s="1">
        <v>45106</v>
      </c>
      <c r="O558" s="1">
        <v>45466</v>
      </c>
      <c r="P558" t="s">
        <v>29</v>
      </c>
      <c r="Q558">
        <f>+IF(OR(Datos[[#This Row],[Diagnostico]]="Inservible",Datos[[#This Row],[Estatus]]="Preventivo"),0,Datos[[#This Row],[Fecha_Final]]-Datos[[#This Row],[Día_Inicio]])</f>
        <v>0</v>
      </c>
      <c r="R558" s="2">
        <v>750</v>
      </c>
      <c r="S558" s="2">
        <v>767</v>
      </c>
      <c r="T558" t="s">
        <v>42</v>
      </c>
    </row>
    <row r="559" spans="1:20" x14ac:dyDescent="0.25">
      <c r="A559" t="s">
        <v>739</v>
      </c>
      <c r="B559" s="1">
        <v>45107</v>
      </c>
      <c r="C559" t="s">
        <v>646</v>
      </c>
      <c r="D559">
        <v>6</v>
      </c>
      <c r="E559" t="str">
        <f>+CONCATENATE("T",ROUNDUP(MONTH(Datos[[#This Row],[Fecha]])/3,0))</f>
        <v>T2</v>
      </c>
      <c r="F559" t="str">
        <f>+CONCATENATE("Sem"," ",ROUNDUP(MONTH(Datos[[#This Row],[Fecha]])/6,0))</f>
        <v>Sem 1</v>
      </c>
      <c r="G559" t="s">
        <v>87</v>
      </c>
      <c r="H559" t="s">
        <v>88</v>
      </c>
      <c r="I559" t="s">
        <v>68</v>
      </c>
      <c r="J559" t="s">
        <v>89</v>
      </c>
      <c r="K559" t="s">
        <v>57</v>
      </c>
      <c r="L559" t="s">
        <v>27</v>
      </c>
      <c r="M559">
        <v>0</v>
      </c>
      <c r="N559" s="1">
        <v>45107</v>
      </c>
      <c r="O559" s="1">
        <v>45136</v>
      </c>
      <c r="P559" t="s">
        <v>28</v>
      </c>
      <c r="Q559">
        <f>+IF(OR(Datos[[#This Row],[Diagnostico]]="Inservible",Datos[[#This Row],[Estatus]]="Preventivo"),0,Datos[[#This Row],[Fecha_Final]]-Datos[[#This Row],[Día_Inicio]])</f>
        <v>0</v>
      </c>
      <c r="R559" s="2">
        <v>0</v>
      </c>
      <c r="S559" s="2">
        <v>0</v>
      </c>
      <c r="T559" t="s">
        <v>29</v>
      </c>
    </row>
    <row r="560" spans="1:20" x14ac:dyDescent="0.25">
      <c r="A560" t="s">
        <v>740</v>
      </c>
      <c r="B560" s="1">
        <v>45108</v>
      </c>
      <c r="C560" t="s">
        <v>741</v>
      </c>
      <c r="D560">
        <v>7</v>
      </c>
      <c r="E560" t="str">
        <f>+CONCATENATE("T",ROUNDUP(MONTH(Datos[[#This Row],[Fecha]])/3,0))</f>
        <v>T3</v>
      </c>
      <c r="F560" t="str">
        <f>+CONCATENATE("Sem"," ",ROUNDUP(MONTH(Datos[[#This Row],[Fecha]])/6,0))</f>
        <v>Sem 2</v>
      </c>
      <c r="G560" t="s">
        <v>260</v>
      </c>
      <c r="H560" t="s">
        <v>261</v>
      </c>
      <c r="I560" t="s">
        <v>24</v>
      </c>
      <c r="J560" t="s">
        <v>33</v>
      </c>
      <c r="K560" t="s">
        <v>63</v>
      </c>
      <c r="L560" t="s">
        <v>27</v>
      </c>
      <c r="M560">
        <v>0</v>
      </c>
      <c r="N560" s="1">
        <v>45108</v>
      </c>
      <c r="O560" s="1">
        <v>45131</v>
      </c>
      <c r="P560" t="s">
        <v>28</v>
      </c>
      <c r="Q560">
        <f>+IF(OR(Datos[[#This Row],[Diagnostico]]="Inservible",Datos[[#This Row],[Estatus]]="Preventivo"),0,Datos[[#This Row],[Fecha_Final]]-Datos[[#This Row],[Día_Inicio]])</f>
        <v>0</v>
      </c>
      <c r="R560" s="2">
        <v>0</v>
      </c>
      <c r="S560" s="2">
        <v>0</v>
      </c>
      <c r="T560" t="s">
        <v>29</v>
      </c>
    </row>
    <row r="561" spans="1:20" x14ac:dyDescent="0.25">
      <c r="A561" t="s">
        <v>742</v>
      </c>
      <c r="B561" s="1">
        <v>45108</v>
      </c>
      <c r="C561" t="s">
        <v>741</v>
      </c>
      <c r="D561">
        <v>7</v>
      </c>
      <c r="E561" t="str">
        <f>+CONCATENATE("T",ROUNDUP(MONTH(Datos[[#This Row],[Fecha]])/3,0))</f>
        <v>T3</v>
      </c>
      <c r="F561" t="str">
        <f>+CONCATENATE("Sem"," ",ROUNDUP(MONTH(Datos[[#This Row],[Fecha]])/6,0))</f>
        <v>Sem 2</v>
      </c>
      <c r="G561" t="s">
        <v>94</v>
      </c>
      <c r="H561" t="s">
        <v>95</v>
      </c>
      <c r="I561" t="s">
        <v>68</v>
      </c>
      <c r="J561" t="s">
        <v>96</v>
      </c>
      <c r="K561" t="s">
        <v>70</v>
      </c>
      <c r="L561" t="s">
        <v>27</v>
      </c>
      <c r="M561">
        <v>0</v>
      </c>
      <c r="N561" s="1">
        <v>45108</v>
      </c>
      <c r="O561" s="1">
        <v>45125</v>
      </c>
      <c r="P561" t="s">
        <v>28</v>
      </c>
      <c r="Q561">
        <f>+IF(OR(Datos[[#This Row],[Diagnostico]]="Inservible",Datos[[#This Row],[Estatus]]="Preventivo"),0,Datos[[#This Row],[Fecha_Final]]-Datos[[#This Row],[Día_Inicio]])</f>
        <v>0</v>
      </c>
      <c r="R561" s="2">
        <v>0</v>
      </c>
      <c r="S561" s="2">
        <v>0</v>
      </c>
      <c r="T561" t="s">
        <v>29</v>
      </c>
    </row>
    <row r="562" spans="1:20" x14ac:dyDescent="0.25">
      <c r="A562" t="s">
        <v>743</v>
      </c>
      <c r="B562" s="1">
        <v>45109</v>
      </c>
      <c r="C562" t="s">
        <v>741</v>
      </c>
      <c r="D562">
        <v>7</v>
      </c>
      <c r="E562" t="str">
        <f>+CONCATENATE("T",ROUNDUP(MONTH(Datos[[#This Row],[Fecha]])/3,0))</f>
        <v>T3</v>
      </c>
      <c r="F562" t="str">
        <f>+CONCATENATE("Sem"," ",ROUNDUP(MONTH(Datos[[#This Row],[Fecha]])/6,0))</f>
        <v>Sem 2</v>
      </c>
      <c r="G562" t="s">
        <v>169</v>
      </c>
      <c r="H562" t="s">
        <v>170</v>
      </c>
      <c r="I562" t="s">
        <v>68</v>
      </c>
      <c r="J562" t="s">
        <v>171</v>
      </c>
      <c r="K562" t="s">
        <v>39</v>
      </c>
      <c r="L562" t="s">
        <v>40</v>
      </c>
      <c r="M562" t="s">
        <v>41</v>
      </c>
      <c r="N562" s="1">
        <v>45109</v>
      </c>
      <c r="O562" s="1">
        <v>45199</v>
      </c>
      <c r="P562" t="s">
        <v>29</v>
      </c>
      <c r="Q562">
        <f>+IF(OR(Datos[[#This Row],[Diagnostico]]="Inservible",Datos[[#This Row],[Estatus]]="Preventivo"),0,Datos[[#This Row],[Fecha_Final]]-Datos[[#This Row],[Día_Inicio]])</f>
        <v>0</v>
      </c>
      <c r="R562" s="2">
        <v>420</v>
      </c>
      <c r="S562" s="2">
        <v>258</v>
      </c>
      <c r="T562" t="s">
        <v>42</v>
      </c>
    </row>
    <row r="563" spans="1:20" x14ac:dyDescent="0.25">
      <c r="A563" t="s">
        <v>744</v>
      </c>
      <c r="B563" s="1">
        <v>45109</v>
      </c>
      <c r="C563" t="s">
        <v>741</v>
      </c>
      <c r="D563">
        <v>7</v>
      </c>
      <c r="E563" t="str">
        <f>+CONCATENATE("T",ROUNDUP(MONTH(Datos[[#This Row],[Fecha]])/3,0))</f>
        <v>T3</v>
      </c>
      <c r="F563" t="str">
        <f>+CONCATENATE("Sem"," ",ROUNDUP(MONTH(Datos[[#This Row],[Fecha]])/6,0))</f>
        <v>Sem 2</v>
      </c>
      <c r="G563" t="s">
        <v>77</v>
      </c>
      <c r="H563" t="s">
        <v>78</v>
      </c>
      <c r="I563" t="s">
        <v>24</v>
      </c>
      <c r="J563" t="s">
        <v>79</v>
      </c>
      <c r="K563" t="s">
        <v>80</v>
      </c>
      <c r="L563" t="s">
        <v>27</v>
      </c>
      <c r="M563">
        <v>0</v>
      </c>
      <c r="N563" s="1">
        <v>45109</v>
      </c>
      <c r="O563" s="1">
        <v>45125</v>
      </c>
      <c r="P563" t="s">
        <v>58</v>
      </c>
      <c r="Q563">
        <f>+IF(OR(Datos[[#This Row],[Diagnostico]]="Inservible",Datos[[#This Row],[Estatus]]="Preventivo"),0,Datos[[#This Row],[Fecha_Final]]-Datos[[#This Row],[Día_Inicio]])</f>
        <v>16</v>
      </c>
      <c r="R563" s="2">
        <v>1010</v>
      </c>
      <c r="S563" s="2">
        <v>593</v>
      </c>
      <c r="T563" t="s">
        <v>91</v>
      </c>
    </row>
    <row r="564" spans="1:20" x14ac:dyDescent="0.25">
      <c r="A564" t="s">
        <v>745</v>
      </c>
      <c r="B564" s="1">
        <v>45109</v>
      </c>
      <c r="C564" t="s">
        <v>741</v>
      </c>
      <c r="D564">
        <v>7</v>
      </c>
      <c r="E564" t="str">
        <f>+CONCATENATE("T",ROUNDUP(MONTH(Datos[[#This Row],[Fecha]])/3,0))</f>
        <v>T3</v>
      </c>
      <c r="F564" t="str">
        <f>+CONCATENATE("Sem"," ",ROUNDUP(MONTH(Datos[[#This Row],[Fecha]])/6,0))</f>
        <v>Sem 2</v>
      </c>
      <c r="G564" t="s">
        <v>331</v>
      </c>
      <c r="H564" t="s">
        <v>332</v>
      </c>
      <c r="I564" t="s">
        <v>68</v>
      </c>
      <c r="J564" t="s">
        <v>74</v>
      </c>
      <c r="K564" t="s">
        <v>85</v>
      </c>
      <c r="L564" t="s">
        <v>27</v>
      </c>
      <c r="M564">
        <v>0</v>
      </c>
      <c r="N564" s="1">
        <v>45109</v>
      </c>
      <c r="O564" s="1">
        <v>45131</v>
      </c>
      <c r="P564" t="s">
        <v>58</v>
      </c>
      <c r="Q564">
        <f>+IF(OR(Datos[[#This Row],[Diagnostico]]="Inservible",Datos[[#This Row],[Estatus]]="Preventivo"),0,Datos[[#This Row],[Fecha_Final]]-Datos[[#This Row],[Día_Inicio]])</f>
        <v>22</v>
      </c>
      <c r="R564" s="2">
        <v>833</v>
      </c>
      <c r="S564" s="2">
        <v>517</v>
      </c>
      <c r="T564" t="s">
        <v>42</v>
      </c>
    </row>
    <row r="565" spans="1:20" x14ac:dyDescent="0.25">
      <c r="A565" t="s">
        <v>746</v>
      </c>
      <c r="B565" s="1">
        <v>45110</v>
      </c>
      <c r="C565" t="s">
        <v>741</v>
      </c>
      <c r="D565">
        <v>7</v>
      </c>
      <c r="E565" t="str">
        <f>+CONCATENATE("T",ROUNDUP(MONTH(Datos[[#This Row],[Fecha]])/3,0))</f>
        <v>T3</v>
      </c>
      <c r="F565" t="str">
        <f>+CONCATENATE("Sem"," ",ROUNDUP(MONTH(Datos[[#This Row],[Fecha]])/6,0))</f>
        <v>Sem 2</v>
      </c>
      <c r="G565" t="s">
        <v>206</v>
      </c>
      <c r="H565" t="s">
        <v>207</v>
      </c>
      <c r="I565" t="s">
        <v>24</v>
      </c>
      <c r="J565" t="s">
        <v>160</v>
      </c>
      <c r="K565" t="s">
        <v>90</v>
      </c>
      <c r="L565" t="s">
        <v>27</v>
      </c>
      <c r="M565">
        <v>0</v>
      </c>
      <c r="N565" s="1">
        <v>45110</v>
      </c>
      <c r="O565" s="1">
        <v>45134</v>
      </c>
      <c r="P565" t="s">
        <v>58</v>
      </c>
      <c r="Q565">
        <f>+IF(OR(Datos[[#This Row],[Diagnostico]]="Inservible",Datos[[#This Row],[Estatus]]="Preventivo"),0,Datos[[#This Row],[Fecha_Final]]-Datos[[#This Row],[Día_Inicio]])</f>
        <v>24</v>
      </c>
      <c r="R565" s="2">
        <v>807</v>
      </c>
      <c r="S565" s="2">
        <v>129</v>
      </c>
      <c r="T565" t="s">
        <v>64</v>
      </c>
    </row>
    <row r="566" spans="1:20" x14ac:dyDescent="0.25">
      <c r="A566" t="s">
        <v>747</v>
      </c>
      <c r="B566" s="1">
        <v>45110</v>
      </c>
      <c r="C566" t="s">
        <v>741</v>
      </c>
      <c r="D566">
        <v>7</v>
      </c>
      <c r="E566" t="str">
        <f>+CONCATENATE("T",ROUNDUP(MONTH(Datos[[#This Row],[Fecha]])/3,0))</f>
        <v>T3</v>
      </c>
      <c r="F566" t="str">
        <f>+CONCATENATE("Sem"," ",ROUNDUP(MONTH(Datos[[#This Row],[Fecha]])/6,0))</f>
        <v>Sem 2</v>
      </c>
      <c r="G566" t="s">
        <v>125</v>
      </c>
      <c r="H566" t="s">
        <v>126</v>
      </c>
      <c r="I566" t="s">
        <v>24</v>
      </c>
      <c r="J566" t="s">
        <v>127</v>
      </c>
      <c r="K566" t="s">
        <v>39</v>
      </c>
      <c r="L566" t="s">
        <v>40</v>
      </c>
      <c r="M566" t="s">
        <v>208</v>
      </c>
      <c r="N566" s="1">
        <v>45110</v>
      </c>
      <c r="O566" s="1">
        <v>45117</v>
      </c>
      <c r="P566" t="s">
        <v>29</v>
      </c>
      <c r="Q566">
        <f>+IF(OR(Datos[[#This Row],[Diagnostico]]="Inservible",Datos[[#This Row],[Estatus]]="Preventivo"),0,Datos[[#This Row],[Fecha_Final]]-Datos[[#This Row],[Día_Inicio]])</f>
        <v>0</v>
      </c>
      <c r="R566" s="2">
        <v>226</v>
      </c>
      <c r="S566" s="2">
        <v>370</v>
      </c>
      <c r="T566" t="s">
        <v>42</v>
      </c>
    </row>
    <row r="567" spans="1:20" x14ac:dyDescent="0.25">
      <c r="A567" t="s">
        <v>748</v>
      </c>
      <c r="B567" s="1">
        <v>45111</v>
      </c>
      <c r="C567" t="s">
        <v>741</v>
      </c>
      <c r="D567">
        <v>7</v>
      </c>
      <c r="E567" t="str">
        <f>+CONCATENATE("T",ROUNDUP(MONTH(Datos[[#This Row],[Fecha]])/3,0))</f>
        <v>T3</v>
      </c>
      <c r="F567" t="str">
        <f>+CONCATENATE("Sem"," ",ROUNDUP(MONTH(Datos[[#This Row],[Fecha]])/6,0))</f>
        <v>Sem 2</v>
      </c>
      <c r="G567" t="s">
        <v>105</v>
      </c>
      <c r="H567" t="s">
        <v>106</v>
      </c>
      <c r="I567" t="s">
        <v>24</v>
      </c>
      <c r="J567" t="s">
        <v>107</v>
      </c>
      <c r="K567" t="s">
        <v>97</v>
      </c>
      <c r="L567" t="s">
        <v>27</v>
      </c>
      <c r="M567">
        <v>0</v>
      </c>
      <c r="N567" s="1">
        <v>45111</v>
      </c>
      <c r="O567" s="1">
        <v>45114</v>
      </c>
      <c r="P567" t="s">
        <v>28</v>
      </c>
      <c r="Q567">
        <f>+IF(OR(Datos[[#This Row],[Diagnostico]]="Inservible",Datos[[#This Row],[Estatus]]="Preventivo"),0,Datos[[#This Row],[Fecha_Final]]-Datos[[#This Row],[Día_Inicio]])</f>
        <v>0</v>
      </c>
      <c r="R567" s="2">
        <v>0</v>
      </c>
      <c r="S567" s="2">
        <v>0</v>
      </c>
      <c r="T567" t="s">
        <v>29</v>
      </c>
    </row>
    <row r="568" spans="1:20" x14ac:dyDescent="0.25">
      <c r="A568" t="s">
        <v>749</v>
      </c>
      <c r="B568" s="1">
        <v>45112</v>
      </c>
      <c r="C568" t="s">
        <v>741</v>
      </c>
      <c r="D568">
        <v>7</v>
      </c>
      <c r="E568" t="str">
        <f>+CONCATENATE("T",ROUNDUP(MONTH(Datos[[#This Row],[Fecha]])/3,0))</f>
        <v>T3</v>
      </c>
      <c r="F568" t="str">
        <f>+CONCATENATE("Sem"," ",ROUNDUP(MONTH(Datos[[#This Row],[Fecha]])/6,0))</f>
        <v>Sem 2</v>
      </c>
      <c r="G568" t="s">
        <v>121</v>
      </c>
      <c r="H568" t="s">
        <v>122</v>
      </c>
      <c r="I568" t="s">
        <v>24</v>
      </c>
      <c r="J568" t="s">
        <v>102</v>
      </c>
      <c r="K568" t="s">
        <v>39</v>
      </c>
      <c r="L568" t="s">
        <v>40</v>
      </c>
      <c r="M568" t="s">
        <v>75</v>
      </c>
      <c r="N568" s="1">
        <v>45112</v>
      </c>
      <c r="O568" s="1">
        <v>45472</v>
      </c>
      <c r="P568" t="s">
        <v>29</v>
      </c>
      <c r="Q568">
        <f>+IF(OR(Datos[[#This Row],[Diagnostico]]="Inservible",Datos[[#This Row],[Estatus]]="Preventivo"),0,Datos[[#This Row],[Fecha_Final]]-Datos[[#This Row],[Día_Inicio]])</f>
        <v>0</v>
      </c>
      <c r="R568" s="2">
        <v>319</v>
      </c>
      <c r="S568" s="2">
        <v>608</v>
      </c>
      <c r="T568" t="s">
        <v>42</v>
      </c>
    </row>
    <row r="569" spans="1:20" x14ac:dyDescent="0.25">
      <c r="A569" t="s">
        <v>750</v>
      </c>
      <c r="B569" s="1">
        <v>45112</v>
      </c>
      <c r="C569" t="s">
        <v>741</v>
      </c>
      <c r="D569">
        <v>7</v>
      </c>
      <c r="E569" t="str">
        <f>+CONCATENATE("T",ROUNDUP(MONTH(Datos[[#This Row],[Fecha]])/3,0))</f>
        <v>T3</v>
      </c>
      <c r="F569" t="str">
        <f>+CONCATENATE("Sem"," ",ROUNDUP(MONTH(Datos[[#This Row],[Fecha]])/6,0))</f>
        <v>Sem 2</v>
      </c>
      <c r="G569" t="s">
        <v>49</v>
      </c>
      <c r="H569" t="s">
        <v>23</v>
      </c>
      <c r="I569" t="s">
        <v>24</v>
      </c>
      <c r="J569" t="s">
        <v>50</v>
      </c>
      <c r="K569" t="s">
        <v>108</v>
      </c>
      <c r="L569" t="s">
        <v>27</v>
      </c>
      <c r="M569">
        <v>0</v>
      </c>
      <c r="N569" s="1">
        <v>45112</v>
      </c>
      <c r="O569" s="1">
        <v>45118</v>
      </c>
      <c r="P569" t="s">
        <v>58</v>
      </c>
      <c r="Q569">
        <f>+IF(OR(Datos[[#This Row],[Diagnostico]]="Inservible",Datos[[#This Row],[Estatus]]="Preventivo"),0,Datos[[#This Row],[Fecha_Final]]-Datos[[#This Row],[Día_Inicio]])</f>
        <v>6</v>
      </c>
      <c r="R569" s="2">
        <v>831</v>
      </c>
      <c r="S569" s="2">
        <v>477</v>
      </c>
      <c r="T569" t="s">
        <v>42</v>
      </c>
    </row>
    <row r="570" spans="1:20" x14ac:dyDescent="0.25">
      <c r="A570" t="s">
        <v>751</v>
      </c>
      <c r="B570" s="1">
        <v>45112</v>
      </c>
      <c r="C570" t="s">
        <v>741</v>
      </c>
      <c r="D570">
        <v>7</v>
      </c>
      <c r="E570" t="str">
        <f>+CONCATENATE("T",ROUNDUP(MONTH(Datos[[#This Row],[Fecha]])/3,0))</f>
        <v>T3</v>
      </c>
      <c r="F570" t="str">
        <f>+CONCATENATE("Sem"," ",ROUNDUP(MONTH(Datos[[#This Row],[Fecha]])/6,0))</f>
        <v>Sem 2</v>
      </c>
      <c r="G570" t="s">
        <v>49</v>
      </c>
      <c r="H570" t="s">
        <v>23</v>
      </c>
      <c r="I570" t="s">
        <v>24</v>
      </c>
      <c r="J570" t="s">
        <v>50</v>
      </c>
      <c r="K570" t="s">
        <v>39</v>
      </c>
      <c r="L570" t="s">
        <v>40</v>
      </c>
      <c r="M570" t="s">
        <v>208</v>
      </c>
      <c r="N570" s="1">
        <v>45112</v>
      </c>
      <c r="O570" s="1">
        <v>45119</v>
      </c>
      <c r="P570" t="s">
        <v>29</v>
      </c>
      <c r="Q570">
        <f>+IF(OR(Datos[[#This Row],[Diagnostico]]="Inservible",Datos[[#This Row],[Estatus]]="Preventivo"),0,Datos[[#This Row],[Fecha_Final]]-Datos[[#This Row],[Día_Inicio]])</f>
        <v>0</v>
      </c>
      <c r="R570" s="2">
        <v>1184</v>
      </c>
      <c r="S570" s="2">
        <v>522</v>
      </c>
      <c r="T570" t="s">
        <v>42</v>
      </c>
    </row>
    <row r="571" spans="1:20" x14ac:dyDescent="0.25">
      <c r="A571" t="s">
        <v>752</v>
      </c>
      <c r="B571" s="1">
        <v>45112</v>
      </c>
      <c r="C571" t="s">
        <v>741</v>
      </c>
      <c r="D571">
        <v>7</v>
      </c>
      <c r="E571" t="str">
        <f>+CONCATENATE("T",ROUNDUP(MONTH(Datos[[#This Row],[Fecha]])/3,0))</f>
        <v>T3</v>
      </c>
      <c r="F571" t="str">
        <f>+CONCATENATE("Sem"," ",ROUNDUP(MONTH(Datos[[#This Row],[Fecha]])/6,0))</f>
        <v>Sem 2</v>
      </c>
      <c r="G571" t="s">
        <v>121</v>
      </c>
      <c r="H571" t="s">
        <v>122</v>
      </c>
      <c r="I571" t="s">
        <v>24</v>
      </c>
      <c r="J571" t="s">
        <v>102</v>
      </c>
      <c r="K571" t="s">
        <v>114</v>
      </c>
      <c r="L571" t="s">
        <v>27</v>
      </c>
      <c r="M571">
        <v>0</v>
      </c>
      <c r="N571" s="1">
        <v>45112</v>
      </c>
      <c r="O571" s="1">
        <v>45137</v>
      </c>
      <c r="P571" t="s">
        <v>58</v>
      </c>
      <c r="Q571">
        <f>+IF(OR(Datos[[#This Row],[Diagnostico]]="Inservible",Datos[[#This Row],[Estatus]]="Preventivo"),0,Datos[[#This Row],[Fecha_Final]]-Datos[[#This Row],[Día_Inicio]])</f>
        <v>25</v>
      </c>
      <c r="R571" s="2">
        <v>447</v>
      </c>
      <c r="S571" s="2">
        <v>746</v>
      </c>
      <c r="T571" t="s">
        <v>59</v>
      </c>
    </row>
    <row r="572" spans="1:20" x14ac:dyDescent="0.25">
      <c r="A572" t="s">
        <v>753</v>
      </c>
      <c r="B572" s="1">
        <v>45113</v>
      </c>
      <c r="C572" t="s">
        <v>741</v>
      </c>
      <c r="D572">
        <v>7</v>
      </c>
      <c r="E572" t="str">
        <f>+CONCATENATE("T",ROUNDUP(MONTH(Datos[[#This Row],[Fecha]])/3,0))</f>
        <v>T3</v>
      </c>
      <c r="F572" t="str">
        <f>+CONCATENATE("Sem"," ",ROUNDUP(MONTH(Datos[[#This Row],[Fecha]])/6,0))</f>
        <v>Sem 2</v>
      </c>
      <c r="G572" t="s">
        <v>246</v>
      </c>
      <c r="H572" t="s">
        <v>247</v>
      </c>
      <c r="I572" t="s">
        <v>24</v>
      </c>
      <c r="J572" t="s">
        <v>156</v>
      </c>
      <c r="K572" t="s">
        <v>39</v>
      </c>
      <c r="L572" t="s">
        <v>40</v>
      </c>
      <c r="M572" t="s">
        <v>51</v>
      </c>
      <c r="N572" s="1">
        <v>45113</v>
      </c>
      <c r="O572" s="1">
        <v>45173</v>
      </c>
      <c r="P572" t="s">
        <v>29</v>
      </c>
      <c r="Q572">
        <f>+IF(OR(Datos[[#This Row],[Diagnostico]]="Inservible",Datos[[#This Row],[Estatus]]="Preventivo"),0,Datos[[#This Row],[Fecha_Final]]-Datos[[#This Row],[Día_Inicio]])</f>
        <v>0</v>
      </c>
      <c r="R572" s="2">
        <v>1024</v>
      </c>
      <c r="S572" s="2">
        <v>538</v>
      </c>
      <c r="T572" t="s">
        <v>42</v>
      </c>
    </row>
    <row r="573" spans="1:20" x14ac:dyDescent="0.25">
      <c r="A573" t="s">
        <v>754</v>
      </c>
      <c r="B573" s="1">
        <v>45113</v>
      </c>
      <c r="C573" t="s">
        <v>741</v>
      </c>
      <c r="D573">
        <v>7</v>
      </c>
      <c r="E573" t="str">
        <f>+CONCATENATE("T",ROUNDUP(MONTH(Datos[[#This Row],[Fecha]])/3,0))</f>
        <v>T3</v>
      </c>
      <c r="F573" t="str">
        <f>+CONCATENATE("Sem"," ",ROUNDUP(MONTH(Datos[[#This Row],[Fecha]])/6,0))</f>
        <v>Sem 2</v>
      </c>
      <c r="G573" t="s">
        <v>169</v>
      </c>
      <c r="H573" t="s">
        <v>170</v>
      </c>
      <c r="I573" t="s">
        <v>68</v>
      </c>
      <c r="J573" t="s">
        <v>171</v>
      </c>
      <c r="K573" t="s">
        <v>123</v>
      </c>
      <c r="L573" t="s">
        <v>27</v>
      </c>
      <c r="M573">
        <v>0</v>
      </c>
      <c r="N573" s="1">
        <v>45113</v>
      </c>
      <c r="O573" s="1">
        <v>45141</v>
      </c>
      <c r="P573" t="s">
        <v>58</v>
      </c>
      <c r="Q573">
        <f>+IF(OR(Datos[[#This Row],[Diagnostico]]="Inservible",Datos[[#This Row],[Estatus]]="Preventivo"),0,Datos[[#This Row],[Fecha_Final]]-Datos[[#This Row],[Día_Inicio]])</f>
        <v>28</v>
      </c>
      <c r="R573" s="2">
        <v>745</v>
      </c>
      <c r="S573" s="2">
        <v>579</v>
      </c>
      <c r="T573" t="s">
        <v>59</v>
      </c>
    </row>
    <row r="574" spans="1:20" x14ac:dyDescent="0.25">
      <c r="A574" t="s">
        <v>755</v>
      </c>
      <c r="B574" s="1">
        <v>45115</v>
      </c>
      <c r="C574" t="s">
        <v>741</v>
      </c>
      <c r="D574">
        <v>7</v>
      </c>
      <c r="E574" t="str">
        <f>+CONCATENATE("T",ROUNDUP(MONTH(Datos[[#This Row],[Fecha]])/3,0))</f>
        <v>T3</v>
      </c>
      <c r="F574" t="str">
        <f>+CONCATENATE("Sem"," ",ROUNDUP(MONTH(Datos[[#This Row],[Fecha]])/6,0))</f>
        <v>Sem 2</v>
      </c>
      <c r="G574" t="s">
        <v>206</v>
      </c>
      <c r="H574" t="s">
        <v>207</v>
      </c>
      <c r="I574" t="s">
        <v>24</v>
      </c>
      <c r="J574" t="s">
        <v>160</v>
      </c>
      <c r="K574" t="s">
        <v>128</v>
      </c>
      <c r="L574" t="s">
        <v>27</v>
      </c>
      <c r="M574">
        <v>0</v>
      </c>
      <c r="N574" s="1">
        <v>45115</v>
      </c>
      <c r="O574" s="1">
        <v>45133</v>
      </c>
      <c r="P574" t="s">
        <v>58</v>
      </c>
      <c r="Q574">
        <f>+IF(OR(Datos[[#This Row],[Diagnostico]]="Inservible",Datos[[#This Row],[Estatus]]="Preventivo"),0,Datos[[#This Row],[Fecha_Final]]-Datos[[#This Row],[Día_Inicio]])</f>
        <v>18</v>
      </c>
      <c r="R574" s="2">
        <v>637</v>
      </c>
      <c r="S574" s="2">
        <v>758</v>
      </c>
      <c r="T574" t="s">
        <v>42</v>
      </c>
    </row>
    <row r="575" spans="1:20" x14ac:dyDescent="0.25">
      <c r="A575" t="s">
        <v>756</v>
      </c>
      <c r="B575" s="1">
        <v>45115</v>
      </c>
      <c r="C575" t="s">
        <v>741</v>
      </c>
      <c r="D575">
        <v>7</v>
      </c>
      <c r="E575" t="str">
        <f>+CONCATENATE("T",ROUNDUP(MONTH(Datos[[#This Row],[Fecha]])/3,0))</f>
        <v>T3</v>
      </c>
      <c r="F575" t="str">
        <f>+CONCATENATE("Sem"," ",ROUNDUP(MONTH(Datos[[#This Row],[Fecha]])/6,0))</f>
        <v>Sem 2</v>
      </c>
      <c r="G575" t="s">
        <v>99</v>
      </c>
      <c r="H575" t="s">
        <v>100</v>
      </c>
      <c r="I575" t="s">
        <v>101</v>
      </c>
      <c r="J575" t="s">
        <v>102</v>
      </c>
      <c r="K575" t="s">
        <v>130</v>
      </c>
      <c r="L575" t="s">
        <v>27</v>
      </c>
      <c r="M575">
        <v>0</v>
      </c>
      <c r="N575" s="1">
        <v>45115</v>
      </c>
      <c r="O575" s="1">
        <v>45131</v>
      </c>
      <c r="P575" t="s">
        <v>58</v>
      </c>
      <c r="Q575">
        <f>+IF(OR(Datos[[#This Row],[Diagnostico]]="Inservible",Datos[[#This Row],[Estatus]]="Preventivo"),0,Datos[[#This Row],[Fecha_Final]]-Datos[[#This Row],[Día_Inicio]])</f>
        <v>16</v>
      </c>
      <c r="R575" s="2">
        <v>472</v>
      </c>
      <c r="S575" s="2">
        <v>545</v>
      </c>
      <c r="T575" t="s">
        <v>59</v>
      </c>
    </row>
    <row r="576" spans="1:20" x14ac:dyDescent="0.25">
      <c r="A576" t="s">
        <v>757</v>
      </c>
      <c r="B576" s="1">
        <v>45115</v>
      </c>
      <c r="C576" t="s">
        <v>741</v>
      </c>
      <c r="D576">
        <v>7</v>
      </c>
      <c r="E576" t="str">
        <f>+CONCATENATE("T",ROUNDUP(MONTH(Datos[[#This Row],[Fecha]])/3,0))</f>
        <v>T3</v>
      </c>
      <c r="F576" t="str">
        <f>+CONCATENATE("Sem"," ",ROUNDUP(MONTH(Datos[[#This Row],[Fecha]])/6,0))</f>
        <v>Sem 2</v>
      </c>
      <c r="G576" t="s">
        <v>202</v>
      </c>
      <c r="H576" t="s">
        <v>203</v>
      </c>
      <c r="I576" t="s">
        <v>24</v>
      </c>
      <c r="J576" t="s">
        <v>204</v>
      </c>
      <c r="K576" t="s">
        <v>135</v>
      </c>
      <c r="L576" t="s">
        <v>27</v>
      </c>
      <c r="M576">
        <v>0</v>
      </c>
      <c r="N576" s="1">
        <v>45115</v>
      </c>
      <c r="O576" s="1">
        <v>45122</v>
      </c>
      <c r="P576" t="s">
        <v>28</v>
      </c>
      <c r="Q576">
        <f>+IF(OR(Datos[[#This Row],[Diagnostico]]="Inservible",Datos[[#This Row],[Estatus]]="Preventivo"),0,Datos[[#This Row],[Fecha_Final]]-Datos[[#This Row],[Día_Inicio]])</f>
        <v>0</v>
      </c>
      <c r="R576" s="2">
        <v>0</v>
      </c>
      <c r="S576" s="2">
        <v>0</v>
      </c>
      <c r="T576" t="s">
        <v>29</v>
      </c>
    </row>
    <row r="577" spans="1:20" x14ac:dyDescent="0.25">
      <c r="A577" t="s">
        <v>758</v>
      </c>
      <c r="B577" s="1">
        <v>45116</v>
      </c>
      <c r="C577" t="s">
        <v>741</v>
      </c>
      <c r="D577">
        <v>7</v>
      </c>
      <c r="E577" t="str">
        <f>+CONCATENATE("T",ROUNDUP(MONTH(Datos[[#This Row],[Fecha]])/3,0))</f>
        <v>T3</v>
      </c>
      <c r="F577" t="str">
        <f>+CONCATENATE("Sem"," ",ROUNDUP(MONTH(Datos[[#This Row],[Fecha]])/6,0))</f>
        <v>Sem 2</v>
      </c>
      <c r="G577" t="s">
        <v>82</v>
      </c>
      <c r="H577" t="s">
        <v>83</v>
      </c>
      <c r="I577" t="s">
        <v>24</v>
      </c>
      <c r="J577" t="s">
        <v>84</v>
      </c>
      <c r="K577" t="s">
        <v>26</v>
      </c>
      <c r="L577" t="s">
        <v>27</v>
      </c>
      <c r="M577">
        <v>0</v>
      </c>
      <c r="N577" s="1">
        <v>45116</v>
      </c>
      <c r="O577" s="1">
        <v>45129</v>
      </c>
      <c r="P577" t="s">
        <v>28</v>
      </c>
      <c r="Q577">
        <f>+IF(OR(Datos[[#This Row],[Diagnostico]]="Inservible",Datos[[#This Row],[Estatus]]="Preventivo"),0,Datos[[#This Row],[Fecha_Final]]-Datos[[#This Row],[Día_Inicio]])</f>
        <v>0</v>
      </c>
      <c r="R577" s="2">
        <v>0</v>
      </c>
      <c r="S577" s="2">
        <v>0</v>
      </c>
      <c r="T577" t="s">
        <v>29</v>
      </c>
    </row>
    <row r="578" spans="1:20" x14ac:dyDescent="0.25">
      <c r="A578" t="s">
        <v>759</v>
      </c>
      <c r="B578" s="1">
        <v>45116</v>
      </c>
      <c r="C578" t="s">
        <v>741</v>
      </c>
      <c r="D578">
        <v>7</v>
      </c>
      <c r="E578" t="str">
        <f>+CONCATENATE("T",ROUNDUP(MONTH(Datos[[#This Row],[Fecha]])/3,0))</f>
        <v>T3</v>
      </c>
      <c r="F578" t="str">
        <f>+CONCATENATE("Sem"," ",ROUNDUP(MONTH(Datos[[#This Row],[Fecha]])/6,0))</f>
        <v>Sem 2</v>
      </c>
      <c r="G578" t="s">
        <v>283</v>
      </c>
      <c r="H578" t="s">
        <v>284</v>
      </c>
      <c r="I578" t="s">
        <v>24</v>
      </c>
      <c r="J578" t="s">
        <v>192</v>
      </c>
      <c r="K578" t="s">
        <v>34</v>
      </c>
      <c r="L578" t="s">
        <v>27</v>
      </c>
      <c r="M578">
        <v>0</v>
      </c>
      <c r="N578" s="1">
        <v>45116</v>
      </c>
      <c r="O578" s="1">
        <v>45142</v>
      </c>
      <c r="P578" t="s">
        <v>58</v>
      </c>
      <c r="Q578">
        <f>+IF(OR(Datos[[#This Row],[Diagnostico]]="Inservible",Datos[[#This Row],[Estatus]]="Preventivo"),0,Datos[[#This Row],[Fecha_Final]]-Datos[[#This Row],[Día_Inicio]])</f>
        <v>26</v>
      </c>
      <c r="R578" s="2">
        <v>395</v>
      </c>
      <c r="S578" s="2">
        <v>559</v>
      </c>
      <c r="T578" t="s">
        <v>91</v>
      </c>
    </row>
    <row r="579" spans="1:20" x14ac:dyDescent="0.25">
      <c r="A579" t="s">
        <v>760</v>
      </c>
      <c r="B579" s="1">
        <v>45117</v>
      </c>
      <c r="C579" t="s">
        <v>741</v>
      </c>
      <c r="D579">
        <v>7</v>
      </c>
      <c r="E579" t="str">
        <f>+CONCATENATE("T",ROUNDUP(MONTH(Datos[[#This Row],[Fecha]])/3,0))</f>
        <v>T3</v>
      </c>
      <c r="F579" t="str">
        <f>+CONCATENATE("Sem"," ",ROUNDUP(MONTH(Datos[[#This Row],[Fecha]])/6,0))</f>
        <v>Sem 2</v>
      </c>
      <c r="G579" t="s">
        <v>141</v>
      </c>
      <c r="H579" t="s">
        <v>142</v>
      </c>
      <c r="I579" t="s">
        <v>24</v>
      </c>
      <c r="J579" t="s">
        <v>143</v>
      </c>
      <c r="K579" t="s">
        <v>39</v>
      </c>
      <c r="L579" t="s">
        <v>27</v>
      </c>
      <c r="M579">
        <v>0</v>
      </c>
      <c r="N579" s="1">
        <v>45117</v>
      </c>
      <c r="O579" s="1">
        <v>45122</v>
      </c>
      <c r="P579" t="s">
        <v>58</v>
      </c>
      <c r="Q579">
        <f>+IF(OR(Datos[[#This Row],[Diagnostico]]="Inservible",Datos[[#This Row],[Estatus]]="Preventivo"),0,Datos[[#This Row],[Fecha_Final]]-Datos[[#This Row],[Día_Inicio]])</f>
        <v>5</v>
      </c>
      <c r="R579" s="2">
        <v>305</v>
      </c>
      <c r="S579" s="2">
        <v>109</v>
      </c>
      <c r="T579" t="s">
        <v>91</v>
      </c>
    </row>
    <row r="580" spans="1:20" x14ac:dyDescent="0.25">
      <c r="A580" t="s">
        <v>761</v>
      </c>
      <c r="B580" s="1">
        <v>45117</v>
      </c>
      <c r="C580" t="s">
        <v>741</v>
      </c>
      <c r="D580">
        <v>7</v>
      </c>
      <c r="E580" t="str">
        <f>+CONCATENATE("T",ROUNDUP(MONTH(Datos[[#This Row],[Fecha]])/3,0))</f>
        <v>T3</v>
      </c>
      <c r="F580" t="str">
        <f>+CONCATENATE("Sem"," ",ROUNDUP(MONTH(Datos[[#This Row],[Fecha]])/6,0))</f>
        <v>Sem 2</v>
      </c>
      <c r="G580" t="s">
        <v>61</v>
      </c>
      <c r="H580" t="s">
        <v>62</v>
      </c>
      <c r="I580" t="s">
        <v>24</v>
      </c>
      <c r="J580" t="s">
        <v>46</v>
      </c>
      <c r="K580" t="s">
        <v>39</v>
      </c>
      <c r="L580" t="s">
        <v>40</v>
      </c>
      <c r="M580" t="s">
        <v>51</v>
      </c>
      <c r="N580" s="1">
        <v>45117</v>
      </c>
      <c r="O580" s="1">
        <v>45177</v>
      </c>
      <c r="P580" t="s">
        <v>29</v>
      </c>
      <c r="Q580">
        <f>+IF(OR(Datos[[#This Row],[Diagnostico]]="Inservible",Datos[[#This Row],[Estatus]]="Preventivo"),0,Datos[[#This Row],[Fecha_Final]]-Datos[[#This Row],[Día_Inicio]])</f>
        <v>0</v>
      </c>
      <c r="R580" s="2">
        <v>1138</v>
      </c>
      <c r="S580" s="2">
        <v>984</v>
      </c>
      <c r="T580" t="s">
        <v>42</v>
      </c>
    </row>
    <row r="581" spans="1:20" x14ac:dyDescent="0.25">
      <c r="A581" t="s">
        <v>762</v>
      </c>
      <c r="B581" s="1">
        <v>45117</v>
      </c>
      <c r="C581" t="s">
        <v>741</v>
      </c>
      <c r="D581">
        <v>7</v>
      </c>
      <c r="E581" t="str">
        <f>+CONCATENATE("T",ROUNDUP(MONTH(Datos[[#This Row],[Fecha]])/3,0))</f>
        <v>T3</v>
      </c>
      <c r="F581" t="str">
        <f>+CONCATENATE("Sem"," ",ROUNDUP(MONTH(Datos[[#This Row],[Fecha]])/6,0))</f>
        <v>Sem 2</v>
      </c>
      <c r="G581" t="s">
        <v>158</v>
      </c>
      <c r="H581" t="s">
        <v>159</v>
      </c>
      <c r="I581" t="s">
        <v>101</v>
      </c>
      <c r="J581" t="s">
        <v>160</v>
      </c>
      <c r="K581" t="s">
        <v>147</v>
      </c>
      <c r="L581" t="s">
        <v>27</v>
      </c>
      <c r="M581">
        <v>0</v>
      </c>
      <c r="N581" s="1">
        <v>45117</v>
      </c>
      <c r="O581" s="1">
        <v>45127</v>
      </c>
      <c r="P581" t="s">
        <v>58</v>
      </c>
      <c r="Q581">
        <f>+IF(OR(Datos[[#This Row],[Diagnostico]]="Inservible",Datos[[#This Row],[Estatus]]="Preventivo"),0,Datos[[#This Row],[Fecha_Final]]-Datos[[#This Row],[Día_Inicio]])</f>
        <v>10</v>
      </c>
      <c r="R581" s="2">
        <v>319</v>
      </c>
      <c r="S581" s="2">
        <v>650</v>
      </c>
      <c r="T581" t="s">
        <v>59</v>
      </c>
    </row>
    <row r="582" spans="1:20" x14ac:dyDescent="0.25">
      <c r="A582" t="s">
        <v>763</v>
      </c>
      <c r="B582" s="1">
        <v>45118</v>
      </c>
      <c r="C582" t="s">
        <v>741</v>
      </c>
      <c r="D582">
        <v>7</v>
      </c>
      <c r="E582" t="str">
        <f>+CONCATENATE("T",ROUNDUP(MONTH(Datos[[#This Row],[Fecha]])/3,0))</f>
        <v>T3</v>
      </c>
      <c r="F582" t="str">
        <f>+CONCATENATE("Sem"," ",ROUNDUP(MONTH(Datos[[#This Row],[Fecha]])/6,0))</f>
        <v>Sem 2</v>
      </c>
      <c r="G582" t="s">
        <v>121</v>
      </c>
      <c r="H582" t="s">
        <v>122</v>
      </c>
      <c r="I582" t="s">
        <v>24</v>
      </c>
      <c r="J582" t="s">
        <v>102</v>
      </c>
      <c r="K582" t="s">
        <v>39</v>
      </c>
      <c r="L582" t="s">
        <v>40</v>
      </c>
      <c r="M582" t="s">
        <v>208</v>
      </c>
      <c r="N582" s="1">
        <v>45118</v>
      </c>
      <c r="O582" s="1">
        <v>45125</v>
      </c>
      <c r="P582" t="s">
        <v>29</v>
      </c>
      <c r="Q582">
        <f>+IF(OR(Datos[[#This Row],[Diagnostico]]="Inservible",Datos[[#This Row],[Estatus]]="Preventivo"),0,Datos[[#This Row],[Fecha_Final]]-Datos[[#This Row],[Día_Inicio]])</f>
        <v>0</v>
      </c>
      <c r="R582" s="2">
        <v>1199</v>
      </c>
      <c r="S582" s="2">
        <v>447</v>
      </c>
      <c r="T582" t="s">
        <v>42</v>
      </c>
    </row>
    <row r="583" spans="1:20" x14ac:dyDescent="0.25">
      <c r="A583" t="s">
        <v>764</v>
      </c>
      <c r="B583" s="1">
        <v>45119</v>
      </c>
      <c r="C583" t="s">
        <v>741</v>
      </c>
      <c r="D583">
        <v>7</v>
      </c>
      <c r="E583" t="str">
        <f>+CONCATENATE("T",ROUNDUP(MONTH(Datos[[#This Row],[Fecha]])/3,0))</f>
        <v>T3</v>
      </c>
      <c r="F583" t="str">
        <f>+CONCATENATE("Sem"," ",ROUNDUP(MONTH(Datos[[#This Row],[Fecha]])/6,0))</f>
        <v>Sem 2</v>
      </c>
      <c r="G583" t="s">
        <v>215</v>
      </c>
      <c r="H583" t="s">
        <v>216</v>
      </c>
      <c r="I583" t="s">
        <v>24</v>
      </c>
      <c r="J583" t="s">
        <v>50</v>
      </c>
      <c r="K583" t="s">
        <v>63</v>
      </c>
      <c r="L583" t="s">
        <v>27</v>
      </c>
      <c r="M583">
        <v>0</v>
      </c>
      <c r="N583" s="1">
        <v>45119</v>
      </c>
      <c r="O583" s="1">
        <v>45140</v>
      </c>
      <c r="P583" t="s">
        <v>28</v>
      </c>
      <c r="Q583">
        <f>+IF(OR(Datos[[#This Row],[Diagnostico]]="Inservible",Datos[[#This Row],[Estatus]]="Preventivo"),0,Datos[[#This Row],[Fecha_Final]]-Datos[[#This Row],[Día_Inicio]])</f>
        <v>0</v>
      </c>
      <c r="R583" s="2">
        <v>0</v>
      </c>
      <c r="S583" s="2">
        <v>0</v>
      </c>
      <c r="T583" t="s">
        <v>29</v>
      </c>
    </row>
    <row r="584" spans="1:20" x14ac:dyDescent="0.25">
      <c r="A584" t="s">
        <v>765</v>
      </c>
      <c r="B584" s="1">
        <v>45119</v>
      </c>
      <c r="C584" t="s">
        <v>741</v>
      </c>
      <c r="D584">
        <v>7</v>
      </c>
      <c r="E584" t="str">
        <f>+CONCATENATE("T",ROUNDUP(MONTH(Datos[[#This Row],[Fecha]])/3,0))</f>
        <v>T3</v>
      </c>
      <c r="F584" t="str">
        <f>+CONCATENATE("Sem"," ",ROUNDUP(MONTH(Datos[[#This Row],[Fecha]])/6,0))</f>
        <v>Sem 2</v>
      </c>
      <c r="G584" t="s">
        <v>22</v>
      </c>
      <c r="H584" t="s">
        <v>23</v>
      </c>
      <c r="I584" t="s">
        <v>24</v>
      </c>
      <c r="J584" t="s">
        <v>25</v>
      </c>
      <c r="K584" t="s">
        <v>70</v>
      </c>
      <c r="L584" t="s">
        <v>27</v>
      </c>
      <c r="M584">
        <v>0</v>
      </c>
      <c r="N584" s="1">
        <v>45119</v>
      </c>
      <c r="O584" s="1">
        <v>45123</v>
      </c>
      <c r="P584" t="s">
        <v>28</v>
      </c>
      <c r="Q584">
        <f>+IF(OR(Datos[[#This Row],[Diagnostico]]="Inservible",Datos[[#This Row],[Estatus]]="Preventivo"),0,Datos[[#This Row],[Fecha_Final]]-Datos[[#This Row],[Día_Inicio]])</f>
        <v>0</v>
      </c>
      <c r="R584" s="2">
        <v>0</v>
      </c>
      <c r="S584" s="2">
        <v>0</v>
      </c>
      <c r="T584" t="s">
        <v>29</v>
      </c>
    </row>
    <row r="585" spans="1:20" x14ac:dyDescent="0.25">
      <c r="A585" t="s">
        <v>766</v>
      </c>
      <c r="B585" s="1">
        <v>45120</v>
      </c>
      <c r="C585" t="s">
        <v>741</v>
      </c>
      <c r="D585">
        <v>7</v>
      </c>
      <c r="E585" t="str">
        <f>+CONCATENATE("T",ROUNDUP(MONTH(Datos[[#This Row],[Fecha]])/3,0))</f>
        <v>T3</v>
      </c>
      <c r="F585" t="str">
        <f>+CONCATENATE("Sem"," ",ROUNDUP(MONTH(Datos[[#This Row],[Fecha]])/6,0))</f>
        <v>Sem 2</v>
      </c>
      <c r="G585" t="s">
        <v>260</v>
      </c>
      <c r="H585" t="s">
        <v>261</v>
      </c>
      <c r="I585" t="s">
        <v>24</v>
      </c>
      <c r="J585" t="s">
        <v>33</v>
      </c>
      <c r="K585" t="s">
        <v>161</v>
      </c>
      <c r="L585" t="s">
        <v>27</v>
      </c>
      <c r="M585">
        <v>0</v>
      </c>
      <c r="N585" s="1">
        <v>45120</v>
      </c>
      <c r="O585" s="1">
        <v>45128</v>
      </c>
      <c r="P585" t="s">
        <v>28</v>
      </c>
      <c r="Q585">
        <f>+IF(OR(Datos[[#This Row],[Diagnostico]]="Inservible",Datos[[#This Row],[Estatus]]="Preventivo"),0,Datos[[#This Row],[Fecha_Final]]-Datos[[#This Row],[Día_Inicio]])</f>
        <v>0</v>
      </c>
      <c r="R585" s="2">
        <v>0</v>
      </c>
      <c r="S585" s="2">
        <v>0</v>
      </c>
      <c r="T585" t="s">
        <v>29</v>
      </c>
    </row>
    <row r="586" spans="1:20" x14ac:dyDescent="0.25">
      <c r="A586" t="s">
        <v>767</v>
      </c>
      <c r="B586" s="1">
        <v>45120</v>
      </c>
      <c r="C586" t="s">
        <v>741</v>
      </c>
      <c r="D586">
        <v>7</v>
      </c>
      <c r="E586" t="str">
        <f>+CONCATENATE("T",ROUNDUP(MONTH(Datos[[#This Row],[Fecha]])/3,0))</f>
        <v>T3</v>
      </c>
      <c r="F586" t="str">
        <f>+CONCATENATE("Sem"," ",ROUNDUP(MONTH(Datos[[#This Row],[Fecha]])/6,0))</f>
        <v>Sem 2</v>
      </c>
      <c r="G586" t="s">
        <v>164</v>
      </c>
      <c r="H586" t="s">
        <v>165</v>
      </c>
      <c r="I586" t="s">
        <v>24</v>
      </c>
      <c r="J586" t="s">
        <v>166</v>
      </c>
      <c r="K586" t="s">
        <v>80</v>
      </c>
      <c r="L586" t="s">
        <v>27</v>
      </c>
      <c r="M586">
        <v>0</v>
      </c>
      <c r="N586" s="1">
        <v>45120</v>
      </c>
      <c r="O586" s="1">
        <v>45124</v>
      </c>
      <c r="P586" t="s">
        <v>28</v>
      </c>
      <c r="Q586">
        <f>+IF(OR(Datos[[#This Row],[Diagnostico]]="Inservible",Datos[[#This Row],[Estatus]]="Preventivo"),0,Datos[[#This Row],[Fecha_Final]]-Datos[[#This Row],[Día_Inicio]])</f>
        <v>0</v>
      </c>
      <c r="R586" s="2">
        <v>0</v>
      </c>
      <c r="S586" s="2">
        <v>0</v>
      </c>
      <c r="T586" t="s">
        <v>29</v>
      </c>
    </row>
    <row r="587" spans="1:20" x14ac:dyDescent="0.25">
      <c r="A587" t="s">
        <v>768</v>
      </c>
      <c r="B587" s="1">
        <v>45121</v>
      </c>
      <c r="C587" t="s">
        <v>741</v>
      </c>
      <c r="D587">
        <v>7</v>
      </c>
      <c r="E587" t="str">
        <f>+CONCATENATE("T",ROUNDUP(MONTH(Datos[[#This Row],[Fecha]])/3,0))</f>
        <v>T3</v>
      </c>
      <c r="F587" t="str">
        <f>+CONCATENATE("Sem"," ",ROUNDUP(MONTH(Datos[[#This Row],[Fecha]])/6,0))</f>
        <v>Sem 2</v>
      </c>
      <c r="G587" t="s">
        <v>246</v>
      </c>
      <c r="H587" t="s">
        <v>247</v>
      </c>
      <c r="I587" t="s">
        <v>24</v>
      </c>
      <c r="J587" t="s">
        <v>156</v>
      </c>
      <c r="K587" t="s">
        <v>85</v>
      </c>
      <c r="L587" t="s">
        <v>27</v>
      </c>
      <c r="M587">
        <v>0</v>
      </c>
      <c r="N587" s="1">
        <v>45121</v>
      </c>
      <c r="O587" s="1">
        <v>45148</v>
      </c>
      <c r="P587" t="s">
        <v>28</v>
      </c>
      <c r="Q587">
        <f>+IF(OR(Datos[[#This Row],[Diagnostico]]="Inservible",Datos[[#This Row],[Estatus]]="Preventivo"),0,Datos[[#This Row],[Fecha_Final]]-Datos[[#This Row],[Día_Inicio]])</f>
        <v>0</v>
      </c>
      <c r="R587" s="2">
        <v>0</v>
      </c>
      <c r="S587" s="2">
        <v>0</v>
      </c>
      <c r="T587" t="s">
        <v>29</v>
      </c>
    </row>
    <row r="588" spans="1:20" x14ac:dyDescent="0.25">
      <c r="A588" t="s">
        <v>769</v>
      </c>
      <c r="B588" s="1">
        <v>45121</v>
      </c>
      <c r="C588" t="s">
        <v>741</v>
      </c>
      <c r="D588">
        <v>7</v>
      </c>
      <c r="E588" t="str">
        <f>+CONCATENATE("T",ROUNDUP(MONTH(Datos[[#This Row],[Fecha]])/3,0))</f>
        <v>T3</v>
      </c>
      <c r="F588" t="str">
        <f>+CONCATENATE("Sem"," ",ROUNDUP(MONTH(Datos[[#This Row],[Fecha]])/6,0))</f>
        <v>Sem 2</v>
      </c>
      <c r="G588" t="s">
        <v>206</v>
      </c>
      <c r="H588" t="s">
        <v>207</v>
      </c>
      <c r="I588" t="s">
        <v>24</v>
      </c>
      <c r="J588" t="s">
        <v>160</v>
      </c>
      <c r="K588" t="s">
        <v>39</v>
      </c>
      <c r="L588" t="s">
        <v>40</v>
      </c>
      <c r="M588" t="s">
        <v>103</v>
      </c>
      <c r="N588" s="1">
        <v>45121</v>
      </c>
      <c r="O588" s="1">
        <v>45136</v>
      </c>
      <c r="P588" t="s">
        <v>29</v>
      </c>
      <c r="Q588">
        <f>+IF(OR(Datos[[#This Row],[Diagnostico]]="Inservible",Datos[[#This Row],[Estatus]]="Preventivo"),0,Datos[[#This Row],[Fecha_Final]]-Datos[[#This Row],[Día_Inicio]])</f>
        <v>0</v>
      </c>
      <c r="R588" s="2">
        <v>491</v>
      </c>
      <c r="S588" s="2">
        <v>437</v>
      </c>
      <c r="T588" t="s">
        <v>42</v>
      </c>
    </row>
    <row r="589" spans="1:20" x14ac:dyDescent="0.25">
      <c r="A589" t="s">
        <v>770</v>
      </c>
      <c r="B589" s="1">
        <v>45122</v>
      </c>
      <c r="C589" t="s">
        <v>741</v>
      </c>
      <c r="D589">
        <v>7</v>
      </c>
      <c r="E589" t="str">
        <f>+CONCATENATE("T",ROUNDUP(MONTH(Datos[[#This Row],[Fecha]])/3,0))</f>
        <v>T3</v>
      </c>
      <c r="F589" t="str">
        <f>+CONCATENATE("Sem"," ",ROUNDUP(MONTH(Datos[[#This Row],[Fecha]])/6,0))</f>
        <v>Sem 2</v>
      </c>
      <c r="G589" t="s">
        <v>180</v>
      </c>
      <c r="H589" t="s">
        <v>181</v>
      </c>
      <c r="I589" t="s">
        <v>24</v>
      </c>
      <c r="J589" t="s">
        <v>127</v>
      </c>
      <c r="K589" t="s">
        <v>172</v>
      </c>
      <c r="L589" t="s">
        <v>27</v>
      </c>
      <c r="M589">
        <v>0</v>
      </c>
      <c r="N589" s="1">
        <v>45122</v>
      </c>
      <c r="O589" s="1">
        <v>45135</v>
      </c>
      <c r="P589" t="s">
        <v>58</v>
      </c>
      <c r="Q589">
        <f>+IF(OR(Datos[[#This Row],[Diagnostico]]="Inservible",Datos[[#This Row],[Estatus]]="Preventivo"),0,Datos[[#This Row],[Fecha_Final]]-Datos[[#This Row],[Día_Inicio]])</f>
        <v>13</v>
      </c>
      <c r="R589" s="2">
        <v>1193</v>
      </c>
      <c r="S589" s="2">
        <v>189</v>
      </c>
      <c r="T589" t="s">
        <v>59</v>
      </c>
    </row>
    <row r="590" spans="1:20" x14ac:dyDescent="0.25">
      <c r="A590" t="s">
        <v>771</v>
      </c>
      <c r="B590" s="1">
        <v>45122</v>
      </c>
      <c r="C590" t="s">
        <v>741</v>
      </c>
      <c r="D590">
        <v>7</v>
      </c>
      <c r="E590" t="str">
        <f>+CONCATENATE("T",ROUNDUP(MONTH(Datos[[#This Row],[Fecha]])/3,0))</f>
        <v>T3</v>
      </c>
      <c r="F590" t="str">
        <f>+CONCATENATE("Sem"," ",ROUNDUP(MONTH(Datos[[#This Row],[Fecha]])/6,0))</f>
        <v>Sem 2</v>
      </c>
      <c r="G590" t="s">
        <v>202</v>
      </c>
      <c r="H590" t="s">
        <v>203</v>
      </c>
      <c r="I590" t="s">
        <v>24</v>
      </c>
      <c r="J590" t="s">
        <v>204</v>
      </c>
      <c r="K590" t="s">
        <v>39</v>
      </c>
      <c r="L590" t="s">
        <v>40</v>
      </c>
      <c r="M590" t="s">
        <v>51</v>
      </c>
      <c r="N590" s="1">
        <v>45122</v>
      </c>
      <c r="O590" s="1">
        <v>45182</v>
      </c>
      <c r="P590" t="s">
        <v>29</v>
      </c>
      <c r="Q590">
        <f>+IF(OR(Datos[[#This Row],[Diagnostico]]="Inservible",Datos[[#This Row],[Estatus]]="Preventivo"),0,Datos[[#This Row],[Fecha_Final]]-Datos[[#This Row],[Día_Inicio]])</f>
        <v>0</v>
      </c>
      <c r="R590" s="2">
        <v>688</v>
      </c>
      <c r="S590" s="2">
        <v>436</v>
      </c>
      <c r="T590" t="s">
        <v>42</v>
      </c>
    </row>
    <row r="591" spans="1:20" x14ac:dyDescent="0.25">
      <c r="A591" t="s">
        <v>772</v>
      </c>
      <c r="B591" s="1">
        <v>45122</v>
      </c>
      <c r="C591" t="s">
        <v>741</v>
      </c>
      <c r="D591">
        <v>7</v>
      </c>
      <c r="E591" t="str">
        <f>+CONCATENATE("T",ROUNDUP(MONTH(Datos[[#This Row],[Fecha]])/3,0))</f>
        <v>T3</v>
      </c>
      <c r="F591" t="str">
        <f>+CONCATENATE("Sem"," ",ROUNDUP(MONTH(Datos[[#This Row],[Fecha]])/6,0))</f>
        <v>Sem 2</v>
      </c>
      <c r="G591" t="s">
        <v>116</v>
      </c>
      <c r="H591" t="s">
        <v>117</v>
      </c>
      <c r="I591" t="s">
        <v>24</v>
      </c>
      <c r="J591" t="s">
        <v>118</v>
      </c>
      <c r="K591" t="s">
        <v>178</v>
      </c>
      <c r="L591" t="s">
        <v>27</v>
      </c>
      <c r="M591">
        <v>0</v>
      </c>
      <c r="N591" s="1">
        <v>45122</v>
      </c>
      <c r="O591" s="1">
        <v>45147</v>
      </c>
      <c r="P591" t="s">
        <v>58</v>
      </c>
      <c r="Q591">
        <f>+IF(OR(Datos[[#This Row],[Diagnostico]]="Inservible",Datos[[#This Row],[Estatus]]="Preventivo"),0,Datos[[#This Row],[Fecha_Final]]-Datos[[#This Row],[Día_Inicio]])</f>
        <v>25</v>
      </c>
      <c r="R591" s="2">
        <v>804</v>
      </c>
      <c r="S591" s="2">
        <v>484</v>
      </c>
      <c r="T591" t="s">
        <v>42</v>
      </c>
    </row>
    <row r="592" spans="1:20" x14ac:dyDescent="0.25">
      <c r="A592" t="s">
        <v>773</v>
      </c>
      <c r="B592" s="1">
        <v>45122</v>
      </c>
      <c r="C592" t="s">
        <v>741</v>
      </c>
      <c r="D592">
        <v>7</v>
      </c>
      <c r="E592" t="str">
        <f>+CONCATENATE("T",ROUNDUP(MONTH(Datos[[#This Row],[Fecha]])/3,0))</f>
        <v>T3</v>
      </c>
      <c r="F592" t="str">
        <f>+CONCATENATE("Sem"," ",ROUNDUP(MONTH(Datos[[#This Row],[Fecha]])/6,0))</f>
        <v>Sem 2</v>
      </c>
      <c r="G592" t="s">
        <v>183</v>
      </c>
      <c r="H592" t="s">
        <v>184</v>
      </c>
      <c r="I592" t="s">
        <v>24</v>
      </c>
      <c r="J592" t="s">
        <v>139</v>
      </c>
      <c r="K592" t="s">
        <v>39</v>
      </c>
      <c r="L592" t="s">
        <v>40</v>
      </c>
      <c r="M592" t="s">
        <v>196</v>
      </c>
      <c r="N592" s="1">
        <v>45122</v>
      </c>
      <c r="O592" s="1">
        <v>45152</v>
      </c>
      <c r="P592" t="s">
        <v>29</v>
      </c>
      <c r="Q592">
        <f>+IF(OR(Datos[[#This Row],[Diagnostico]]="Inservible",Datos[[#This Row],[Estatus]]="Preventivo"),0,Datos[[#This Row],[Fecha_Final]]-Datos[[#This Row],[Día_Inicio]])</f>
        <v>0</v>
      </c>
      <c r="R592" s="2">
        <v>349</v>
      </c>
      <c r="S592" s="2">
        <v>702</v>
      </c>
      <c r="T592" t="s">
        <v>42</v>
      </c>
    </row>
    <row r="593" spans="1:20" x14ac:dyDescent="0.25">
      <c r="A593" t="s">
        <v>774</v>
      </c>
      <c r="B593" s="1">
        <v>45122</v>
      </c>
      <c r="C593" t="s">
        <v>741</v>
      </c>
      <c r="D593">
        <v>7</v>
      </c>
      <c r="E593" t="str">
        <f>+CONCATENATE("T",ROUNDUP(MONTH(Datos[[#This Row],[Fecha]])/3,0))</f>
        <v>T3</v>
      </c>
      <c r="F593" t="str">
        <f>+CONCATENATE("Sem"," ",ROUNDUP(MONTH(Datos[[#This Row],[Fecha]])/6,0))</f>
        <v>Sem 2</v>
      </c>
      <c r="G593" t="s">
        <v>169</v>
      </c>
      <c r="H593" t="s">
        <v>170</v>
      </c>
      <c r="I593" t="s">
        <v>68</v>
      </c>
      <c r="J593" t="s">
        <v>171</v>
      </c>
      <c r="K593" t="s">
        <v>110</v>
      </c>
      <c r="L593" t="s">
        <v>27</v>
      </c>
      <c r="M593">
        <v>0</v>
      </c>
      <c r="N593" s="1">
        <v>45122</v>
      </c>
      <c r="O593" s="1">
        <v>45152</v>
      </c>
      <c r="P593" t="s">
        <v>58</v>
      </c>
      <c r="Q593">
        <f>+IF(OR(Datos[[#This Row],[Diagnostico]]="Inservible",Datos[[#This Row],[Estatus]]="Preventivo"),0,Datos[[#This Row],[Fecha_Final]]-Datos[[#This Row],[Día_Inicio]])</f>
        <v>30</v>
      </c>
      <c r="R593" s="2">
        <v>668</v>
      </c>
      <c r="S593" s="2">
        <v>446</v>
      </c>
      <c r="T593" t="s">
        <v>91</v>
      </c>
    </row>
    <row r="594" spans="1:20" x14ac:dyDescent="0.25">
      <c r="A594" t="s">
        <v>775</v>
      </c>
      <c r="B594" s="1">
        <v>45122</v>
      </c>
      <c r="C594" t="s">
        <v>741</v>
      </c>
      <c r="D594">
        <v>7</v>
      </c>
      <c r="E594" t="str">
        <f>+CONCATENATE("T",ROUNDUP(MONTH(Datos[[#This Row],[Fecha]])/3,0))</f>
        <v>T3</v>
      </c>
      <c r="F594" t="str">
        <f>+CONCATENATE("Sem"," ",ROUNDUP(MONTH(Datos[[#This Row],[Fecha]])/6,0))</f>
        <v>Sem 2</v>
      </c>
      <c r="G594" t="s">
        <v>49</v>
      </c>
      <c r="H594" t="s">
        <v>23</v>
      </c>
      <c r="I594" t="s">
        <v>24</v>
      </c>
      <c r="J594" t="s">
        <v>50</v>
      </c>
      <c r="K594" t="s">
        <v>39</v>
      </c>
      <c r="L594" t="s">
        <v>40</v>
      </c>
      <c r="M594" t="s">
        <v>188</v>
      </c>
      <c r="N594" s="1">
        <v>45122</v>
      </c>
      <c r="O594" s="1">
        <v>45302</v>
      </c>
      <c r="P594" t="s">
        <v>29</v>
      </c>
      <c r="Q594">
        <f>+IF(OR(Datos[[#This Row],[Diagnostico]]="Inservible",Datos[[#This Row],[Estatus]]="Preventivo"),0,Datos[[#This Row],[Fecha_Final]]-Datos[[#This Row],[Día_Inicio]])</f>
        <v>0</v>
      </c>
      <c r="R594" s="2">
        <v>808</v>
      </c>
      <c r="S594" s="2">
        <v>359</v>
      </c>
      <c r="T594" t="s">
        <v>42</v>
      </c>
    </row>
    <row r="595" spans="1:20" x14ac:dyDescent="0.25">
      <c r="A595" t="s">
        <v>776</v>
      </c>
      <c r="B595" s="1">
        <v>45123</v>
      </c>
      <c r="C595" t="s">
        <v>741</v>
      </c>
      <c r="D595">
        <v>7</v>
      </c>
      <c r="E595" t="str">
        <f>+CONCATENATE("T",ROUNDUP(MONTH(Datos[[#This Row],[Fecha]])/3,0))</f>
        <v>T3</v>
      </c>
      <c r="F595" t="str">
        <f>+CONCATENATE("Sem"," ",ROUNDUP(MONTH(Datos[[#This Row],[Fecha]])/6,0))</f>
        <v>Sem 2</v>
      </c>
      <c r="G595" t="s">
        <v>206</v>
      </c>
      <c r="H595" t="s">
        <v>207</v>
      </c>
      <c r="I595" t="s">
        <v>24</v>
      </c>
      <c r="J595" t="s">
        <v>160</v>
      </c>
      <c r="K595" t="s">
        <v>119</v>
      </c>
      <c r="L595" t="s">
        <v>27</v>
      </c>
      <c r="M595">
        <v>0</v>
      </c>
      <c r="N595" s="1">
        <v>45123</v>
      </c>
      <c r="O595" s="1">
        <v>45147</v>
      </c>
      <c r="P595" t="s">
        <v>58</v>
      </c>
      <c r="Q595">
        <f>+IF(OR(Datos[[#This Row],[Diagnostico]]="Inservible",Datos[[#This Row],[Estatus]]="Preventivo"),0,Datos[[#This Row],[Fecha_Final]]-Datos[[#This Row],[Día_Inicio]])</f>
        <v>24</v>
      </c>
      <c r="R595" s="2">
        <v>964</v>
      </c>
      <c r="S595" s="2">
        <v>328</v>
      </c>
      <c r="T595" t="s">
        <v>64</v>
      </c>
    </row>
    <row r="596" spans="1:20" x14ac:dyDescent="0.25">
      <c r="A596" t="s">
        <v>777</v>
      </c>
      <c r="B596" s="1">
        <v>45123</v>
      </c>
      <c r="C596" t="s">
        <v>741</v>
      </c>
      <c r="D596">
        <v>7</v>
      </c>
      <c r="E596" t="str">
        <f>+CONCATENATE("T",ROUNDUP(MONTH(Datos[[#This Row],[Fecha]])/3,0))</f>
        <v>T3</v>
      </c>
      <c r="F596" t="str">
        <f>+CONCATENATE("Sem"," ",ROUNDUP(MONTH(Datos[[#This Row],[Fecha]])/6,0))</f>
        <v>Sem 2</v>
      </c>
      <c r="G596" t="s">
        <v>137</v>
      </c>
      <c r="H596" t="s">
        <v>138</v>
      </c>
      <c r="I596" t="s">
        <v>68</v>
      </c>
      <c r="J596" t="s">
        <v>139</v>
      </c>
      <c r="K596" t="s">
        <v>39</v>
      </c>
      <c r="L596" t="s">
        <v>40</v>
      </c>
      <c r="M596" t="s">
        <v>75</v>
      </c>
      <c r="N596" s="1">
        <v>45123</v>
      </c>
      <c r="O596" s="1">
        <v>45483</v>
      </c>
      <c r="P596" t="s">
        <v>29</v>
      </c>
      <c r="Q596">
        <f>+IF(OR(Datos[[#This Row],[Diagnostico]]="Inservible",Datos[[#This Row],[Estatus]]="Preventivo"),0,Datos[[#This Row],[Fecha_Final]]-Datos[[#This Row],[Día_Inicio]])</f>
        <v>0</v>
      </c>
      <c r="R596" s="2">
        <v>1035</v>
      </c>
      <c r="S596" s="2">
        <v>331</v>
      </c>
      <c r="T596" t="s">
        <v>42</v>
      </c>
    </row>
    <row r="597" spans="1:20" x14ac:dyDescent="0.25">
      <c r="A597" t="s">
        <v>778</v>
      </c>
      <c r="B597" s="1">
        <v>45123</v>
      </c>
      <c r="C597" t="s">
        <v>741</v>
      </c>
      <c r="D597">
        <v>7</v>
      </c>
      <c r="E597" t="str">
        <f>+CONCATENATE("T",ROUNDUP(MONTH(Datos[[#This Row],[Fecha]])/3,0))</f>
        <v>T3</v>
      </c>
      <c r="F597" t="str">
        <f>+CONCATENATE("Sem"," ",ROUNDUP(MONTH(Datos[[#This Row],[Fecha]])/6,0))</f>
        <v>Sem 2</v>
      </c>
      <c r="G597" t="s">
        <v>72</v>
      </c>
      <c r="H597" t="s">
        <v>73</v>
      </c>
      <c r="I597" t="s">
        <v>24</v>
      </c>
      <c r="J597" t="s">
        <v>74</v>
      </c>
      <c r="K597" t="s">
        <v>128</v>
      </c>
      <c r="L597" t="s">
        <v>27</v>
      </c>
      <c r="M597">
        <v>0</v>
      </c>
      <c r="N597" s="1">
        <v>45123</v>
      </c>
      <c r="O597" s="1">
        <v>45141</v>
      </c>
      <c r="P597" t="s">
        <v>28</v>
      </c>
      <c r="Q597">
        <f>+IF(OR(Datos[[#This Row],[Diagnostico]]="Inservible",Datos[[#This Row],[Estatus]]="Preventivo"),0,Datos[[#This Row],[Fecha_Final]]-Datos[[#This Row],[Día_Inicio]])</f>
        <v>0</v>
      </c>
      <c r="R597" s="2">
        <v>0</v>
      </c>
      <c r="S597" s="2">
        <v>0</v>
      </c>
      <c r="T597" t="s">
        <v>29</v>
      </c>
    </row>
    <row r="598" spans="1:20" x14ac:dyDescent="0.25">
      <c r="A598" t="s">
        <v>779</v>
      </c>
      <c r="B598" s="1">
        <v>45123</v>
      </c>
      <c r="C598" t="s">
        <v>741</v>
      </c>
      <c r="D598">
        <v>7</v>
      </c>
      <c r="E598" t="str">
        <f>+CONCATENATE("T",ROUNDUP(MONTH(Datos[[#This Row],[Fecha]])/3,0))</f>
        <v>T3</v>
      </c>
      <c r="F598" t="str">
        <f>+CONCATENATE("Sem"," ",ROUNDUP(MONTH(Datos[[#This Row],[Fecha]])/6,0))</f>
        <v>Sem 2</v>
      </c>
      <c r="G598" t="s">
        <v>137</v>
      </c>
      <c r="H598" t="s">
        <v>138</v>
      </c>
      <c r="I598" t="s">
        <v>68</v>
      </c>
      <c r="J598" t="s">
        <v>139</v>
      </c>
      <c r="K598" t="s">
        <v>130</v>
      </c>
      <c r="L598" t="s">
        <v>27</v>
      </c>
      <c r="M598">
        <v>0</v>
      </c>
      <c r="N598" s="1">
        <v>45123</v>
      </c>
      <c r="O598" s="1">
        <v>45144</v>
      </c>
      <c r="P598" t="s">
        <v>28</v>
      </c>
      <c r="Q598">
        <f>+IF(OR(Datos[[#This Row],[Diagnostico]]="Inservible",Datos[[#This Row],[Estatus]]="Preventivo"),0,Datos[[#This Row],[Fecha_Final]]-Datos[[#This Row],[Día_Inicio]])</f>
        <v>0</v>
      </c>
      <c r="R598" s="2">
        <v>0</v>
      </c>
      <c r="S598" s="2">
        <v>0</v>
      </c>
      <c r="T598" t="s">
        <v>29</v>
      </c>
    </row>
    <row r="599" spans="1:20" x14ac:dyDescent="0.25">
      <c r="A599" t="s">
        <v>780</v>
      </c>
      <c r="B599" s="1">
        <v>45123</v>
      </c>
      <c r="C599" t="s">
        <v>741</v>
      </c>
      <c r="D599">
        <v>7</v>
      </c>
      <c r="E599" t="str">
        <f>+CONCATENATE("T",ROUNDUP(MONTH(Datos[[#This Row],[Fecha]])/3,0))</f>
        <v>T3</v>
      </c>
      <c r="F599" t="str">
        <f>+CONCATENATE("Sem"," ",ROUNDUP(MONTH(Datos[[#This Row],[Fecha]])/6,0))</f>
        <v>Sem 2</v>
      </c>
      <c r="G599" t="s">
        <v>77</v>
      </c>
      <c r="H599" t="s">
        <v>78</v>
      </c>
      <c r="I599" t="s">
        <v>24</v>
      </c>
      <c r="J599" t="s">
        <v>79</v>
      </c>
      <c r="K599" t="s">
        <v>135</v>
      </c>
      <c r="L599" t="s">
        <v>27</v>
      </c>
      <c r="M599">
        <v>0</v>
      </c>
      <c r="N599" s="1">
        <v>45123</v>
      </c>
      <c r="O599" s="1">
        <v>45131</v>
      </c>
      <c r="P599" t="s">
        <v>58</v>
      </c>
      <c r="Q599">
        <f>+IF(OR(Datos[[#This Row],[Diagnostico]]="Inservible",Datos[[#This Row],[Estatus]]="Preventivo"),0,Datos[[#This Row],[Fecha_Final]]-Datos[[#This Row],[Día_Inicio]])</f>
        <v>8</v>
      </c>
      <c r="R599" s="2">
        <v>448</v>
      </c>
      <c r="S599" s="2">
        <v>734</v>
      </c>
      <c r="T599" t="s">
        <v>64</v>
      </c>
    </row>
    <row r="600" spans="1:20" x14ac:dyDescent="0.25">
      <c r="A600" t="s">
        <v>781</v>
      </c>
      <c r="B600" s="1">
        <v>45124</v>
      </c>
      <c r="C600" t="s">
        <v>741</v>
      </c>
      <c r="D600">
        <v>7</v>
      </c>
      <c r="E600" t="str">
        <f>+CONCATENATE("T",ROUNDUP(MONTH(Datos[[#This Row],[Fecha]])/3,0))</f>
        <v>T3</v>
      </c>
      <c r="F600" t="str">
        <f>+CONCATENATE("Sem"," ",ROUNDUP(MONTH(Datos[[#This Row],[Fecha]])/6,0))</f>
        <v>Sem 2</v>
      </c>
      <c r="G600" t="s">
        <v>246</v>
      </c>
      <c r="H600" t="s">
        <v>247</v>
      </c>
      <c r="I600" t="s">
        <v>24</v>
      </c>
      <c r="J600" t="s">
        <v>156</v>
      </c>
      <c r="K600" t="s">
        <v>39</v>
      </c>
      <c r="L600" t="s">
        <v>40</v>
      </c>
      <c r="M600" t="s">
        <v>51</v>
      </c>
      <c r="N600" s="1">
        <v>45124</v>
      </c>
      <c r="O600" s="1">
        <v>45184</v>
      </c>
      <c r="P600" t="s">
        <v>29</v>
      </c>
      <c r="Q600">
        <f>+IF(OR(Datos[[#This Row],[Diagnostico]]="Inservible",Datos[[#This Row],[Estatus]]="Preventivo"),0,Datos[[#This Row],[Fecha_Final]]-Datos[[#This Row],[Día_Inicio]])</f>
        <v>0</v>
      </c>
      <c r="R600" s="2">
        <v>903</v>
      </c>
      <c r="S600" s="2">
        <v>273</v>
      </c>
      <c r="T600" t="s">
        <v>42</v>
      </c>
    </row>
    <row r="601" spans="1:20" x14ac:dyDescent="0.25">
      <c r="A601" t="s">
        <v>782</v>
      </c>
      <c r="B601" s="1">
        <v>45124</v>
      </c>
      <c r="C601" t="s">
        <v>741</v>
      </c>
      <c r="D601">
        <v>7</v>
      </c>
      <c r="E601" t="str">
        <f>+CONCATENATE("T",ROUNDUP(MONTH(Datos[[#This Row],[Fecha]])/3,0))</f>
        <v>T3</v>
      </c>
      <c r="F601" t="str">
        <f>+CONCATENATE("Sem"," ",ROUNDUP(MONTH(Datos[[#This Row],[Fecha]])/6,0))</f>
        <v>Sem 2</v>
      </c>
      <c r="G601" t="s">
        <v>49</v>
      </c>
      <c r="H601" t="s">
        <v>23</v>
      </c>
      <c r="I601" t="s">
        <v>24</v>
      </c>
      <c r="J601" t="s">
        <v>50</v>
      </c>
      <c r="K601" t="s">
        <v>34</v>
      </c>
      <c r="L601" t="s">
        <v>27</v>
      </c>
      <c r="M601">
        <v>0</v>
      </c>
      <c r="N601" s="1">
        <v>45124</v>
      </c>
      <c r="O601" s="1">
        <v>45146</v>
      </c>
      <c r="P601" t="s">
        <v>58</v>
      </c>
      <c r="Q601">
        <f>+IF(OR(Datos[[#This Row],[Diagnostico]]="Inservible",Datos[[#This Row],[Estatus]]="Preventivo"),0,Datos[[#This Row],[Fecha_Final]]-Datos[[#This Row],[Día_Inicio]])</f>
        <v>22</v>
      </c>
      <c r="R601" s="2">
        <v>439</v>
      </c>
      <c r="S601" s="2">
        <v>970</v>
      </c>
      <c r="T601" t="s">
        <v>91</v>
      </c>
    </row>
    <row r="602" spans="1:20" x14ac:dyDescent="0.25">
      <c r="A602" t="s">
        <v>783</v>
      </c>
      <c r="B602" s="1">
        <v>45124</v>
      </c>
      <c r="C602" t="s">
        <v>741</v>
      </c>
      <c r="D602">
        <v>7</v>
      </c>
      <c r="E602" t="str">
        <f>+CONCATENATE("T",ROUNDUP(MONTH(Datos[[#This Row],[Fecha]])/3,0))</f>
        <v>T3</v>
      </c>
      <c r="F602" t="str">
        <f>+CONCATENATE("Sem"," ",ROUNDUP(MONTH(Datos[[#This Row],[Fecha]])/6,0))</f>
        <v>Sem 2</v>
      </c>
      <c r="G602" t="s">
        <v>225</v>
      </c>
      <c r="H602" t="s">
        <v>226</v>
      </c>
      <c r="I602" t="s">
        <v>227</v>
      </c>
      <c r="J602" t="s">
        <v>89</v>
      </c>
      <c r="K602" t="s">
        <v>39</v>
      </c>
      <c r="L602" t="s">
        <v>27</v>
      </c>
      <c r="M602">
        <v>0</v>
      </c>
      <c r="N602" s="1">
        <v>45124</v>
      </c>
      <c r="O602" s="1">
        <v>45148</v>
      </c>
      <c r="P602" t="s">
        <v>28</v>
      </c>
      <c r="Q602">
        <f>+IF(OR(Datos[[#This Row],[Diagnostico]]="Inservible",Datos[[#This Row],[Estatus]]="Preventivo"),0,Datos[[#This Row],[Fecha_Final]]-Datos[[#This Row],[Día_Inicio]])</f>
        <v>0</v>
      </c>
      <c r="R602" s="2">
        <v>0</v>
      </c>
      <c r="S602" s="2">
        <v>0</v>
      </c>
      <c r="T602" t="s">
        <v>29</v>
      </c>
    </row>
    <row r="603" spans="1:20" x14ac:dyDescent="0.25">
      <c r="A603" t="s">
        <v>784</v>
      </c>
      <c r="B603" s="1">
        <v>45125</v>
      </c>
      <c r="C603" t="s">
        <v>741</v>
      </c>
      <c r="D603">
        <v>7</v>
      </c>
      <c r="E603" t="str">
        <f>+CONCATENATE("T",ROUNDUP(MONTH(Datos[[#This Row],[Fecha]])/3,0))</f>
        <v>T3</v>
      </c>
      <c r="F603" t="str">
        <f>+CONCATENATE("Sem"," ",ROUNDUP(MONTH(Datos[[#This Row],[Fecha]])/6,0))</f>
        <v>Sem 2</v>
      </c>
      <c r="G603" t="s">
        <v>141</v>
      </c>
      <c r="H603" t="s">
        <v>142</v>
      </c>
      <c r="I603" t="s">
        <v>24</v>
      </c>
      <c r="J603" t="s">
        <v>143</v>
      </c>
      <c r="K603" t="s">
        <v>47</v>
      </c>
      <c r="L603" t="s">
        <v>27</v>
      </c>
      <c r="M603">
        <v>0</v>
      </c>
      <c r="N603" s="1">
        <v>45125</v>
      </c>
      <c r="O603" s="1">
        <v>45148</v>
      </c>
      <c r="P603" t="s">
        <v>58</v>
      </c>
      <c r="Q603">
        <f>+IF(OR(Datos[[#This Row],[Diagnostico]]="Inservible",Datos[[#This Row],[Estatus]]="Preventivo"),0,Datos[[#This Row],[Fecha_Final]]-Datos[[#This Row],[Día_Inicio]])</f>
        <v>23</v>
      </c>
      <c r="R603" s="2">
        <v>813</v>
      </c>
      <c r="S603" s="2">
        <v>193</v>
      </c>
      <c r="T603" t="s">
        <v>91</v>
      </c>
    </row>
    <row r="604" spans="1:20" x14ac:dyDescent="0.25">
      <c r="A604" t="s">
        <v>785</v>
      </c>
      <c r="B604" s="1">
        <v>45125</v>
      </c>
      <c r="C604" t="s">
        <v>741</v>
      </c>
      <c r="D604">
        <v>7</v>
      </c>
      <c r="E604" t="str">
        <f>+CONCATENATE("T",ROUNDUP(MONTH(Datos[[#This Row],[Fecha]])/3,0))</f>
        <v>T3</v>
      </c>
      <c r="F604" t="str">
        <f>+CONCATENATE("Sem"," ",ROUNDUP(MONTH(Datos[[#This Row],[Fecha]])/6,0))</f>
        <v>Sem 2</v>
      </c>
      <c r="G604" t="s">
        <v>286</v>
      </c>
      <c r="H604" t="s">
        <v>287</v>
      </c>
      <c r="I604" t="s">
        <v>24</v>
      </c>
      <c r="J604" t="s">
        <v>38</v>
      </c>
      <c r="K604" t="s">
        <v>147</v>
      </c>
      <c r="L604" t="s">
        <v>27</v>
      </c>
      <c r="M604">
        <v>0</v>
      </c>
      <c r="N604" s="1">
        <v>45125</v>
      </c>
      <c r="O604" s="1">
        <v>45130</v>
      </c>
      <c r="P604" t="s">
        <v>28</v>
      </c>
      <c r="Q604">
        <f>+IF(OR(Datos[[#This Row],[Diagnostico]]="Inservible",Datos[[#This Row],[Estatus]]="Preventivo"),0,Datos[[#This Row],[Fecha_Final]]-Datos[[#This Row],[Día_Inicio]])</f>
        <v>0</v>
      </c>
      <c r="R604" s="2">
        <v>0</v>
      </c>
      <c r="S604" s="2">
        <v>0</v>
      </c>
      <c r="T604" t="s">
        <v>29</v>
      </c>
    </row>
    <row r="605" spans="1:20" x14ac:dyDescent="0.25">
      <c r="A605" t="s">
        <v>786</v>
      </c>
      <c r="B605" s="1">
        <v>45125</v>
      </c>
      <c r="C605" t="s">
        <v>741</v>
      </c>
      <c r="D605">
        <v>7</v>
      </c>
      <c r="E605" t="str">
        <f>+CONCATENATE("T",ROUNDUP(MONTH(Datos[[#This Row],[Fecha]])/3,0))</f>
        <v>T3</v>
      </c>
      <c r="F605" t="str">
        <f>+CONCATENATE("Sem"," ",ROUNDUP(MONTH(Datos[[#This Row],[Fecha]])/6,0))</f>
        <v>Sem 2</v>
      </c>
      <c r="G605" t="s">
        <v>82</v>
      </c>
      <c r="H605" t="s">
        <v>83</v>
      </c>
      <c r="I605" t="s">
        <v>24</v>
      </c>
      <c r="J605" t="s">
        <v>84</v>
      </c>
      <c r="K605" t="s">
        <v>57</v>
      </c>
      <c r="L605" t="s">
        <v>27</v>
      </c>
      <c r="M605">
        <v>0</v>
      </c>
      <c r="N605" s="1">
        <v>45125</v>
      </c>
      <c r="O605" s="1">
        <v>45152</v>
      </c>
      <c r="P605" t="s">
        <v>28</v>
      </c>
      <c r="Q605">
        <f>+IF(OR(Datos[[#This Row],[Diagnostico]]="Inservible",Datos[[#This Row],[Estatus]]="Preventivo"),0,Datos[[#This Row],[Fecha_Final]]-Datos[[#This Row],[Día_Inicio]])</f>
        <v>0</v>
      </c>
      <c r="R605" s="2">
        <v>0</v>
      </c>
      <c r="S605" s="2">
        <v>0</v>
      </c>
      <c r="T605" t="s">
        <v>29</v>
      </c>
    </row>
    <row r="606" spans="1:20" x14ac:dyDescent="0.25">
      <c r="A606" t="s">
        <v>787</v>
      </c>
      <c r="B606" s="1">
        <v>45126</v>
      </c>
      <c r="C606" t="s">
        <v>741</v>
      </c>
      <c r="D606">
        <v>7</v>
      </c>
      <c r="E606" t="str">
        <f>+CONCATENATE("T",ROUNDUP(MONTH(Datos[[#This Row],[Fecha]])/3,0))</f>
        <v>T3</v>
      </c>
      <c r="F606" t="str">
        <f>+CONCATENATE("Sem"," ",ROUNDUP(MONTH(Datos[[#This Row],[Fecha]])/6,0))</f>
        <v>Sem 2</v>
      </c>
      <c r="G606" t="s">
        <v>49</v>
      </c>
      <c r="H606" t="s">
        <v>23</v>
      </c>
      <c r="I606" t="s">
        <v>24</v>
      </c>
      <c r="J606" t="s">
        <v>50</v>
      </c>
      <c r="K606" t="s">
        <v>39</v>
      </c>
      <c r="L606" t="s">
        <v>40</v>
      </c>
      <c r="M606" t="s">
        <v>208</v>
      </c>
      <c r="N606" s="1">
        <v>45126</v>
      </c>
      <c r="O606" s="1">
        <v>45133</v>
      </c>
      <c r="P606" t="s">
        <v>29</v>
      </c>
      <c r="Q606">
        <f>+IF(OR(Datos[[#This Row],[Diagnostico]]="Inservible",Datos[[#This Row],[Estatus]]="Preventivo"),0,Datos[[#This Row],[Fecha_Final]]-Datos[[#This Row],[Día_Inicio]])</f>
        <v>0</v>
      </c>
      <c r="R606" s="2">
        <v>1120</v>
      </c>
      <c r="S606" s="2">
        <v>517</v>
      </c>
      <c r="T606" t="s">
        <v>42</v>
      </c>
    </row>
    <row r="607" spans="1:20" x14ac:dyDescent="0.25">
      <c r="A607" t="s">
        <v>788</v>
      </c>
      <c r="B607" s="1">
        <v>45126</v>
      </c>
      <c r="C607" t="s">
        <v>741</v>
      </c>
      <c r="D607">
        <v>7</v>
      </c>
      <c r="E607" t="str">
        <f>+CONCATENATE("T",ROUNDUP(MONTH(Datos[[#This Row],[Fecha]])/3,0))</f>
        <v>T3</v>
      </c>
      <c r="F607" t="str">
        <f>+CONCATENATE("Sem"," ",ROUNDUP(MONTH(Datos[[#This Row],[Fecha]])/6,0))</f>
        <v>Sem 2</v>
      </c>
      <c r="G607" t="s">
        <v>112</v>
      </c>
      <c r="H607" t="s">
        <v>113</v>
      </c>
      <c r="I607" t="s">
        <v>24</v>
      </c>
      <c r="J607" t="s">
        <v>79</v>
      </c>
      <c r="K607" t="s">
        <v>70</v>
      </c>
      <c r="L607" t="s">
        <v>27</v>
      </c>
      <c r="M607">
        <v>0</v>
      </c>
      <c r="N607" s="1">
        <v>45126</v>
      </c>
      <c r="O607" s="1">
        <v>45142</v>
      </c>
      <c r="P607" t="s">
        <v>58</v>
      </c>
      <c r="Q607">
        <f>+IF(OR(Datos[[#This Row],[Diagnostico]]="Inservible",Datos[[#This Row],[Estatus]]="Preventivo"),0,Datos[[#This Row],[Fecha_Final]]-Datos[[#This Row],[Día_Inicio]])</f>
        <v>16</v>
      </c>
      <c r="R607" s="2">
        <v>848</v>
      </c>
      <c r="S607" s="2">
        <v>810</v>
      </c>
      <c r="T607" t="s">
        <v>59</v>
      </c>
    </row>
    <row r="608" spans="1:20" x14ac:dyDescent="0.25">
      <c r="A608" t="s">
        <v>789</v>
      </c>
      <c r="B608" s="1">
        <v>45127</v>
      </c>
      <c r="C608" t="s">
        <v>741</v>
      </c>
      <c r="D608">
        <v>7</v>
      </c>
      <c r="E608" t="str">
        <f>+CONCATENATE("T",ROUNDUP(MONTH(Datos[[#This Row],[Fecha]])/3,0))</f>
        <v>T3</v>
      </c>
      <c r="F608" t="str">
        <f>+CONCATENATE("Sem"," ",ROUNDUP(MONTH(Datos[[#This Row],[Fecha]])/6,0))</f>
        <v>Sem 2</v>
      </c>
      <c r="G608" t="s">
        <v>206</v>
      </c>
      <c r="H608" t="s">
        <v>207</v>
      </c>
      <c r="I608" t="s">
        <v>24</v>
      </c>
      <c r="J608" t="s">
        <v>160</v>
      </c>
      <c r="K608" t="s">
        <v>161</v>
      </c>
      <c r="L608" t="s">
        <v>27</v>
      </c>
      <c r="M608">
        <v>0</v>
      </c>
      <c r="N608" s="1">
        <v>45127</v>
      </c>
      <c r="O608" s="1">
        <v>45152</v>
      </c>
      <c r="P608" t="s">
        <v>28</v>
      </c>
      <c r="Q608">
        <f>+IF(OR(Datos[[#This Row],[Diagnostico]]="Inservible",Datos[[#This Row],[Estatus]]="Preventivo"),0,Datos[[#This Row],[Fecha_Final]]-Datos[[#This Row],[Día_Inicio]])</f>
        <v>0</v>
      </c>
      <c r="R608" s="2">
        <v>0</v>
      </c>
      <c r="S608" s="2">
        <v>0</v>
      </c>
      <c r="T608" t="s">
        <v>29</v>
      </c>
    </row>
    <row r="609" spans="1:20" x14ac:dyDescent="0.25">
      <c r="A609" t="s">
        <v>790</v>
      </c>
      <c r="B609" s="1">
        <v>45128</v>
      </c>
      <c r="C609" t="s">
        <v>741</v>
      </c>
      <c r="D609">
        <v>7</v>
      </c>
      <c r="E609" t="str">
        <f>+CONCATENATE("T",ROUNDUP(MONTH(Datos[[#This Row],[Fecha]])/3,0))</f>
        <v>T3</v>
      </c>
      <c r="F609" t="str">
        <f>+CONCATENATE("Sem"," ",ROUNDUP(MONTH(Datos[[#This Row],[Fecha]])/6,0))</f>
        <v>Sem 2</v>
      </c>
      <c r="G609" t="s">
        <v>206</v>
      </c>
      <c r="H609" t="s">
        <v>207</v>
      </c>
      <c r="I609" t="s">
        <v>24</v>
      </c>
      <c r="J609" t="s">
        <v>160</v>
      </c>
      <c r="K609" t="s">
        <v>80</v>
      </c>
      <c r="L609" t="s">
        <v>27</v>
      </c>
      <c r="M609">
        <v>0</v>
      </c>
      <c r="N609" s="1">
        <v>45128</v>
      </c>
      <c r="O609" s="1">
        <v>45149</v>
      </c>
      <c r="P609" t="s">
        <v>28</v>
      </c>
      <c r="Q609">
        <f>+IF(OR(Datos[[#This Row],[Diagnostico]]="Inservible",Datos[[#This Row],[Estatus]]="Preventivo"),0,Datos[[#This Row],[Fecha_Final]]-Datos[[#This Row],[Día_Inicio]])</f>
        <v>0</v>
      </c>
      <c r="R609" s="2">
        <v>0</v>
      </c>
      <c r="S609" s="2">
        <v>0</v>
      </c>
      <c r="T609" t="s">
        <v>29</v>
      </c>
    </row>
    <row r="610" spans="1:20" x14ac:dyDescent="0.25">
      <c r="A610" t="s">
        <v>791</v>
      </c>
      <c r="B610" s="1">
        <v>45128</v>
      </c>
      <c r="C610" t="s">
        <v>741</v>
      </c>
      <c r="D610">
        <v>7</v>
      </c>
      <c r="E610" t="str">
        <f>+CONCATENATE("T",ROUNDUP(MONTH(Datos[[#This Row],[Fecha]])/3,0))</f>
        <v>T3</v>
      </c>
      <c r="F610" t="str">
        <f>+CONCATENATE("Sem"," ",ROUNDUP(MONTH(Datos[[#This Row],[Fecha]])/6,0))</f>
        <v>Sem 2</v>
      </c>
      <c r="G610" t="s">
        <v>82</v>
      </c>
      <c r="H610" t="s">
        <v>83</v>
      </c>
      <c r="I610" t="s">
        <v>24</v>
      </c>
      <c r="J610" t="s">
        <v>84</v>
      </c>
      <c r="K610" t="s">
        <v>85</v>
      </c>
      <c r="L610" t="s">
        <v>27</v>
      </c>
      <c r="M610">
        <v>0</v>
      </c>
      <c r="N610" s="1">
        <v>45128</v>
      </c>
      <c r="O610" s="1">
        <v>45148</v>
      </c>
      <c r="P610" t="s">
        <v>28</v>
      </c>
      <c r="Q610">
        <f>+IF(OR(Datos[[#This Row],[Diagnostico]]="Inservible",Datos[[#This Row],[Estatus]]="Preventivo"),0,Datos[[#This Row],[Fecha_Final]]-Datos[[#This Row],[Día_Inicio]])</f>
        <v>0</v>
      </c>
      <c r="R610" s="2">
        <v>0</v>
      </c>
      <c r="S610" s="2">
        <v>0</v>
      </c>
      <c r="T610" t="s">
        <v>29</v>
      </c>
    </row>
    <row r="611" spans="1:20" x14ac:dyDescent="0.25">
      <c r="A611" t="s">
        <v>792</v>
      </c>
      <c r="B611" s="1">
        <v>45128</v>
      </c>
      <c r="C611" t="s">
        <v>741</v>
      </c>
      <c r="D611">
        <v>7</v>
      </c>
      <c r="E611" t="str">
        <f>+CONCATENATE("T",ROUNDUP(MONTH(Datos[[#This Row],[Fecha]])/3,0))</f>
        <v>T3</v>
      </c>
      <c r="F611" t="str">
        <f>+CONCATENATE("Sem"," ",ROUNDUP(MONTH(Datos[[#This Row],[Fecha]])/6,0))</f>
        <v>Sem 2</v>
      </c>
      <c r="G611" t="s">
        <v>44</v>
      </c>
      <c r="H611" t="s">
        <v>45</v>
      </c>
      <c r="I611" t="s">
        <v>24</v>
      </c>
      <c r="J611" t="s">
        <v>46</v>
      </c>
      <c r="K611" t="s">
        <v>90</v>
      </c>
      <c r="L611" t="s">
        <v>27</v>
      </c>
      <c r="M611">
        <v>0</v>
      </c>
      <c r="N611" s="1">
        <v>45128</v>
      </c>
      <c r="O611" s="1">
        <v>45147</v>
      </c>
      <c r="P611" t="s">
        <v>58</v>
      </c>
      <c r="Q611">
        <f>+IF(OR(Datos[[#This Row],[Diagnostico]]="Inservible",Datos[[#This Row],[Estatus]]="Preventivo"),0,Datos[[#This Row],[Fecha_Final]]-Datos[[#This Row],[Día_Inicio]])</f>
        <v>19</v>
      </c>
      <c r="R611" s="2">
        <v>356</v>
      </c>
      <c r="S611" s="2">
        <v>209</v>
      </c>
      <c r="T611" t="s">
        <v>91</v>
      </c>
    </row>
    <row r="612" spans="1:20" x14ac:dyDescent="0.25">
      <c r="A612" t="s">
        <v>793</v>
      </c>
      <c r="B612" s="1">
        <v>45128</v>
      </c>
      <c r="C612" t="s">
        <v>741</v>
      </c>
      <c r="D612">
        <v>7</v>
      </c>
      <c r="E612" t="str">
        <f>+CONCATENATE("T",ROUNDUP(MONTH(Datos[[#This Row],[Fecha]])/3,0))</f>
        <v>T3</v>
      </c>
      <c r="F612" t="str">
        <f>+CONCATENATE("Sem"," ",ROUNDUP(MONTH(Datos[[#This Row],[Fecha]])/6,0))</f>
        <v>Sem 2</v>
      </c>
      <c r="G612" t="s">
        <v>72</v>
      </c>
      <c r="H612" t="s">
        <v>73</v>
      </c>
      <c r="I612" t="s">
        <v>24</v>
      </c>
      <c r="J612" t="s">
        <v>74</v>
      </c>
      <c r="K612" t="s">
        <v>39</v>
      </c>
      <c r="L612" t="s">
        <v>40</v>
      </c>
      <c r="M612" t="s">
        <v>51</v>
      </c>
      <c r="N612" s="1">
        <v>45128</v>
      </c>
      <c r="O612" s="1">
        <v>45188</v>
      </c>
      <c r="P612" t="s">
        <v>29</v>
      </c>
      <c r="Q612">
        <f>+IF(OR(Datos[[#This Row],[Diagnostico]]="Inservible",Datos[[#This Row],[Estatus]]="Preventivo"),0,Datos[[#This Row],[Fecha_Final]]-Datos[[#This Row],[Día_Inicio]])</f>
        <v>0</v>
      </c>
      <c r="R612" s="2">
        <v>674</v>
      </c>
      <c r="S612" s="2">
        <v>385</v>
      </c>
      <c r="T612" t="s">
        <v>42</v>
      </c>
    </row>
    <row r="613" spans="1:20" x14ac:dyDescent="0.25">
      <c r="A613" t="s">
        <v>794</v>
      </c>
      <c r="B613" s="1">
        <v>45129</v>
      </c>
      <c r="C613" t="s">
        <v>741</v>
      </c>
      <c r="D613">
        <v>7</v>
      </c>
      <c r="E613" t="str">
        <f>+CONCATENATE("T",ROUNDUP(MONTH(Datos[[#This Row],[Fecha]])/3,0))</f>
        <v>T3</v>
      </c>
      <c r="F613" t="str">
        <f>+CONCATENATE("Sem"," ",ROUNDUP(MONTH(Datos[[#This Row],[Fecha]])/6,0))</f>
        <v>Sem 2</v>
      </c>
      <c r="G613" t="s">
        <v>49</v>
      </c>
      <c r="H613" t="s">
        <v>23</v>
      </c>
      <c r="I613" t="s">
        <v>24</v>
      </c>
      <c r="J613" t="s">
        <v>50</v>
      </c>
      <c r="K613" t="s">
        <v>97</v>
      </c>
      <c r="L613" t="s">
        <v>27</v>
      </c>
      <c r="M613">
        <v>0</v>
      </c>
      <c r="N613" s="1">
        <v>45129</v>
      </c>
      <c r="O613" s="1">
        <v>45155</v>
      </c>
      <c r="P613" t="s">
        <v>58</v>
      </c>
      <c r="Q613">
        <f>+IF(OR(Datos[[#This Row],[Diagnostico]]="Inservible",Datos[[#This Row],[Estatus]]="Preventivo"),0,Datos[[#This Row],[Fecha_Final]]-Datos[[#This Row],[Día_Inicio]])</f>
        <v>26</v>
      </c>
      <c r="R613" s="2">
        <v>448</v>
      </c>
      <c r="S613" s="2">
        <v>379</v>
      </c>
      <c r="T613" t="s">
        <v>91</v>
      </c>
    </row>
    <row r="614" spans="1:20" x14ac:dyDescent="0.25">
      <c r="A614" t="s">
        <v>795</v>
      </c>
      <c r="B614" s="1">
        <v>45130</v>
      </c>
      <c r="C614" t="s">
        <v>741</v>
      </c>
      <c r="D614">
        <v>7</v>
      </c>
      <c r="E614" t="str">
        <f>+CONCATENATE("T",ROUNDUP(MONTH(Datos[[#This Row],[Fecha]])/3,0))</f>
        <v>T3</v>
      </c>
      <c r="F614" t="str">
        <f>+CONCATENATE("Sem"," ",ROUNDUP(MONTH(Datos[[#This Row],[Fecha]])/6,0))</f>
        <v>Sem 2</v>
      </c>
      <c r="G614" t="s">
        <v>158</v>
      </c>
      <c r="H614" t="s">
        <v>159</v>
      </c>
      <c r="I614" t="s">
        <v>101</v>
      </c>
      <c r="J614" t="s">
        <v>160</v>
      </c>
      <c r="K614" t="s">
        <v>39</v>
      </c>
      <c r="L614" t="s">
        <v>40</v>
      </c>
      <c r="M614" t="s">
        <v>75</v>
      </c>
      <c r="N614" s="1">
        <v>45130</v>
      </c>
      <c r="O614" s="1">
        <v>45490</v>
      </c>
      <c r="P614" t="s">
        <v>29</v>
      </c>
      <c r="Q614">
        <f>+IF(OR(Datos[[#This Row],[Diagnostico]]="Inservible",Datos[[#This Row],[Estatus]]="Preventivo"),0,Datos[[#This Row],[Fecha_Final]]-Datos[[#This Row],[Día_Inicio]])</f>
        <v>0</v>
      </c>
      <c r="R614" s="2">
        <v>761</v>
      </c>
      <c r="S614" s="2">
        <v>468</v>
      </c>
      <c r="T614" t="s">
        <v>42</v>
      </c>
    </row>
    <row r="615" spans="1:20" x14ac:dyDescent="0.25">
      <c r="A615" t="s">
        <v>796</v>
      </c>
      <c r="B615" s="1">
        <v>45131</v>
      </c>
      <c r="C615" t="s">
        <v>741</v>
      </c>
      <c r="D615">
        <v>7</v>
      </c>
      <c r="E615" t="str">
        <f>+CONCATENATE("T",ROUNDUP(MONTH(Datos[[#This Row],[Fecha]])/3,0))</f>
        <v>T3</v>
      </c>
      <c r="F615" t="str">
        <f>+CONCATENATE("Sem"," ",ROUNDUP(MONTH(Datos[[#This Row],[Fecha]])/6,0))</f>
        <v>Sem 2</v>
      </c>
      <c r="G615" t="s">
        <v>286</v>
      </c>
      <c r="H615" t="s">
        <v>287</v>
      </c>
      <c r="I615" t="s">
        <v>24</v>
      </c>
      <c r="J615" t="s">
        <v>38</v>
      </c>
      <c r="K615" t="s">
        <v>108</v>
      </c>
      <c r="L615" t="s">
        <v>27</v>
      </c>
      <c r="M615">
        <v>0</v>
      </c>
      <c r="N615" s="1">
        <v>45131</v>
      </c>
      <c r="O615" s="1">
        <v>45133</v>
      </c>
      <c r="P615" t="s">
        <v>28</v>
      </c>
      <c r="Q615">
        <f>+IF(OR(Datos[[#This Row],[Diagnostico]]="Inservible",Datos[[#This Row],[Estatus]]="Preventivo"),0,Datos[[#This Row],[Fecha_Final]]-Datos[[#This Row],[Día_Inicio]])</f>
        <v>0</v>
      </c>
      <c r="R615" s="2">
        <v>0</v>
      </c>
      <c r="S615" s="2">
        <v>0</v>
      </c>
      <c r="T615" t="s">
        <v>29</v>
      </c>
    </row>
    <row r="616" spans="1:20" x14ac:dyDescent="0.25">
      <c r="A616" t="s">
        <v>797</v>
      </c>
      <c r="B616" s="1">
        <v>45131</v>
      </c>
      <c r="C616" t="s">
        <v>741</v>
      </c>
      <c r="D616">
        <v>7</v>
      </c>
      <c r="E616" t="str">
        <f>+CONCATENATE("T",ROUNDUP(MONTH(Datos[[#This Row],[Fecha]])/3,0))</f>
        <v>T3</v>
      </c>
      <c r="F616" t="str">
        <f>+CONCATENATE("Sem"," ",ROUNDUP(MONTH(Datos[[#This Row],[Fecha]])/6,0))</f>
        <v>Sem 2</v>
      </c>
      <c r="G616" t="s">
        <v>190</v>
      </c>
      <c r="H616" t="s">
        <v>191</v>
      </c>
      <c r="I616" t="s">
        <v>24</v>
      </c>
      <c r="J616" t="s">
        <v>192</v>
      </c>
      <c r="K616" t="s">
        <v>110</v>
      </c>
      <c r="L616" t="s">
        <v>27</v>
      </c>
      <c r="M616">
        <v>0</v>
      </c>
      <c r="N616" s="1">
        <v>45131</v>
      </c>
      <c r="O616" s="1">
        <v>45137</v>
      </c>
      <c r="P616" t="s">
        <v>28</v>
      </c>
      <c r="Q616">
        <f>+IF(OR(Datos[[#This Row],[Diagnostico]]="Inservible",Datos[[#This Row],[Estatus]]="Preventivo"),0,Datos[[#This Row],[Fecha_Final]]-Datos[[#This Row],[Día_Inicio]])</f>
        <v>0</v>
      </c>
      <c r="R616" s="2">
        <v>0</v>
      </c>
      <c r="S616" s="2">
        <v>0</v>
      </c>
      <c r="T616" t="s">
        <v>29</v>
      </c>
    </row>
    <row r="617" spans="1:20" x14ac:dyDescent="0.25">
      <c r="A617" t="s">
        <v>798</v>
      </c>
      <c r="B617" s="1">
        <v>45132</v>
      </c>
      <c r="C617" t="s">
        <v>741</v>
      </c>
      <c r="D617">
        <v>7</v>
      </c>
      <c r="E617" t="str">
        <f>+CONCATENATE("T",ROUNDUP(MONTH(Datos[[#This Row],[Fecha]])/3,0))</f>
        <v>T3</v>
      </c>
      <c r="F617" t="str">
        <f>+CONCATENATE("Sem"," ",ROUNDUP(MONTH(Datos[[#This Row],[Fecha]])/6,0))</f>
        <v>Sem 2</v>
      </c>
      <c r="G617" t="s">
        <v>225</v>
      </c>
      <c r="H617" t="s">
        <v>226</v>
      </c>
      <c r="I617" t="s">
        <v>227</v>
      </c>
      <c r="J617" t="s">
        <v>89</v>
      </c>
      <c r="K617" t="s">
        <v>114</v>
      </c>
      <c r="L617" t="s">
        <v>27</v>
      </c>
      <c r="M617">
        <v>0</v>
      </c>
      <c r="N617" s="1">
        <v>45132</v>
      </c>
      <c r="O617" s="1">
        <v>45137</v>
      </c>
      <c r="P617" t="s">
        <v>28</v>
      </c>
      <c r="Q617">
        <f>+IF(OR(Datos[[#This Row],[Diagnostico]]="Inservible",Datos[[#This Row],[Estatus]]="Preventivo"),0,Datos[[#This Row],[Fecha_Final]]-Datos[[#This Row],[Día_Inicio]])</f>
        <v>0</v>
      </c>
      <c r="R617" s="2">
        <v>0</v>
      </c>
      <c r="S617" s="2">
        <v>0</v>
      </c>
      <c r="T617" t="s">
        <v>29</v>
      </c>
    </row>
    <row r="618" spans="1:20" x14ac:dyDescent="0.25">
      <c r="A618" t="s">
        <v>799</v>
      </c>
      <c r="B618" s="1">
        <v>45132</v>
      </c>
      <c r="C618" t="s">
        <v>741</v>
      </c>
      <c r="D618">
        <v>7</v>
      </c>
      <c r="E618" t="str">
        <f>+CONCATENATE("T",ROUNDUP(MONTH(Datos[[#This Row],[Fecha]])/3,0))</f>
        <v>T3</v>
      </c>
      <c r="F618" t="str">
        <f>+CONCATENATE("Sem"," ",ROUNDUP(MONTH(Datos[[#This Row],[Fecha]])/6,0))</f>
        <v>Sem 2</v>
      </c>
      <c r="G618" t="s">
        <v>82</v>
      </c>
      <c r="H618" t="s">
        <v>83</v>
      </c>
      <c r="I618" t="s">
        <v>24</v>
      </c>
      <c r="J618" t="s">
        <v>84</v>
      </c>
      <c r="K618" t="s">
        <v>119</v>
      </c>
      <c r="L618" t="s">
        <v>27</v>
      </c>
      <c r="M618">
        <v>0</v>
      </c>
      <c r="N618" s="1">
        <v>45132</v>
      </c>
      <c r="O618" s="1">
        <v>45139</v>
      </c>
      <c r="P618" t="s">
        <v>28</v>
      </c>
      <c r="Q618">
        <f>+IF(OR(Datos[[#This Row],[Diagnostico]]="Inservible",Datos[[#This Row],[Estatus]]="Preventivo"),0,Datos[[#This Row],[Fecha_Final]]-Datos[[#This Row],[Día_Inicio]])</f>
        <v>0</v>
      </c>
      <c r="R618" s="2">
        <v>0</v>
      </c>
      <c r="S618" s="2">
        <v>0</v>
      </c>
      <c r="T618" t="s">
        <v>29</v>
      </c>
    </row>
    <row r="619" spans="1:20" x14ac:dyDescent="0.25">
      <c r="A619" t="s">
        <v>800</v>
      </c>
      <c r="B619" s="1">
        <v>45133</v>
      </c>
      <c r="C619" t="s">
        <v>741</v>
      </c>
      <c r="D619">
        <v>7</v>
      </c>
      <c r="E619" t="str">
        <f>+CONCATENATE("T",ROUNDUP(MONTH(Datos[[#This Row],[Fecha]])/3,0))</f>
        <v>T3</v>
      </c>
      <c r="F619" t="str">
        <f>+CONCATENATE("Sem"," ",ROUNDUP(MONTH(Datos[[#This Row],[Fecha]])/6,0))</f>
        <v>Sem 2</v>
      </c>
      <c r="G619" t="s">
        <v>237</v>
      </c>
      <c r="H619" t="s">
        <v>238</v>
      </c>
      <c r="I619" t="s">
        <v>24</v>
      </c>
      <c r="J619" t="s">
        <v>177</v>
      </c>
      <c r="K619" t="s">
        <v>123</v>
      </c>
      <c r="L619" t="s">
        <v>27</v>
      </c>
      <c r="M619">
        <v>0</v>
      </c>
      <c r="N619" s="1">
        <v>45133</v>
      </c>
      <c r="O619" s="1">
        <v>45160</v>
      </c>
      <c r="P619" t="s">
        <v>28</v>
      </c>
      <c r="Q619">
        <f>+IF(OR(Datos[[#This Row],[Diagnostico]]="Inservible",Datos[[#This Row],[Estatus]]="Preventivo"),0,Datos[[#This Row],[Fecha_Final]]-Datos[[#This Row],[Día_Inicio]])</f>
        <v>0</v>
      </c>
      <c r="R619" s="2">
        <v>0</v>
      </c>
      <c r="S619" s="2">
        <v>0</v>
      </c>
      <c r="T619" t="s">
        <v>29</v>
      </c>
    </row>
    <row r="620" spans="1:20" x14ac:dyDescent="0.25">
      <c r="A620" t="s">
        <v>801</v>
      </c>
      <c r="B620" s="1">
        <v>45134</v>
      </c>
      <c r="C620" t="s">
        <v>741</v>
      </c>
      <c r="D620">
        <v>7</v>
      </c>
      <c r="E620" t="str">
        <f>+CONCATENATE("T",ROUNDUP(MONTH(Datos[[#This Row],[Fecha]])/3,0))</f>
        <v>T3</v>
      </c>
      <c r="F620" t="str">
        <f>+CONCATENATE("Sem"," ",ROUNDUP(MONTH(Datos[[#This Row],[Fecha]])/6,0))</f>
        <v>Sem 2</v>
      </c>
      <c r="G620" t="s">
        <v>125</v>
      </c>
      <c r="H620" t="s">
        <v>126</v>
      </c>
      <c r="I620" t="s">
        <v>24</v>
      </c>
      <c r="J620" t="s">
        <v>127</v>
      </c>
      <c r="K620" t="s">
        <v>39</v>
      </c>
      <c r="L620" t="s">
        <v>40</v>
      </c>
      <c r="M620" t="s">
        <v>196</v>
      </c>
      <c r="N620" s="1">
        <v>45134</v>
      </c>
      <c r="O620" s="1">
        <v>45164</v>
      </c>
      <c r="P620" t="s">
        <v>29</v>
      </c>
      <c r="Q620">
        <f>+IF(OR(Datos[[#This Row],[Diagnostico]]="Inservible",Datos[[#This Row],[Estatus]]="Preventivo"),0,Datos[[#This Row],[Fecha_Final]]-Datos[[#This Row],[Día_Inicio]])</f>
        <v>0</v>
      </c>
      <c r="R620" s="2">
        <v>554</v>
      </c>
      <c r="S620" s="2">
        <v>458</v>
      </c>
      <c r="T620" t="s">
        <v>42</v>
      </c>
    </row>
    <row r="621" spans="1:20" x14ac:dyDescent="0.25">
      <c r="A621" t="s">
        <v>802</v>
      </c>
      <c r="B621" s="1">
        <v>45134</v>
      </c>
      <c r="C621" t="s">
        <v>741</v>
      </c>
      <c r="D621">
        <v>7</v>
      </c>
      <c r="E621" t="str">
        <f>+CONCATENATE("T",ROUNDUP(MONTH(Datos[[#This Row],[Fecha]])/3,0))</f>
        <v>T3</v>
      </c>
      <c r="F621" t="str">
        <f>+CONCATENATE("Sem"," ",ROUNDUP(MONTH(Datos[[#This Row],[Fecha]])/6,0))</f>
        <v>Sem 2</v>
      </c>
      <c r="G621" t="s">
        <v>112</v>
      </c>
      <c r="H621" t="s">
        <v>113</v>
      </c>
      <c r="I621" t="s">
        <v>24</v>
      </c>
      <c r="J621" t="s">
        <v>79</v>
      </c>
      <c r="K621" t="s">
        <v>130</v>
      </c>
      <c r="L621" t="s">
        <v>27</v>
      </c>
      <c r="M621">
        <v>0</v>
      </c>
      <c r="N621" s="1">
        <v>45134</v>
      </c>
      <c r="O621" s="1">
        <v>45135</v>
      </c>
      <c r="P621" t="s">
        <v>28</v>
      </c>
      <c r="Q621">
        <f>+IF(OR(Datos[[#This Row],[Diagnostico]]="Inservible",Datos[[#This Row],[Estatus]]="Preventivo"),0,Datos[[#This Row],[Fecha_Final]]-Datos[[#This Row],[Día_Inicio]])</f>
        <v>0</v>
      </c>
      <c r="R621" s="2">
        <v>0</v>
      </c>
      <c r="S621" s="2">
        <v>0</v>
      </c>
      <c r="T621" t="s">
        <v>29</v>
      </c>
    </row>
    <row r="622" spans="1:20" x14ac:dyDescent="0.25">
      <c r="A622" t="s">
        <v>803</v>
      </c>
      <c r="B622" s="1">
        <v>45135</v>
      </c>
      <c r="C622" t="s">
        <v>741</v>
      </c>
      <c r="D622">
        <v>7</v>
      </c>
      <c r="E622" t="str">
        <f>+CONCATENATE("T",ROUNDUP(MONTH(Datos[[#This Row],[Fecha]])/3,0))</f>
        <v>T3</v>
      </c>
      <c r="F622" t="str">
        <f>+CONCATENATE("Sem"," ",ROUNDUP(MONTH(Datos[[#This Row],[Fecha]])/6,0))</f>
        <v>Sem 2</v>
      </c>
      <c r="G622" t="s">
        <v>286</v>
      </c>
      <c r="H622" t="s">
        <v>287</v>
      </c>
      <c r="I622" t="s">
        <v>24</v>
      </c>
      <c r="J622" t="s">
        <v>38</v>
      </c>
      <c r="K622" t="s">
        <v>39</v>
      </c>
      <c r="L622" t="s">
        <v>40</v>
      </c>
      <c r="M622" t="s">
        <v>208</v>
      </c>
      <c r="N622" s="1">
        <v>45135</v>
      </c>
      <c r="O622" s="1">
        <v>45142</v>
      </c>
      <c r="P622" t="s">
        <v>29</v>
      </c>
      <c r="Q622">
        <f>+IF(OR(Datos[[#This Row],[Diagnostico]]="Inservible",Datos[[#This Row],[Estatus]]="Preventivo"),0,Datos[[#This Row],[Fecha_Final]]-Datos[[#This Row],[Día_Inicio]])</f>
        <v>0</v>
      </c>
      <c r="R622" s="2">
        <v>796</v>
      </c>
      <c r="S622" s="2">
        <v>945</v>
      </c>
      <c r="T622" t="s">
        <v>42</v>
      </c>
    </row>
    <row r="623" spans="1:20" x14ac:dyDescent="0.25">
      <c r="A623" t="s">
        <v>804</v>
      </c>
      <c r="B623" s="1">
        <v>45135</v>
      </c>
      <c r="C623" t="s">
        <v>741</v>
      </c>
      <c r="D623">
        <v>7</v>
      </c>
      <c r="E623" t="str">
        <f>+CONCATENATE("T",ROUNDUP(MONTH(Datos[[#This Row],[Fecha]])/3,0))</f>
        <v>T3</v>
      </c>
      <c r="F623" t="str">
        <f>+CONCATENATE("Sem"," ",ROUNDUP(MONTH(Datos[[#This Row],[Fecha]])/6,0))</f>
        <v>Sem 2</v>
      </c>
      <c r="G623" t="s">
        <v>49</v>
      </c>
      <c r="H623" t="s">
        <v>23</v>
      </c>
      <c r="I623" t="s">
        <v>24</v>
      </c>
      <c r="J623" t="s">
        <v>50</v>
      </c>
      <c r="K623" t="s">
        <v>26</v>
      </c>
      <c r="L623" t="s">
        <v>27</v>
      </c>
      <c r="M623">
        <v>0</v>
      </c>
      <c r="N623" s="1">
        <v>45135</v>
      </c>
      <c r="O623" s="1">
        <v>45161</v>
      </c>
      <c r="P623" t="s">
        <v>28</v>
      </c>
      <c r="Q623">
        <f>+IF(OR(Datos[[#This Row],[Diagnostico]]="Inservible",Datos[[#This Row],[Estatus]]="Preventivo"),0,Datos[[#This Row],[Fecha_Final]]-Datos[[#This Row],[Día_Inicio]])</f>
        <v>0</v>
      </c>
      <c r="R623" s="2">
        <v>0</v>
      </c>
      <c r="S623" s="2">
        <v>0</v>
      </c>
      <c r="T623" t="s">
        <v>29</v>
      </c>
    </row>
    <row r="624" spans="1:20" x14ac:dyDescent="0.25">
      <c r="A624" t="s">
        <v>805</v>
      </c>
      <c r="B624" s="1">
        <v>45136</v>
      </c>
      <c r="C624" t="s">
        <v>741</v>
      </c>
      <c r="D624">
        <v>7</v>
      </c>
      <c r="E624" t="str">
        <f>+CONCATENATE("T",ROUNDUP(MONTH(Datos[[#This Row],[Fecha]])/3,0))</f>
        <v>T3</v>
      </c>
      <c r="F624" t="str">
        <f>+CONCATENATE("Sem"," ",ROUNDUP(MONTH(Datos[[#This Row],[Fecha]])/6,0))</f>
        <v>Sem 2</v>
      </c>
      <c r="G624" t="s">
        <v>260</v>
      </c>
      <c r="H624" t="s">
        <v>261</v>
      </c>
      <c r="I624" t="s">
        <v>24</v>
      </c>
      <c r="J624" t="s">
        <v>33</v>
      </c>
      <c r="K624" t="s">
        <v>34</v>
      </c>
      <c r="L624" t="s">
        <v>27</v>
      </c>
      <c r="M624">
        <v>0</v>
      </c>
      <c r="N624" s="1">
        <v>45136</v>
      </c>
      <c r="O624" s="1">
        <v>45163</v>
      </c>
      <c r="P624" t="s">
        <v>58</v>
      </c>
      <c r="Q624">
        <f>+IF(OR(Datos[[#This Row],[Diagnostico]]="Inservible",Datos[[#This Row],[Estatus]]="Preventivo"),0,Datos[[#This Row],[Fecha_Final]]-Datos[[#This Row],[Día_Inicio]])</f>
        <v>27</v>
      </c>
      <c r="R624" s="2">
        <v>707</v>
      </c>
      <c r="S624" s="2">
        <v>272</v>
      </c>
      <c r="T624" t="s">
        <v>59</v>
      </c>
    </row>
    <row r="625" spans="1:20" x14ac:dyDescent="0.25">
      <c r="A625" t="s">
        <v>806</v>
      </c>
      <c r="B625" s="1">
        <v>45136</v>
      </c>
      <c r="C625" t="s">
        <v>741</v>
      </c>
      <c r="D625">
        <v>7</v>
      </c>
      <c r="E625" t="str">
        <f>+CONCATENATE("T",ROUNDUP(MONTH(Datos[[#This Row],[Fecha]])/3,0))</f>
        <v>T3</v>
      </c>
      <c r="F625" t="str">
        <f>+CONCATENATE("Sem"," ",ROUNDUP(MONTH(Datos[[#This Row],[Fecha]])/6,0))</f>
        <v>Sem 2</v>
      </c>
      <c r="G625" t="s">
        <v>190</v>
      </c>
      <c r="H625" t="s">
        <v>191</v>
      </c>
      <c r="I625" t="s">
        <v>24</v>
      </c>
      <c r="J625" t="s">
        <v>192</v>
      </c>
      <c r="K625" t="s">
        <v>39</v>
      </c>
      <c r="L625" t="s">
        <v>27</v>
      </c>
      <c r="M625">
        <v>0</v>
      </c>
      <c r="N625" s="1">
        <v>45136</v>
      </c>
      <c r="O625" s="1">
        <v>45144</v>
      </c>
      <c r="P625" t="s">
        <v>58</v>
      </c>
      <c r="Q625">
        <f>+IF(OR(Datos[[#This Row],[Diagnostico]]="Inservible",Datos[[#This Row],[Estatus]]="Preventivo"),0,Datos[[#This Row],[Fecha_Final]]-Datos[[#This Row],[Día_Inicio]])</f>
        <v>8</v>
      </c>
      <c r="R625" s="2">
        <v>357</v>
      </c>
      <c r="S625" s="2">
        <v>292</v>
      </c>
      <c r="T625" t="s">
        <v>91</v>
      </c>
    </row>
    <row r="626" spans="1:20" x14ac:dyDescent="0.25">
      <c r="A626" t="s">
        <v>807</v>
      </c>
      <c r="B626" s="1">
        <v>45137</v>
      </c>
      <c r="C626" t="s">
        <v>741</v>
      </c>
      <c r="D626">
        <v>7</v>
      </c>
      <c r="E626" t="str">
        <f>+CONCATENATE("T",ROUNDUP(MONTH(Datos[[#This Row],[Fecha]])/3,0))</f>
        <v>T3</v>
      </c>
      <c r="F626" t="str">
        <f>+CONCATENATE("Sem"," ",ROUNDUP(MONTH(Datos[[#This Row],[Fecha]])/6,0))</f>
        <v>Sem 2</v>
      </c>
      <c r="G626" t="s">
        <v>246</v>
      </c>
      <c r="H626" t="s">
        <v>247</v>
      </c>
      <c r="I626" t="s">
        <v>24</v>
      </c>
      <c r="J626" t="s">
        <v>156</v>
      </c>
      <c r="K626" t="s">
        <v>47</v>
      </c>
      <c r="L626" t="s">
        <v>27</v>
      </c>
      <c r="M626">
        <v>0</v>
      </c>
      <c r="N626" s="1">
        <v>45137</v>
      </c>
      <c r="O626" s="1">
        <v>45154</v>
      </c>
      <c r="P626" t="s">
        <v>58</v>
      </c>
      <c r="Q626">
        <f>+IF(OR(Datos[[#This Row],[Diagnostico]]="Inservible",Datos[[#This Row],[Estatus]]="Preventivo"),0,Datos[[#This Row],[Fecha_Final]]-Datos[[#This Row],[Día_Inicio]])</f>
        <v>17</v>
      </c>
      <c r="R626" s="2">
        <v>670</v>
      </c>
      <c r="S626" s="2">
        <v>984</v>
      </c>
      <c r="T626" t="s">
        <v>91</v>
      </c>
    </row>
    <row r="627" spans="1:20" x14ac:dyDescent="0.25">
      <c r="A627" t="s">
        <v>808</v>
      </c>
      <c r="B627" s="1">
        <v>45138</v>
      </c>
      <c r="C627" t="s">
        <v>741</v>
      </c>
      <c r="D627">
        <v>7</v>
      </c>
      <c r="E627" t="str">
        <f>+CONCATENATE("T",ROUNDUP(MONTH(Datos[[#This Row],[Fecha]])/3,0))</f>
        <v>T3</v>
      </c>
      <c r="F627" t="str">
        <f>+CONCATENATE("Sem"," ",ROUNDUP(MONTH(Datos[[#This Row],[Fecha]])/6,0))</f>
        <v>Sem 2</v>
      </c>
      <c r="G627" t="s">
        <v>190</v>
      </c>
      <c r="H627" t="s">
        <v>191</v>
      </c>
      <c r="I627" t="s">
        <v>24</v>
      </c>
      <c r="J627" t="s">
        <v>192</v>
      </c>
      <c r="K627" t="s">
        <v>147</v>
      </c>
      <c r="L627" t="s">
        <v>27</v>
      </c>
      <c r="M627">
        <v>0</v>
      </c>
      <c r="N627" s="1">
        <v>45138</v>
      </c>
      <c r="O627" s="1">
        <v>45152</v>
      </c>
      <c r="P627" t="s">
        <v>58</v>
      </c>
      <c r="Q627">
        <f>+IF(OR(Datos[[#This Row],[Diagnostico]]="Inservible",Datos[[#This Row],[Estatus]]="Preventivo"),0,Datos[[#This Row],[Fecha_Final]]-Datos[[#This Row],[Día_Inicio]])</f>
        <v>14</v>
      </c>
      <c r="R627" s="2">
        <v>569</v>
      </c>
      <c r="S627" s="2">
        <v>425</v>
      </c>
      <c r="T627" t="s">
        <v>91</v>
      </c>
    </row>
    <row r="628" spans="1:20" x14ac:dyDescent="0.25">
      <c r="A628" t="s">
        <v>809</v>
      </c>
      <c r="B628" s="1">
        <v>45138</v>
      </c>
      <c r="C628" t="s">
        <v>741</v>
      </c>
      <c r="D628">
        <v>7</v>
      </c>
      <c r="E628" t="str">
        <f>+CONCATENATE("T",ROUNDUP(MONTH(Datos[[#This Row],[Fecha]])/3,0))</f>
        <v>T3</v>
      </c>
      <c r="F628" t="str">
        <f>+CONCATENATE("Sem"," ",ROUNDUP(MONTH(Datos[[#This Row],[Fecha]])/6,0))</f>
        <v>Sem 2</v>
      </c>
      <c r="G628" t="s">
        <v>175</v>
      </c>
      <c r="H628" t="s">
        <v>176</v>
      </c>
      <c r="I628" t="s">
        <v>24</v>
      </c>
      <c r="J628" t="s">
        <v>177</v>
      </c>
      <c r="K628" t="s">
        <v>57</v>
      </c>
      <c r="L628" t="s">
        <v>27</v>
      </c>
      <c r="M628">
        <v>0</v>
      </c>
      <c r="N628" s="1">
        <v>45138</v>
      </c>
      <c r="O628" s="1">
        <v>45161</v>
      </c>
      <c r="P628" t="s">
        <v>58</v>
      </c>
      <c r="Q628">
        <f>+IF(OR(Datos[[#This Row],[Diagnostico]]="Inservible",Datos[[#This Row],[Estatus]]="Preventivo"),0,Datos[[#This Row],[Fecha_Final]]-Datos[[#This Row],[Día_Inicio]])</f>
        <v>23</v>
      </c>
      <c r="R628" s="2">
        <v>270</v>
      </c>
      <c r="S628" s="2">
        <v>733</v>
      </c>
      <c r="T628" t="s">
        <v>64</v>
      </c>
    </row>
    <row r="629" spans="1:20" x14ac:dyDescent="0.25">
      <c r="A629" t="s">
        <v>810</v>
      </c>
      <c r="B629" s="1">
        <v>45138</v>
      </c>
      <c r="C629" t="s">
        <v>741</v>
      </c>
      <c r="D629">
        <v>7</v>
      </c>
      <c r="E629" t="str">
        <f>+CONCATENATE("T",ROUNDUP(MONTH(Datos[[#This Row],[Fecha]])/3,0))</f>
        <v>T3</v>
      </c>
      <c r="F629" t="str">
        <f>+CONCATENATE("Sem"," ",ROUNDUP(MONTH(Datos[[#This Row],[Fecha]])/6,0))</f>
        <v>Sem 2</v>
      </c>
      <c r="G629" t="s">
        <v>31</v>
      </c>
      <c r="H629" t="s">
        <v>32</v>
      </c>
      <c r="I629" t="s">
        <v>24</v>
      </c>
      <c r="J629" t="s">
        <v>33</v>
      </c>
      <c r="K629" t="s">
        <v>63</v>
      </c>
      <c r="L629" t="s">
        <v>27</v>
      </c>
      <c r="M629">
        <v>0</v>
      </c>
      <c r="N629" s="1">
        <v>45138</v>
      </c>
      <c r="O629" s="1">
        <v>45150</v>
      </c>
      <c r="P629" t="s">
        <v>58</v>
      </c>
      <c r="Q629">
        <f>+IF(OR(Datos[[#This Row],[Diagnostico]]="Inservible",Datos[[#This Row],[Estatus]]="Preventivo"),0,Datos[[#This Row],[Fecha_Final]]-Datos[[#This Row],[Día_Inicio]])</f>
        <v>12</v>
      </c>
      <c r="R629" s="2">
        <v>282</v>
      </c>
      <c r="S629" s="2">
        <v>233</v>
      </c>
      <c r="T629" t="s">
        <v>91</v>
      </c>
    </row>
    <row r="630" spans="1:20" x14ac:dyDescent="0.25">
      <c r="A630" t="s">
        <v>811</v>
      </c>
      <c r="B630" s="1">
        <v>45138</v>
      </c>
      <c r="C630" t="s">
        <v>741</v>
      </c>
      <c r="D630">
        <v>7</v>
      </c>
      <c r="E630" t="str">
        <f>+CONCATENATE("T",ROUNDUP(MONTH(Datos[[#This Row],[Fecha]])/3,0))</f>
        <v>T3</v>
      </c>
      <c r="F630" t="str">
        <f>+CONCATENATE("Sem"," ",ROUNDUP(MONTH(Datos[[#This Row],[Fecha]])/6,0))</f>
        <v>Sem 2</v>
      </c>
      <c r="G630" t="s">
        <v>175</v>
      </c>
      <c r="H630" t="s">
        <v>176</v>
      </c>
      <c r="I630" t="s">
        <v>24</v>
      </c>
      <c r="J630" t="s">
        <v>177</v>
      </c>
      <c r="K630" t="s">
        <v>39</v>
      </c>
      <c r="L630" t="s">
        <v>40</v>
      </c>
      <c r="M630" t="s">
        <v>196</v>
      </c>
      <c r="N630" s="1">
        <v>45138</v>
      </c>
      <c r="O630" s="1">
        <v>45168</v>
      </c>
      <c r="P630" t="s">
        <v>29</v>
      </c>
      <c r="Q630">
        <f>+IF(OR(Datos[[#This Row],[Diagnostico]]="Inservible",Datos[[#This Row],[Estatus]]="Preventivo"),0,Datos[[#This Row],[Fecha_Final]]-Datos[[#This Row],[Día_Inicio]])</f>
        <v>0</v>
      </c>
      <c r="R630" s="2">
        <v>1140</v>
      </c>
      <c r="S630" s="2">
        <v>889</v>
      </c>
      <c r="T630" t="s">
        <v>42</v>
      </c>
    </row>
    <row r="631" spans="1:20" x14ac:dyDescent="0.25">
      <c r="A631" t="s">
        <v>812</v>
      </c>
      <c r="B631" s="1">
        <v>45139</v>
      </c>
      <c r="C631" t="s">
        <v>813</v>
      </c>
      <c r="D631">
        <v>8</v>
      </c>
      <c r="E631" t="str">
        <f>+CONCATENATE("T",ROUNDUP(MONTH(Datos[[#This Row],[Fecha]])/3,0))</f>
        <v>T3</v>
      </c>
      <c r="F631" t="str">
        <f>+CONCATENATE("Sem"," ",ROUNDUP(MONTH(Datos[[#This Row],[Fecha]])/6,0))</f>
        <v>Sem 2</v>
      </c>
      <c r="G631" t="s">
        <v>61</v>
      </c>
      <c r="H631" t="s">
        <v>62</v>
      </c>
      <c r="I631" t="s">
        <v>24</v>
      </c>
      <c r="J631" t="s">
        <v>46</v>
      </c>
      <c r="K631" t="s">
        <v>161</v>
      </c>
      <c r="L631" t="s">
        <v>27</v>
      </c>
      <c r="M631">
        <v>0</v>
      </c>
      <c r="N631" s="1">
        <v>45139</v>
      </c>
      <c r="O631" s="1">
        <v>45167</v>
      </c>
      <c r="P631" t="s">
        <v>58</v>
      </c>
      <c r="Q631">
        <f>+IF(OR(Datos[[#This Row],[Diagnostico]]="Inservible",Datos[[#This Row],[Estatus]]="Preventivo"),0,Datos[[#This Row],[Fecha_Final]]-Datos[[#This Row],[Día_Inicio]])</f>
        <v>28</v>
      </c>
      <c r="R631" s="2">
        <v>867</v>
      </c>
      <c r="S631" s="2">
        <v>925</v>
      </c>
      <c r="T631" t="s">
        <v>91</v>
      </c>
    </row>
    <row r="632" spans="1:20" x14ac:dyDescent="0.25">
      <c r="A632" t="s">
        <v>814</v>
      </c>
      <c r="B632" s="1">
        <v>45139</v>
      </c>
      <c r="C632" t="s">
        <v>813</v>
      </c>
      <c r="D632">
        <v>8</v>
      </c>
      <c r="E632" t="str">
        <f>+CONCATENATE("T",ROUNDUP(MONTH(Datos[[#This Row],[Fecha]])/3,0))</f>
        <v>T3</v>
      </c>
      <c r="F632" t="str">
        <f>+CONCATENATE("Sem"," ",ROUNDUP(MONTH(Datos[[#This Row],[Fecha]])/6,0))</f>
        <v>Sem 2</v>
      </c>
      <c r="G632" t="s">
        <v>77</v>
      </c>
      <c r="H632" t="s">
        <v>78</v>
      </c>
      <c r="I632" t="s">
        <v>24</v>
      </c>
      <c r="J632" t="s">
        <v>79</v>
      </c>
      <c r="K632" t="s">
        <v>39</v>
      </c>
      <c r="L632" t="s">
        <v>40</v>
      </c>
      <c r="M632" t="s">
        <v>41</v>
      </c>
      <c r="N632" s="1">
        <v>45139</v>
      </c>
      <c r="O632" s="1">
        <v>45229</v>
      </c>
      <c r="P632" t="s">
        <v>29</v>
      </c>
      <c r="Q632">
        <f>+IF(OR(Datos[[#This Row],[Diagnostico]]="Inservible",Datos[[#This Row],[Estatus]]="Preventivo"),0,Datos[[#This Row],[Fecha_Final]]-Datos[[#This Row],[Día_Inicio]])</f>
        <v>0</v>
      </c>
      <c r="R632" s="2">
        <v>241</v>
      </c>
      <c r="S632" s="2">
        <v>137</v>
      </c>
      <c r="T632" t="s">
        <v>42</v>
      </c>
    </row>
    <row r="633" spans="1:20" x14ac:dyDescent="0.25">
      <c r="A633" t="s">
        <v>815</v>
      </c>
      <c r="B633" s="1">
        <v>45139</v>
      </c>
      <c r="C633" t="s">
        <v>813</v>
      </c>
      <c r="D633">
        <v>8</v>
      </c>
      <c r="E633" t="str">
        <f>+CONCATENATE("T",ROUNDUP(MONTH(Datos[[#This Row],[Fecha]])/3,0))</f>
        <v>T3</v>
      </c>
      <c r="F633" t="str">
        <f>+CONCATENATE("Sem"," ",ROUNDUP(MONTH(Datos[[#This Row],[Fecha]])/6,0))</f>
        <v>Sem 2</v>
      </c>
      <c r="G633" t="s">
        <v>125</v>
      </c>
      <c r="H633" t="s">
        <v>126</v>
      </c>
      <c r="I633" t="s">
        <v>24</v>
      </c>
      <c r="J633" t="s">
        <v>127</v>
      </c>
      <c r="K633" t="s">
        <v>85</v>
      </c>
      <c r="L633" t="s">
        <v>27</v>
      </c>
      <c r="M633">
        <v>0</v>
      </c>
      <c r="N633" s="1">
        <v>45139</v>
      </c>
      <c r="O633" s="1">
        <v>45158</v>
      </c>
      <c r="P633" t="s">
        <v>28</v>
      </c>
      <c r="Q633">
        <f>+IF(OR(Datos[[#This Row],[Diagnostico]]="Inservible",Datos[[#This Row],[Estatus]]="Preventivo"),0,Datos[[#This Row],[Fecha_Final]]-Datos[[#This Row],[Día_Inicio]])</f>
        <v>0</v>
      </c>
      <c r="R633" s="2">
        <v>0</v>
      </c>
      <c r="S633" s="2">
        <v>0</v>
      </c>
      <c r="T633" t="s">
        <v>29</v>
      </c>
    </row>
    <row r="634" spans="1:20" x14ac:dyDescent="0.25">
      <c r="A634" t="s">
        <v>816</v>
      </c>
      <c r="B634" s="1">
        <v>45139</v>
      </c>
      <c r="C634" t="s">
        <v>813</v>
      </c>
      <c r="D634">
        <v>8</v>
      </c>
      <c r="E634" t="str">
        <f>+CONCATENATE("T",ROUNDUP(MONTH(Datos[[#This Row],[Fecha]])/3,0))</f>
        <v>T3</v>
      </c>
      <c r="F634" t="str">
        <f>+CONCATENATE("Sem"," ",ROUNDUP(MONTH(Datos[[#This Row],[Fecha]])/6,0))</f>
        <v>Sem 2</v>
      </c>
      <c r="G634" t="s">
        <v>77</v>
      </c>
      <c r="H634" t="s">
        <v>78</v>
      </c>
      <c r="I634" t="s">
        <v>24</v>
      </c>
      <c r="J634" t="s">
        <v>79</v>
      </c>
      <c r="K634" t="s">
        <v>90</v>
      </c>
      <c r="L634" t="s">
        <v>27</v>
      </c>
      <c r="M634">
        <v>0</v>
      </c>
      <c r="N634" s="1">
        <v>45139</v>
      </c>
      <c r="O634" s="1">
        <v>45149</v>
      </c>
      <c r="P634" t="s">
        <v>28</v>
      </c>
      <c r="Q634">
        <f>+IF(OR(Datos[[#This Row],[Diagnostico]]="Inservible",Datos[[#This Row],[Estatus]]="Preventivo"),0,Datos[[#This Row],[Fecha_Final]]-Datos[[#This Row],[Día_Inicio]])</f>
        <v>0</v>
      </c>
      <c r="R634" s="2">
        <v>0</v>
      </c>
      <c r="S634" s="2">
        <v>0</v>
      </c>
      <c r="T634" t="s">
        <v>29</v>
      </c>
    </row>
    <row r="635" spans="1:20" x14ac:dyDescent="0.25">
      <c r="A635" t="s">
        <v>817</v>
      </c>
      <c r="B635" s="1">
        <v>45139</v>
      </c>
      <c r="C635" t="s">
        <v>813</v>
      </c>
      <c r="D635">
        <v>8</v>
      </c>
      <c r="E635" t="str">
        <f>+CONCATENATE("T",ROUNDUP(MONTH(Datos[[#This Row],[Fecha]])/3,0))</f>
        <v>T3</v>
      </c>
      <c r="F635" t="str">
        <f>+CONCATENATE("Sem"," ",ROUNDUP(MONTH(Datos[[#This Row],[Fecha]])/6,0))</f>
        <v>Sem 2</v>
      </c>
      <c r="G635" t="s">
        <v>154</v>
      </c>
      <c r="H635" t="s">
        <v>155</v>
      </c>
      <c r="I635" t="s">
        <v>68</v>
      </c>
      <c r="J635" t="s">
        <v>156</v>
      </c>
      <c r="K635" t="s">
        <v>172</v>
      </c>
      <c r="L635" t="s">
        <v>27</v>
      </c>
      <c r="M635">
        <v>0</v>
      </c>
      <c r="N635" s="1">
        <v>45139</v>
      </c>
      <c r="O635" s="1">
        <v>45151</v>
      </c>
      <c r="P635" t="s">
        <v>58</v>
      </c>
      <c r="Q635">
        <f>+IF(OR(Datos[[#This Row],[Diagnostico]]="Inservible",Datos[[#This Row],[Estatus]]="Preventivo"),0,Datos[[#This Row],[Fecha_Final]]-Datos[[#This Row],[Día_Inicio]])</f>
        <v>12</v>
      </c>
      <c r="R635" s="2">
        <v>372</v>
      </c>
      <c r="S635" s="2">
        <v>645</v>
      </c>
      <c r="T635" t="s">
        <v>59</v>
      </c>
    </row>
    <row r="636" spans="1:20" x14ac:dyDescent="0.25">
      <c r="A636" t="s">
        <v>818</v>
      </c>
      <c r="B636" s="1">
        <v>45139</v>
      </c>
      <c r="C636" t="s">
        <v>813</v>
      </c>
      <c r="D636">
        <v>8</v>
      </c>
      <c r="E636" t="str">
        <f>+CONCATENATE("T",ROUNDUP(MONTH(Datos[[#This Row],[Fecha]])/3,0))</f>
        <v>T3</v>
      </c>
      <c r="F636" t="str">
        <f>+CONCATENATE("Sem"," ",ROUNDUP(MONTH(Datos[[#This Row],[Fecha]])/6,0))</f>
        <v>Sem 2</v>
      </c>
      <c r="G636" t="s">
        <v>105</v>
      </c>
      <c r="H636" t="s">
        <v>106</v>
      </c>
      <c r="I636" t="s">
        <v>24</v>
      </c>
      <c r="J636" t="s">
        <v>107</v>
      </c>
      <c r="K636" t="s">
        <v>39</v>
      </c>
      <c r="L636" t="s">
        <v>40</v>
      </c>
      <c r="M636" t="s">
        <v>208</v>
      </c>
      <c r="N636" s="1">
        <v>45139</v>
      </c>
      <c r="O636" s="1">
        <v>45146</v>
      </c>
      <c r="P636" t="s">
        <v>29</v>
      </c>
      <c r="Q636">
        <f>+IF(OR(Datos[[#This Row],[Diagnostico]]="Inservible",Datos[[#This Row],[Estatus]]="Preventivo"),0,Datos[[#This Row],[Fecha_Final]]-Datos[[#This Row],[Día_Inicio]])</f>
        <v>0</v>
      </c>
      <c r="R636" s="2">
        <v>440</v>
      </c>
      <c r="S636" s="2">
        <v>829</v>
      </c>
      <c r="T636" t="s">
        <v>42</v>
      </c>
    </row>
    <row r="637" spans="1:20" x14ac:dyDescent="0.25">
      <c r="A637" t="s">
        <v>819</v>
      </c>
      <c r="B637" s="1">
        <v>45139</v>
      </c>
      <c r="C637" t="s">
        <v>813</v>
      </c>
      <c r="D637">
        <v>8</v>
      </c>
      <c r="E637" t="str">
        <f>+CONCATENATE("T",ROUNDUP(MONTH(Datos[[#This Row],[Fecha]])/3,0))</f>
        <v>T3</v>
      </c>
      <c r="F637" t="str">
        <f>+CONCATENATE("Sem"," ",ROUNDUP(MONTH(Datos[[#This Row],[Fecha]])/6,0))</f>
        <v>Sem 2</v>
      </c>
      <c r="G637" t="s">
        <v>283</v>
      </c>
      <c r="H637" t="s">
        <v>284</v>
      </c>
      <c r="I637" t="s">
        <v>24</v>
      </c>
      <c r="J637" t="s">
        <v>192</v>
      </c>
      <c r="K637" t="s">
        <v>178</v>
      </c>
      <c r="L637" t="s">
        <v>27</v>
      </c>
      <c r="M637">
        <v>0</v>
      </c>
      <c r="N637" s="1">
        <v>45139</v>
      </c>
      <c r="O637" s="1">
        <v>45166</v>
      </c>
      <c r="P637" t="s">
        <v>58</v>
      </c>
      <c r="Q637">
        <f>+IF(OR(Datos[[#This Row],[Diagnostico]]="Inservible",Datos[[#This Row],[Estatus]]="Preventivo"),0,Datos[[#This Row],[Fecha_Final]]-Datos[[#This Row],[Día_Inicio]])</f>
        <v>27</v>
      </c>
      <c r="R637" s="2">
        <v>221</v>
      </c>
      <c r="S637" s="2">
        <v>455</v>
      </c>
      <c r="T637" t="s">
        <v>91</v>
      </c>
    </row>
    <row r="638" spans="1:20" x14ac:dyDescent="0.25">
      <c r="A638" t="s">
        <v>820</v>
      </c>
      <c r="B638" s="1">
        <v>45140</v>
      </c>
      <c r="C638" t="s">
        <v>813</v>
      </c>
      <c r="D638">
        <v>8</v>
      </c>
      <c r="E638" t="str">
        <f>+CONCATENATE("T",ROUNDUP(MONTH(Datos[[#This Row],[Fecha]])/3,0))</f>
        <v>T3</v>
      </c>
      <c r="F638" t="str">
        <f>+CONCATENATE("Sem"," ",ROUNDUP(MONTH(Datos[[#This Row],[Fecha]])/6,0))</f>
        <v>Sem 2</v>
      </c>
      <c r="G638" t="s">
        <v>215</v>
      </c>
      <c r="H638" t="s">
        <v>216</v>
      </c>
      <c r="I638" t="s">
        <v>24</v>
      </c>
      <c r="J638" t="s">
        <v>50</v>
      </c>
      <c r="K638" t="s">
        <v>108</v>
      </c>
      <c r="L638" t="s">
        <v>27</v>
      </c>
      <c r="M638">
        <v>0</v>
      </c>
      <c r="N638" s="1">
        <v>45140</v>
      </c>
      <c r="O638" s="1">
        <v>45167</v>
      </c>
      <c r="P638" t="s">
        <v>28</v>
      </c>
      <c r="Q638">
        <f>+IF(OR(Datos[[#This Row],[Diagnostico]]="Inservible",Datos[[#This Row],[Estatus]]="Preventivo"),0,Datos[[#This Row],[Fecha_Final]]-Datos[[#This Row],[Día_Inicio]])</f>
        <v>0</v>
      </c>
      <c r="R638" s="2">
        <v>0</v>
      </c>
      <c r="S638" s="2">
        <v>0</v>
      </c>
      <c r="T638" t="s">
        <v>29</v>
      </c>
    </row>
    <row r="639" spans="1:20" x14ac:dyDescent="0.25">
      <c r="A639" t="s">
        <v>821</v>
      </c>
      <c r="B639" s="1">
        <v>45142</v>
      </c>
      <c r="C639" t="s">
        <v>813</v>
      </c>
      <c r="D639">
        <v>8</v>
      </c>
      <c r="E639" t="str">
        <f>+CONCATENATE("T",ROUNDUP(MONTH(Datos[[#This Row],[Fecha]])/3,0))</f>
        <v>T3</v>
      </c>
      <c r="F639" t="str">
        <f>+CONCATENATE("Sem"," ",ROUNDUP(MONTH(Datos[[#This Row],[Fecha]])/6,0))</f>
        <v>Sem 2</v>
      </c>
      <c r="G639" t="s">
        <v>61</v>
      </c>
      <c r="H639" t="s">
        <v>62</v>
      </c>
      <c r="I639" t="s">
        <v>24</v>
      </c>
      <c r="J639" t="s">
        <v>46</v>
      </c>
      <c r="K639" t="s">
        <v>110</v>
      </c>
      <c r="L639" t="s">
        <v>27</v>
      </c>
      <c r="M639">
        <v>0</v>
      </c>
      <c r="N639" s="1">
        <v>45142</v>
      </c>
      <c r="O639" s="1">
        <v>45144</v>
      </c>
      <c r="P639" t="s">
        <v>58</v>
      </c>
      <c r="Q639">
        <f>+IF(OR(Datos[[#This Row],[Diagnostico]]="Inservible",Datos[[#This Row],[Estatus]]="Preventivo"),0,Datos[[#This Row],[Fecha_Final]]-Datos[[#This Row],[Día_Inicio]])</f>
        <v>2</v>
      </c>
      <c r="R639" s="2">
        <v>887</v>
      </c>
      <c r="S639" s="2">
        <v>402</v>
      </c>
      <c r="T639" t="s">
        <v>91</v>
      </c>
    </row>
    <row r="640" spans="1:20" x14ac:dyDescent="0.25">
      <c r="A640" t="s">
        <v>822</v>
      </c>
      <c r="B640" s="1">
        <v>45142</v>
      </c>
      <c r="C640" t="s">
        <v>813</v>
      </c>
      <c r="D640">
        <v>8</v>
      </c>
      <c r="E640" t="str">
        <f>+CONCATENATE("T",ROUNDUP(MONTH(Datos[[#This Row],[Fecha]])/3,0))</f>
        <v>T3</v>
      </c>
      <c r="F640" t="str">
        <f>+CONCATENATE("Sem"," ",ROUNDUP(MONTH(Datos[[#This Row],[Fecha]])/6,0))</f>
        <v>Sem 2</v>
      </c>
      <c r="G640" t="s">
        <v>49</v>
      </c>
      <c r="H640" t="s">
        <v>23</v>
      </c>
      <c r="I640" t="s">
        <v>24</v>
      </c>
      <c r="J640" t="s">
        <v>50</v>
      </c>
      <c r="K640" t="s">
        <v>114</v>
      </c>
      <c r="L640" t="s">
        <v>27</v>
      </c>
      <c r="M640">
        <v>0</v>
      </c>
      <c r="N640" s="1">
        <v>45142</v>
      </c>
      <c r="O640" s="1">
        <v>45155</v>
      </c>
      <c r="P640" t="s">
        <v>28</v>
      </c>
      <c r="Q640">
        <f>+IF(OR(Datos[[#This Row],[Diagnostico]]="Inservible",Datos[[#This Row],[Estatus]]="Preventivo"),0,Datos[[#This Row],[Fecha_Final]]-Datos[[#This Row],[Día_Inicio]])</f>
        <v>0</v>
      </c>
      <c r="R640" s="2">
        <v>0</v>
      </c>
      <c r="S640" s="2">
        <v>0</v>
      </c>
      <c r="T640" t="s">
        <v>29</v>
      </c>
    </row>
    <row r="641" spans="1:20" x14ac:dyDescent="0.25">
      <c r="A641" t="s">
        <v>823</v>
      </c>
      <c r="B641" s="1">
        <v>45142</v>
      </c>
      <c r="C641" t="s">
        <v>813</v>
      </c>
      <c r="D641">
        <v>8</v>
      </c>
      <c r="E641" t="str">
        <f>+CONCATENATE("T",ROUNDUP(MONTH(Datos[[#This Row],[Fecha]])/3,0))</f>
        <v>T3</v>
      </c>
      <c r="F641" t="str">
        <f>+CONCATENATE("Sem"," ",ROUNDUP(MONTH(Datos[[#This Row],[Fecha]])/6,0))</f>
        <v>Sem 2</v>
      </c>
      <c r="G641" t="s">
        <v>175</v>
      </c>
      <c r="H641" t="s">
        <v>176</v>
      </c>
      <c r="I641" t="s">
        <v>24</v>
      </c>
      <c r="J641" t="s">
        <v>177</v>
      </c>
      <c r="K641" t="s">
        <v>119</v>
      </c>
      <c r="L641" t="s">
        <v>27</v>
      </c>
      <c r="M641">
        <v>0</v>
      </c>
      <c r="N641" s="1">
        <v>45142</v>
      </c>
      <c r="O641" s="1">
        <v>45163</v>
      </c>
      <c r="P641" t="s">
        <v>28</v>
      </c>
      <c r="Q641">
        <f>+IF(OR(Datos[[#This Row],[Diagnostico]]="Inservible",Datos[[#This Row],[Estatus]]="Preventivo"),0,Datos[[#This Row],[Fecha_Final]]-Datos[[#This Row],[Día_Inicio]])</f>
        <v>0</v>
      </c>
      <c r="R641" s="2">
        <v>0</v>
      </c>
      <c r="S641" s="2">
        <v>0</v>
      </c>
      <c r="T641" t="s">
        <v>29</v>
      </c>
    </row>
    <row r="642" spans="1:20" x14ac:dyDescent="0.25">
      <c r="A642" t="s">
        <v>824</v>
      </c>
      <c r="B642" s="1">
        <v>45142</v>
      </c>
      <c r="C642" t="s">
        <v>813</v>
      </c>
      <c r="D642">
        <v>8</v>
      </c>
      <c r="E642" t="str">
        <f>+CONCATENATE("T",ROUNDUP(MONTH(Datos[[#This Row],[Fecha]])/3,0))</f>
        <v>T3</v>
      </c>
      <c r="F642" t="str">
        <f>+CONCATENATE("Sem"," ",ROUNDUP(MONTH(Datos[[#This Row],[Fecha]])/6,0))</f>
        <v>Sem 2</v>
      </c>
      <c r="G642" t="s">
        <v>141</v>
      </c>
      <c r="H642" t="s">
        <v>142</v>
      </c>
      <c r="I642" t="s">
        <v>24</v>
      </c>
      <c r="J642" t="s">
        <v>143</v>
      </c>
      <c r="K642" t="s">
        <v>123</v>
      </c>
      <c r="L642" t="s">
        <v>27</v>
      </c>
      <c r="M642">
        <v>0</v>
      </c>
      <c r="N642" s="1">
        <v>45142</v>
      </c>
      <c r="O642" s="1">
        <v>45149</v>
      </c>
      <c r="P642" t="s">
        <v>28</v>
      </c>
      <c r="Q642">
        <f>+IF(OR(Datos[[#This Row],[Diagnostico]]="Inservible",Datos[[#This Row],[Estatus]]="Preventivo"),0,Datos[[#This Row],[Fecha_Final]]-Datos[[#This Row],[Día_Inicio]])</f>
        <v>0</v>
      </c>
      <c r="R642" s="2">
        <v>0</v>
      </c>
      <c r="S642" s="2">
        <v>0</v>
      </c>
      <c r="T642" t="s">
        <v>29</v>
      </c>
    </row>
    <row r="643" spans="1:20" x14ac:dyDescent="0.25">
      <c r="A643" t="s">
        <v>825</v>
      </c>
      <c r="B643" s="1">
        <v>45142</v>
      </c>
      <c r="C643" t="s">
        <v>813</v>
      </c>
      <c r="D643">
        <v>8</v>
      </c>
      <c r="E643" t="str">
        <f>+CONCATENATE("T",ROUNDUP(MONTH(Datos[[#This Row],[Fecha]])/3,0))</f>
        <v>T3</v>
      </c>
      <c r="F643" t="str">
        <f>+CONCATENATE("Sem"," ",ROUNDUP(MONTH(Datos[[#This Row],[Fecha]])/6,0))</f>
        <v>Sem 2</v>
      </c>
      <c r="G643" t="s">
        <v>137</v>
      </c>
      <c r="H643" t="s">
        <v>138</v>
      </c>
      <c r="I643" t="s">
        <v>68</v>
      </c>
      <c r="J643" t="s">
        <v>139</v>
      </c>
      <c r="K643" t="s">
        <v>128</v>
      </c>
      <c r="L643" t="s">
        <v>27</v>
      </c>
      <c r="M643">
        <v>0</v>
      </c>
      <c r="N643" s="1">
        <v>45142</v>
      </c>
      <c r="O643" s="1">
        <v>45154</v>
      </c>
      <c r="P643" t="s">
        <v>58</v>
      </c>
      <c r="Q643">
        <f>+IF(OR(Datos[[#This Row],[Diagnostico]]="Inservible",Datos[[#This Row],[Estatus]]="Preventivo"),0,Datos[[#This Row],[Fecha_Final]]-Datos[[#This Row],[Día_Inicio]])</f>
        <v>12</v>
      </c>
      <c r="R643" s="2">
        <v>699</v>
      </c>
      <c r="S643" s="2">
        <v>993</v>
      </c>
      <c r="T643" t="s">
        <v>59</v>
      </c>
    </row>
    <row r="644" spans="1:20" x14ac:dyDescent="0.25">
      <c r="A644" t="s">
        <v>826</v>
      </c>
      <c r="B644" s="1">
        <v>45142</v>
      </c>
      <c r="C644" t="s">
        <v>813</v>
      </c>
      <c r="D644">
        <v>8</v>
      </c>
      <c r="E644" t="str">
        <f>+CONCATENATE("T",ROUNDUP(MONTH(Datos[[#This Row],[Fecha]])/3,0))</f>
        <v>T3</v>
      </c>
      <c r="F644" t="str">
        <f>+CONCATENATE("Sem"," ",ROUNDUP(MONTH(Datos[[#This Row],[Fecha]])/6,0))</f>
        <v>Sem 2</v>
      </c>
      <c r="G644" t="s">
        <v>149</v>
      </c>
      <c r="H644" t="s">
        <v>150</v>
      </c>
      <c r="I644" t="s">
        <v>68</v>
      </c>
      <c r="J644" t="s">
        <v>151</v>
      </c>
      <c r="K644" t="s">
        <v>39</v>
      </c>
      <c r="L644" t="s">
        <v>40</v>
      </c>
      <c r="M644" t="s">
        <v>75</v>
      </c>
      <c r="N644" s="1">
        <v>45142</v>
      </c>
      <c r="O644" s="1">
        <v>45502</v>
      </c>
      <c r="P644" t="s">
        <v>29</v>
      </c>
      <c r="Q644">
        <f>+IF(OR(Datos[[#This Row],[Diagnostico]]="Inservible",Datos[[#This Row],[Estatus]]="Preventivo"),0,Datos[[#This Row],[Fecha_Final]]-Datos[[#This Row],[Día_Inicio]])</f>
        <v>0</v>
      </c>
      <c r="R644" s="2">
        <v>770</v>
      </c>
      <c r="S644" s="2">
        <v>917</v>
      </c>
      <c r="T644" t="s">
        <v>42</v>
      </c>
    </row>
    <row r="645" spans="1:20" x14ac:dyDescent="0.25">
      <c r="A645" t="s">
        <v>827</v>
      </c>
      <c r="B645" s="1">
        <v>45142</v>
      </c>
      <c r="C645" t="s">
        <v>813</v>
      </c>
      <c r="D645">
        <v>8</v>
      </c>
      <c r="E645" t="str">
        <f>+CONCATENATE("T",ROUNDUP(MONTH(Datos[[#This Row],[Fecha]])/3,0))</f>
        <v>T3</v>
      </c>
      <c r="F645" t="str">
        <f>+CONCATENATE("Sem"," ",ROUNDUP(MONTH(Datos[[#This Row],[Fecha]])/6,0))</f>
        <v>Sem 2</v>
      </c>
      <c r="G645" t="s">
        <v>77</v>
      </c>
      <c r="H645" t="s">
        <v>78</v>
      </c>
      <c r="I645" t="s">
        <v>24</v>
      </c>
      <c r="J645" t="s">
        <v>79</v>
      </c>
      <c r="K645" t="s">
        <v>135</v>
      </c>
      <c r="L645" t="s">
        <v>27</v>
      </c>
      <c r="M645">
        <v>0</v>
      </c>
      <c r="N645" s="1">
        <v>45142</v>
      </c>
      <c r="O645" s="1">
        <v>45169</v>
      </c>
      <c r="P645" t="s">
        <v>58</v>
      </c>
      <c r="Q645">
        <f>+IF(OR(Datos[[#This Row],[Diagnostico]]="Inservible",Datos[[#This Row],[Estatus]]="Preventivo"),0,Datos[[#This Row],[Fecha_Final]]-Datos[[#This Row],[Día_Inicio]])</f>
        <v>27</v>
      </c>
      <c r="R645" s="2">
        <v>1037</v>
      </c>
      <c r="S645" s="2">
        <v>737</v>
      </c>
      <c r="T645" t="s">
        <v>59</v>
      </c>
    </row>
    <row r="646" spans="1:20" x14ac:dyDescent="0.25">
      <c r="A646" t="s">
        <v>828</v>
      </c>
      <c r="B646" s="1">
        <v>45144</v>
      </c>
      <c r="C646" t="s">
        <v>813</v>
      </c>
      <c r="D646">
        <v>8</v>
      </c>
      <c r="E646" t="str">
        <f>+CONCATENATE("T",ROUNDUP(MONTH(Datos[[#This Row],[Fecha]])/3,0))</f>
        <v>T3</v>
      </c>
      <c r="F646" t="str">
        <f>+CONCATENATE("Sem"," ",ROUNDUP(MONTH(Datos[[#This Row],[Fecha]])/6,0))</f>
        <v>Sem 2</v>
      </c>
      <c r="G646" t="s">
        <v>260</v>
      </c>
      <c r="H646" t="s">
        <v>261</v>
      </c>
      <c r="I646" t="s">
        <v>24</v>
      </c>
      <c r="J646" t="s">
        <v>33</v>
      </c>
      <c r="K646" t="s">
        <v>39</v>
      </c>
      <c r="L646" t="s">
        <v>40</v>
      </c>
      <c r="M646" t="s">
        <v>188</v>
      </c>
      <c r="N646" s="1">
        <v>45144</v>
      </c>
      <c r="O646" s="1">
        <v>45324</v>
      </c>
      <c r="P646" t="s">
        <v>29</v>
      </c>
      <c r="Q646">
        <f>+IF(OR(Datos[[#This Row],[Diagnostico]]="Inservible",Datos[[#This Row],[Estatus]]="Preventivo"),0,Datos[[#This Row],[Fecha_Final]]-Datos[[#This Row],[Día_Inicio]])</f>
        <v>0</v>
      </c>
      <c r="R646" s="2">
        <v>269</v>
      </c>
      <c r="S646" s="2">
        <v>594</v>
      </c>
      <c r="T646" t="s">
        <v>42</v>
      </c>
    </row>
    <row r="647" spans="1:20" x14ac:dyDescent="0.25">
      <c r="A647" t="s">
        <v>829</v>
      </c>
      <c r="B647" s="1">
        <v>45145</v>
      </c>
      <c r="C647" t="s">
        <v>813</v>
      </c>
      <c r="D647">
        <v>8</v>
      </c>
      <c r="E647" t="str">
        <f>+CONCATENATE("T",ROUNDUP(MONTH(Datos[[#This Row],[Fecha]])/3,0))</f>
        <v>T3</v>
      </c>
      <c r="F647" t="str">
        <f>+CONCATENATE("Sem"," ",ROUNDUP(MONTH(Datos[[#This Row],[Fecha]])/6,0))</f>
        <v>Sem 2</v>
      </c>
      <c r="G647" t="s">
        <v>237</v>
      </c>
      <c r="H647" t="s">
        <v>238</v>
      </c>
      <c r="I647" t="s">
        <v>24</v>
      </c>
      <c r="J647" t="s">
        <v>177</v>
      </c>
      <c r="K647" t="s">
        <v>34</v>
      </c>
      <c r="L647" t="s">
        <v>27</v>
      </c>
      <c r="M647">
        <v>0</v>
      </c>
      <c r="N647" s="1">
        <v>45145</v>
      </c>
      <c r="O647" s="1">
        <v>45174</v>
      </c>
      <c r="P647" t="s">
        <v>58</v>
      </c>
      <c r="Q647">
        <f>+IF(OR(Datos[[#This Row],[Diagnostico]]="Inservible",Datos[[#This Row],[Estatus]]="Preventivo"),0,Datos[[#This Row],[Fecha_Final]]-Datos[[#This Row],[Día_Inicio]])</f>
        <v>29</v>
      </c>
      <c r="R647" s="2">
        <v>475</v>
      </c>
      <c r="S647" s="2">
        <v>347</v>
      </c>
      <c r="T647" t="s">
        <v>91</v>
      </c>
    </row>
    <row r="648" spans="1:20" x14ac:dyDescent="0.25">
      <c r="A648" t="s">
        <v>830</v>
      </c>
      <c r="B648" s="1">
        <v>45145</v>
      </c>
      <c r="C648" t="s">
        <v>813</v>
      </c>
      <c r="D648">
        <v>8</v>
      </c>
      <c r="E648" t="str">
        <f>+CONCATENATE("T",ROUNDUP(MONTH(Datos[[#This Row],[Fecha]])/3,0))</f>
        <v>T3</v>
      </c>
      <c r="F648" t="str">
        <f>+CONCATENATE("Sem"," ",ROUNDUP(MONTH(Datos[[#This Row],[Fecha]])/6,0))</f>
        <v>Sem 2</v>
      </c>
      <c r="G648" t="s">
        <v>49</v>
      </c>
      <c r="H648" t="s">
        <v>23</v>
      </c>
      <c r="I648" t="s">
        <v>24</v>
      </c>
      <c r="J648" t="s">
        <v>50</v>
      </c>
      <c r="K648" t="s">
        <v>39</v>
      </c>
      <c r="L648" t="s">
        <v>27</v>
      </c>
      <c r="M648">
        <v>0</v>
      </c>
      <c r="N648" s="1">
        <v>45145</v>
      </c>
      <c r="O648" s="1">
        <v>45155</v>
      </c>
      <c r="P648" t="s">
        <v>58</v>
      </c>
      <c r="Q648">
        <f>+IF(OR(Datos[[#This Row],[Diagnostico]]="Inservible",Datos[[#This Row],[Estatus]]="Preventivo"),0,Datos[[#This Row],[Fecha_Final]]-Datos[[#This Row],[Día_Inicio]])</f>
        <v>10</v>
      </c>
      <c r="R648" s="2">
        <v>217</v>
      </c>
      <c r="S648" s="2">
        <v>538</v>
      </c>
      <c r="T648" t="s">
        <v>91</v>
      </c>
    </row>
    <row r="649" spans="1:20" x14ac:dyDescent="0.25">
      <c r="A649" t="s">
        <v>831</v>
      </c>
      <c r="B649" s="1">
        <v>45145</v>
      </c>
      <c r="C649" t="s">
        <v>813</v>
      </c>
      <c r="D649">
        <v>8</v>
      </c>
      <c r="E649" t="str">
        <f>+CONCATENATE("T",ROUNDUP(MONTH(Datos[[#This Row],[Fecha]])/3,0))</f>
        <v>T3</v>
      </c>
      <c r="F649" t="str">
        <f>+CONCATENATE("Sem"," ",ROUNDUP(MONTH(Datos[[#This Row],[Fecha]])/6,0))</f>
        <v>Sem 2</v>
      </c>
      <c r="G649" t="s">
        <v>180</v>
      </c>
      <c r="H649" t="s">
        <v>181</v>
      </c>
      <c r="I649" t="s">
        <v>24</v>
      </c>
      <c r="J649" t="s">
        <v>127</v>
      </c>
      <c r="K649" t="s">
        <v>47</v>
      </c>
      <c r="L649" t="s">
        <v>27</v>
      </c>
      <c r="M649">
        <v>0</v>
      </c>
      <c r="N649" s="1">
        <v>45145</v>
      </c>
      <c r="O649" s="1">
        <v>45174</v>
      </c>
      <c r="P649" t="s">
        <v>58</v>
      </c>
      <c r="Q649">
        <f>+IF(OR(Datos[[#This Row],[Diagnostico]]="Inservible",Datos[[#This Row],[Estatus]]="Preventivo"),0,Datos[[#This Row],[Fecha_Final]]-Datos[[#This Row],[Día_Inicio]])</f>
        <v>29</v>
      </c>
      <c r="R649" s="2">
        <v>1070</v>
      </c>
      <c r="S649" s="2">
        <v>629</v>
      </c>
      <c r="T649" t="s">
        <v>91</v>
      </c>
    </row>
    <row r="650" spans="1:20" x14ac:dyDescent="0.25">
      <c r="A650" t="s">
        <v>832</v>
      </c>
      <c r="B650" s="1">
        <v>45145</v>
      </c>
      <c r="C650" t="s">
        <v>813</v>
      </c>
      <c r="D650">
        <v>8</v>
      </c>
      <c r="E650" t="str">
        <f>+CONCATENATE("T",ROUNDUP(MONTH(Datos[[#This Row],[Fecha]])/3,0))</f>
        <v>T3</v>
      </c>
      <c r="F650" t="str">
        <f>+CONCATENATE("Sem"," ",ROUNDUP(MONTH(Datos[[#This Row],[Fecha]])/6,0))</f>
        <v>Sem 2</v>
      </c>
      <c r="G650" t="s">
        <v>141</v>
      </c>
      <c r="H650" t="s">
        <v>142</v>
      </c>
      <c r="I650" t="s">
        <v>24</v>
      </c>
      <c r="J650" t="s">
        <v>143</v>
      </c>
      <c r="K650" t="s">
        <v>147</v>
      </c>
      <c r="L650" t="s">
        <v>27</v>
      </c>
      <c r="M650">
        <v>0</v>
      </c>
      <c r="N650" s="1">
        <v>45145</v>
      </c>
      <c r="O650" s="1">
        <v>45168</v>
      </c>
      <c r="P650" t="s">
        <v>58</v>
      </c>
      <c r="Q650">
        <f>+IF(OR(Datos[[#This Row],[Diagnostico]]="Inservible",Datos[[#This Row],[Estatus]]="Preventivo"),0,Datos[[#This Row],[Fecha_Final]]-Datos[[#This Row],[Día_Inicio]])</f>
        <v>23</v>
      </c>
      <c r="R650" s="2">
        <v>443</v>
      </c>
      <c r="S650" s="2">
        <v>417</v>
      </c>
      <c r="T650" t="s">
        <v>42</v>
      </c>
    </row>
    <row r="651" spans="1:20" x14ac:dyDescent="0.25">
      <c r="A651" t="s">
        <v>833</v>
      </c>
      <c r="B651" s="1">
        <v>45146</v>
      </c>
      <c r="C651" t="s">
        <v>813</v>
      </c>
      <c r="D651">
        <v>8</v>
      </c>
      <c r="E651" t="str">
        <f>+CONCATENATE("T",ROUNDUP(MONTH(Datos[[#This Row],[Fecha]])/3,0))</f>
        <v>T3</v>
      </c>
      <c r="F651" t="str">
        <f>+CONCATENATE("Sem"," ",ROUNDUP(MONTH(Datos[[#This Row],[Fecha]])/6,0))</f>
        <v>Sem 2</v>
      </c>
      <c r="G651" t="s">
        <v>66</v>
      </c>
      <c r="H651" t="s">
        <v>67</v>
      </c>
      <c r="I651" t="s">
        <v>68</v>
      </c>
      <c r="J651" t="s">
        <v>69</v>
      </c>
      <c r="K651" t="s">
        <v>57</v>
      </c>
      <c r="L651" t="s">
        <v>27</v>
      </c>
      <c r="M651">
        <v>0</v>
      </c>
      <c r="N651" s="1">
        <v>45146</v>
      </c>
      <c r="O651" s="1">
        <v>45176</v>
      </c>
      <c r="P651" t="s">
        <v>58</v>
      </c>
      <c r="Q651">
        <f>+IF(OR(Datos[[#This Row],[Diagnostico]]="Inservible",Datos[[#This Row],[Estatus]]="Preventivo"),0,Datos[[#This Row],[Fecha_Final]]-Datos[[#This Row],[Día_Inicio]])</f>
        <v>30</v>
      </c>
      <c r="R651" s="2">
        <v>878</v>
      </c>
      <c r="S651" s="2">
        <v>699</v>
      </c>
      <c r="T651" t="s">
        <v>91</v>
      </c>
    </row>
    <row r="652" spans="1:20" x14ac:dyDescent="0.25">
      <c r="A652" t="s">
        <v>834</v>
      </c>
      <c r="B652" s="1">
        <v>45147</v>
      </c>
      <c r="C652" t="s">
        <v>813</v>
      </c>
      <c r="D652">
        <v>8</v>
      </c>
      <c r="E652" t="str">
        <f>+CONCATENATE("T",ROUNDUP(MONTH(Datos[[#This Row],[Fecha]])/3,0))</f>
        <v>T3</v>
      </c>
      <c r="F652" t="str">
        <f>+CONCATENATE("Sem"," ",ROUNDUP(MONTH(Datos[[#This Row],[Fecha]])/6,0))</f>
        <v>Sem 2</v>
      </c>
      <c r="G652" t="s">
        <v>169</v>
      </c>
      <c r="H652" t="s">
        <v>170</v>
      </c>
      <c r="I652" t="s">
        <v>68</v>
      </c>
      <c r="J652" t="s">
        <v>171</v>
      </c>
      <c r="K652" t="s">
        <v>63</v>
      </c>
      <c r="L652" t="s">
        <v>27</v>
      </c>
      <c r="M652">
        <v>0</v>
      </c>
      <c r="N652" s="1">
        <v>45147</v>
      </c>
      <c r="O652" s="1">
        <v>45171</v>
      </c>
      <c r="P652" t="s">
        <v>28</v>
      </c>
      <c r="Q652">
        <f>+IF(OR(Datos[[#This Row],[Diagnostico]]="Inservible",Datos[[#This Row],[Estatus]]="Preventivo"),0,Datos[[#This Row],[Fecha_Final]]-Datos[[#This Row],[Día_Inicio]])</f>
        <v>0</v>
      </c>
      <c r="R652" s="2">
        <v>0</v>
      </c>
      <c r="S652" s="2">
        <v>0</v>
      </c>
      <c r="T652" t="s">
        <v>29</v>
      </c>
    </row>
    <row r="653" spans="1:20" x14ac:dyDescent="0.25">
      <c r="A653" t="s">
        <v>835</v>
      </c>
      <c r="B653" s="1">
        <v>45147</v>
      </c>
      <c r="C653" t="s">
        <v>813</v>
      </c>
      <c r="D653">
        <v>8</v>
      </c>
      <c r="E653" t="str">
        <f>+CONCATENATE("T",ROUNDUP(MONTH(Datos[[#This Row],[Fecha]])/3,0))</f>
        <v>T3</v>
      </c>
      <c r="F653" t="str">
        <f>+CONCATENATE("Sem"," ",ROUNDUP(MONTH(Datos[[#This Row],[Fecha]])/6,0))</f>
        <v>Sem 2</v>
      </c>
      <c r="G653" t="s">
        <v>149</v>
      </c>
      <c r="H653" t="s">
        <v>150</v>
      </c>
      <c r="I653" t="s">
        <v>68</v>
      </c>
      <c r="J653" t="s">
        <v>151</v>
      </c>
      <c r="K653" t="s">
        <v>70</v>
      </c>
      <c r="L653" t="s">
        <v>27</v>
      </c>
      <c r="M653">
        <v>0</v>
      </c>
      <c r="N653" s="1">
        <v>45147</v>
      </c>
      <c r="O653" s="1">
        <v>45158</v>
      </c>
      <c r="P653" t="s">
        <v>28</v>
      </c>
      <c r="Q653">
        <f>+IF(OR(Datos[[#This Row],[Diagnostico]]="Inservible",Datos[[#This Row],[Estatus]]="Preventivo"),0,Datos[[#This Row],[Fecha_Final]]-Datos[[#This Row],[Día_Inicio]])</f>
        <v>0</v>
      </c>
      <c r="R653" s="2">
        <v>0</v>
      </c>
      <c r="S653" s="2">
        <v>0</v>
      </c>
      <c r="T653" t="s">
        <v>29</v>
      </c>
    </row>
    <row r="654" spans="1:20" x14ac:dyDescent="0.25">
      <c r="A654" t="s">
        <v>836</v>
      </c>
      <c r="B654" s="1">
        <v>45147</v>
      </c>
      <c r="C654" t="s">
        <v>813</v>
      </c>
      <c r="D654">
        <v>8</v>
      </c>
      <c r="E654" t="str">
        <f>+CONCATENATE("T",ROUNDUP(MONTH(Datos[[#This Row],[Fecha]])/3,0))</f>
        <v>T3</v>
      </c>
      <c r="F654" t="str">
        <f>+CONCATENATE("Sem"," ",ROUNDUP(MONTH(Datos[[#This Row],[Fecha]])/6,0))</f>
        <v>Sem 2</v>
      </c>
      <c r="G654" t="s">
        <v>180</v>
      </c>
      <c r="H654" t="s">
        <v>181</v>
      </c>
      <c r="I654" t="s">
        <v>24</v>
      </c>
      <c r="J654" t="s">
        <v>127</v>
      </c>
      <c r="K654" t="s">
        <v>39</v>
      </c>
      <c r="L654" t="s">
        <v>40</v>
      </c>
      <c r="M654" t="s">
        <v>51</v>
      </c>
      <c r="N654" s="1">
        <v>45147</v>
      </c>
      <c r="O654" s="1">
        <v>45207</v>
      </c>
      <c r="P654" t="s">
        <v>29</v>
      </c>
      <c r="Q654">
        <f>+IF(OR(Datos[[#This Row],[Diagnostico]]="Inservible",Datos[[#This Row],[Estatus]]="Preventivo"),0,Datos[[#This Row],[Fecha_Final]]-Datos[[#This Row],[Día_Inicio]])</f>
        <v>0</v>
      </c>
      <c r="R654" s="2">
        <v>409</v>
      </c>
      <c r="S654" s="2">
        <v>736</v>
      </c>
      <c r="T654" t="s">
        <v>42</v>
      </c>
    </row>
    <row r="655" spans="1:20" x14ac:dyDescent="0.25">
      <c r="A655" t="s">
        <v>837</v>
      </c>
      <c r="B655" s="1">
        <v>45148</v>
      </c>
      <c r="C655" t="s">
        <v>813</v>
      </c>
      <c r="D655">
        <v>8</v>
      </c>
      <c r="E655" t="str">
        <f>+CONCATENATE("T",ROUNDUP(MONTH(Datos[[#This Row],[Fecha]])/3,0))</f>
        <v>T3</v>
      </c>
      <c r="F655" t="str">
        <f>+CONCATENATE("Sem"," ",ROUNDUP(MONTH(Datos[[#This Row],[Fecha]])/6,0))</f>
        <v>Sem 2</v>
      </c>
      <c r="G655" t="s">
        <v>183</v>
      </c>
      <c r="H655" t="s">
        <v>184</v>
      </c>
      <c r="I655" t="s">
        <v>24</v>
      </c>
      <c r="J655" t="s">
        <v>139</v>
      </c>
      <c r="K655" t="s">
        <v>80</v>
      </c>
      <c r="L655" t="s">
        <v>27</v>
      </c>
      <c r="M655">
        <v>0</v>
      </c>
      <c r="N655" s="1">
        <v>45148</v>
      </c>
      <c r="O655" s="1">
        <v>45158</v>
      </c>
      <c r="P655" t="s">
        <v>58</v>
      </c>
      <c r="Q655">
        <f>+IF(OR(Datos[[#This Row],[Diagnostico]]="Inservible",Datos[[#This Row],[Estatus]]="Preventivo"),0,Datos[[#This Row],[Fecha_Final]]-Datos[[#This Row],[Día_Inicio]])</f>
        <v>10</v>
      </c>
      <c r="R655" s="2">
        <v>1033</v>
      </c>
      <c r="S655" s="2">
        <v>626</v>
      </c>
      <c r="T655" t="s">
        <v>64</v>
      </c>
    </row>
    <row r="656" spans="1:20" x14ac:dyDescent="0.25">
      <c r="A656" t="s">
        <v>838</v>
      </c>
      <c r="B656" s="1">
        <v>45149</v>
      </c>
      <c r="C656" t="s">
        <v>813</v>
      </c>
      <c r="D656">
        <v>8</v>
      </c>
      <c r="E656" t="str">
        <f>+CONCATENATE("T",ROUNDUP(MONTH(Datos[[#This Row],[Fecha]])/3,0))</f>
        <v>T3</v>
      </c>
      <c r="F656" t="str">
        <f>+CONCATENATE("Sem"," ",ROUNDUP(MONTH(Datos[[#This Row],[Fecha]])/6,0))</f>
        <v>Sem 2</v>
      </c>
      <c r="G656" t="s">
        <v>49</v>
      </c>
      <c r="H656" t="s">
        <v>23</v>
      </c>
      <c r="I656" t="s">
        <v>24</v>
      </c>
      <c r="J656" t="s">
        <v>50</v>
      </c>
      <c r="K656" t="s">
        <v>85</v>
      </c>
      <c r="L656" t="s">
        <v>27</v>
      </c>
      <c r="M656">
        <v>0</v>
      </c>
      <c r="N656" s="1">
        <v>45149</v>
      </c>
      <c r="O656" s="1">
        <v>45174</v>
      </c>
      <c r="P656" t="s">
        <v>28</v>
      </c>
      <c r="Q656">
        <f>+IF(OR(Datos[[#This Row],[Diagnostico]]="Inservible",Datos[[#This Row],[Estatus]]="Preventivo"),0,Datos[[#This Row],[Fecha_Final]]-Datos[[#This Row],[Día_Inicio]])</f>
        <v>0</v>
      </c>
      <c r="R656" s="2">
        <v>0</v>
      </c>
      <c r="S656" s="2">
        <v>0</v>
      </c>
      <c r="T656" t="s">
        <v>29</v>
      </c>
    </row>
    <row r="657" spans="1:20" x14ac:dyDescent="0.25">
      <c r="A657" t="s">
        <v>839</v>
      </c>
      <c r="B657" s="1">
        <v>45149</v>
      </c>
      <c r="C657" t="s">
        <v>813</v>
      </c>
      <c r="D657">
        <v>8</v>
      </c>
      <c r="E657" t="str">
        <f>+CONCATENATE("T",ROUNDUP(MONTH(Datos[[#This Row],[Fecha]])/3,0))</f>
        <v>T3</v>
      </c>
      <c r="F657" t="str">
        <f>+CONCATENATE("Sem"," ",ROUNDUP(MONTH(Datos[[#This Row],[Fecha]])/6,0))</f>
        <v>Sem 2</v>
      </c>
      <c r="G657" t="s">
        <v>112</v>
      </c>
      <c r="H657" t="s">
        <v>113</v>
      </c>
      <c r="I657" t="s">
        <v>24</v>
      </c>
      <c r="J657" t="s">
        <v>79</v>
      </c>
      <c r="K657" t="s">
        <v>90</v>
      </c>
      <c r="L657" t="s">
        <v>27</v>
      </c>
      <c r="M657">
        <v>0</v>
      </c>
      <c r="N657" s="1">
        <v>45149</v>
      </c>
      <c r="O657" s="1">
        <v>45177</v>
      </c>
      <c r="P657" t="s">
        <v>28</v>
      </c>
      <c r="Q657">
        <f>+IF(OR(Datos[[#This Row],[Diagnostico]]="Inservible",Datos[[#This Row],[Estatus]]="Preventivo"),0,Datos[[#This Row],[Fecha_Final]]-Datos[[#This Row],[Día_Inicio]])</f>
        <v>0</v>
      </c>
      <c r="R657" s="2">
        <v>0</v>
      </c>
      <c r="S657" s="2">
        <v>0</v>
      </c>
      <c r="T657" t="s">
        <v>29</v>
      </c>
    </row>
    <row r="658" spans="1:20" x14ac:dyDescent="0.25">
      <c r="A658" t="s">
        <v>840</v>
      </c>
      <c r="B658" s="1">
        <v>45150</v>
      </c>
      <c r="C658" t="s">
        <v>813</v>
      </c>
      <c r="D658">
        <v>8</v>
      </c>
      <c r="E658" t="str">
        <f>+CONCATENATE("T",ROUNDUP(MONTH(Datos[[#This Row],[Fecha]])/3,0))</f>
        <v>T3</v>
      </c>
      <c r="F658" t="str">
        <f>+CONCATENATE("Sem"," ",ROUNDUP(MONTH(Datos[[#This Row],[Fecha]])/6,0))</f>
        <v>Sem 2</v>
      </c>
      <c r="G658" t="s">
        <v>175</v>
      </c>
      <c r="H658" t="s">
        <v>176</v>
      </c>
      <c r="I658" t="s">
        <v>24</v>
      </c>
      <c r="J658" t="s">
        <v>177</v>
      </c>
      <c r="K658" t="s">
        <v>172</v>
      </c>
      <c r="L658" t="s">
        <v>27</v>
      </c>
      <c r="M658">
        <v>0</v>
      </c>
      <c r="N658" s="1">
        <v>45150</v>
      </c>
      <c r="O658" s="1">
        <v>45158</v>
      </c>
      <c r="P658" t="s">
        <v>28</v>
      </c>
      <c r="Q658">
        <f>+IF(OR(Datos[[#This Row],[Diagnostico]]="Inservible",Datos[[#This Row],[Estatus]]="Preventivo"),0,Datos[[#This Row],[Fecha_Final]]-Datos[[#This Row],[Día_Inicio]])</f>
        <v>0</v>
      </c>
      <c r="R658" s="2">
        <v>0</v>
      </c>
      <c r="S658" s="2">
        <v>0</v>
      </c>
      <c r="T658" t="s">
        <v>29</v>
      </c>
    </row>
    <row r="659" spans="1:20" x14ac:dyDescent="0.25">
      <c r="A659" t="s">
        <v>841</v>
      </c>
      <c r="B659" s="1">
        <v>45151</v>
      </c>
      <c r="C659" t="s">
        <v>813</v>
      </c>
      <c r="D659">
        <v>8</v>
      </c>
      <c r="E659" t="str">
        <f>+CONCATENATE("T",ROUNDUP(MONTH(Datos[[#This Row],[Fecha]])/3,0))</f>
        <v>T3</v>
      </c>
      <c r="F659" t="str">
        <f>+CONCATENATE("Sem"," ",ROUNDUP(MONTH(Datos[[#This Row],[Fecha]])/6,0))</f>
        <v>Sem 2</v>
      </c>
      <c r="G659" t="s">
        <v>44</v>
      </c>
      <c r="H659" t="s">
        <v>45</v>
      </c>
      <c r="I659" t="s">
        <v>24</v>
      </c>
      <c r="J659" t="s">
        <v>46</v>
      </c>
      <c r="K659" t="s">
        <v>97</v>
      </c>
      <c r="L659" t="s">
        <v>27</v>
      </c>
      <c r="M659">
        <v>0</v>
      </c>
      <c r="N659" s="1">
        <v>45151</v>
      </c>
      <c r="O659" s="1">
        <v>45163</v>
      </c>
      <c r="P659" t="s">
        <v>28</v>
      </c>
      <c r="Q659">
        <f>+IF(OR(Datos[[#This Row],[Diagnostico]]="Inservible",Datos[[#This Row],[Estatus]]="Preventivo"),0,Datos[[#This Row],[Fecha_Final]]-Datos[[#This Row],[Día_Inicio]])</f>
        <v>0</v>
      </c>
      <c r="R659" s="2">
        <v>0</v>
      </c>
      <c r="S659" s="2">
        <v>0</v>
      </c>
      <c r="T659" t="s">
        <v>29</v>
      </c>
    </row>
    <row r="660" spans="1:20" x14ac:dyDescent="0.25">
      <c r="A660" t="s">
        <v>842</v>
      </c>
      <c r="B660" s="1">
        <v>45152</v>
      </c>
      <c r="C660" t="s">
        <v>813</v>
      </c>
      <c r="D660">
        <v>8</v>
      </c>
      <c r="E660" t="str">
        <f>+CONCATENATE("T",ROUNDUP(MONTH(Datos[[#This Row],[Fecha]])/3,0))</f>
        <v>T3</v>
      </c>
      <c r="F660" t="str">
        <f>+CONCATENATE("Sem"," ",ROUNDUP(MONTH(Datos[[#This Row],[Fecha]])/6,0))</f>
        <v>Sem 2</v>
      </c>
      <c r="G660" t="s">
        <v>164</v>
      </c>
      <c r="H660" t="s">
        <v>165</v>
      </c>
      <c r="I660" t="s">
        <v>24</v>
      </c>
      <c r="J660" t="s">
        <v>166</v>
      </c>
      <c r="K660" t="s">
        <v>39</v>
      </c>
      <c r="L660" t="s">
        <v>40</v>
      </c>
      <c r="M660" t="s">
        <v>103</v>
      </c>
      <c r="N660" s="1">
        <v>45152</v>
      </c>
      <c r="O660" s="1">
        <v>45167</v>
      </c>
      <c r="P660" t="s">
        <v>29</v>
      </c>
      <c r="Q660">
        <f>+IF(OR(Datos[[#This Row],[Diagnostico]]="Inservible",Datos[[#This Row],[Estatus]]="Preventivo"),0,Datos[[#This Row],[Fecha_Final]]-Datos[[#This Row],[Día_Inicio]])</f>
        <v>0</v>
      </c>
      <c r="R660" s="2">
        <v>375</v>
      </c>
      <c r="S660" s="2">
        <v>797</v>
      </c>
      <c r="T660" t="s">
        <v>42</v>
      </c>
    </row>
    <row r="661" spans="1:20" x14ac:dyDescent="0.25">
      <c r="A661" t="s">
        <v>843</v>
      </c>
      <c r="B661" s="1">
        <v>45152</v>
      </c>
      <c r="C661" t="s">
        <v>813</v>
      </c>
      <c r="D661">
        <v>8</v>
      </c>
      <c r="E661" t="str">
        <f>+CONCATENATE("T",ROUNDUP(MONTH(Datos[[#This Row],[Fecha]])/3,0))</f>
        <v>T3</v>
      </c>
      <c r="F661" t="str">
        <f>+CONCATENATE("Sem"," ",ROUNDUP(MONTH(Datos[[#This Row],[Fecha]])/6,0))</f>
        <v>Sem 2</v>
      </c>
      <c r="G661" t="s">
        <v>141</v>
      </c>
      <c r="H661" t="s">
        <v>142</v>
      </c>
      <c r="I661" t="s">
        <v>24</v>
      </c>
      <c r="J661" t="s">
        <v>143</v>
      </c>
      <c r="K661" t="s">
        <v>108</v>
      </c>
      <c r="L661" t="s">
        <v>27</v>
      </c>
      <c r="M661">
        <v>0</v>
      </c>
      <c r="N661" s="1">
        <v>45152</v>
      </c>
      <c r="O661" s="1">
        <v>45176</v>
      </c>
      <c r="P661" t="s">
        <v>58</v>
      </c>
      <c r="Q661">
        <f>+IF(OR(Datos[[#This Row],[Diagnostico]]="Inservible",Datos[[#This Row],[Estatus]]="Preventivo"),0,Datos[[#This Row],[Fecha_Final]]-Datos[[#This Row],[Día_Inicio]])</f>
        <v>24</v>
      </c>
      <c r="R661" s="2">
        <v>927</v>
      </c>
      <c r="S661" s="2">
        <v>711</v>
      </c>
      <c r="T661" t="s">
        <v>91</v>
      </c>
    </row>
    <row r="662" spans="1:20" x14ac:dyDescent="0.25">
      <c r="A662" t="s">
        <v>844</v>
      </c>
      <c r="B662" s="1">
        <v>45152</v>
      </c>
      <c r="C662" t="s">
        <v>813</v>
      </c>
      <c r="D662">
        <v>8</v>
      </c>
      <c r="E662" t="str">
        <f>+CONCATENATE("T",ROUNDUP(MONTH(Datos[[#This Row],[Fecha]])/3,0))</f>
        <v>T3</v>
      </c>
      <c r="F662" t="str">
        <f>+CONCATENATE("Sem"," ",ROUNDUP(MONTH(Datos[[#This Row],[Fecha]])/6,0))</f>
        <v>Sem 2</v>
      </c>
      <c r="G662" t="s">
        <v>77</v>
      </c>
      <c r="H662" t="s">
        <v>78</v>
      </c>
      <c r="I662" t="s">
        <v>24</v>
      </c>
      <c r="J662" t="s">
        <v>79</v>
      </c>
      <c r="K662" t="s">
        <v>110</v>
      </c>
      <c r="L662" t="s">
        <v>27</v>
      </c>
      <c r="M662">
        <v>0</v>
      </c>
      <c r="N662" s="1">
        <v>45152</v>
      </c>
      <c r="O662" s="1">
        <v>45156</v>
      </c>
      <c r="P662" t="s">
        <v>58</v>
      </c>
      <c r="Q662">
        <f>+IF(OR(Datos[[#This Row],[Diagnostico]]="Inservible",Datos[[#This Row],[Estatus]]="Preventivo"),0,Datos[[#This Row],[Fecha_Final]]-Datos[[#This Row],[Día_Inicio]])</f>
        <v>4</v>
      </c>
      <c r="R662" s="2">
        <v>428</v>
      </c>
      <c r="S662" s="2">
        <v>801</v>
      </c>
      <c r="T662" t="s">
        <v>91</v>
      </c>
    </row>
    <row r="663" spans="1:20" x14ac:dyDescent="0.25">
      <c r="A663" t="s">
        <v>845</v>
      </c>
      <c r="B663" s="1">
        <v>45152</v>
      </c>
      <c r="C663" t="s">
        <v>813</v>
      </c>
      <c r="D663">
        <v>8</v>
      </c>
      <c r="E663" t="str">
        <f>+CONCATENATE("T",ROUNDUP(MONTH(Datos[[#This Row],[Fecha]])/3,0))</f>
        <v>T3</v>
      </c>
      <c r="F663" t="str">
        <f>+CONCATENATE("Sem"," ",ROUNDUP(MONTH(Datos[[#This Row],[Fecha]])/6,0))</f>
        <v>Sem 2</v>
      </c>
      <c r="G663" t="s">
        <v>164</v>
      </c>
      <c r="H663" t="s">
        <v>165</v>
      </c>
      <c r="I663" t="s">
        <v>24</v>
      </c>
      <c r="J663" t="s">
        <v>166</v>
      </c>
      <c r="K663" t="s">
        <v>114</v>
      </c>
      <c r="L663" t="s">
        <v>27</v>
      </c>
      <c r="M663">
        <v>0</v>
      </c>
      <c r="N663" s="1">
        <v>45152</v>
      </c>
      <c r="O663" s="1">
        <v>45178</v>
      </c>
      <c r="P663" t="s">
        <v>58</v>
      </c>
      <c r="Q663">
        <f>+IF(OR(Datos[[#This Row],[Diagnostico]]="Inservible",Datos[[#This Row],[Estatus]]="Preventivo"),0,Datos[[#This Row],[Fecha_Final]]-Datos[[#This Row],[Día_Inicio]])</f>
        <v>26</v>
      </c>
      <c r="R663" s="2">
        <v>540</v>
      </c>
      <c r="S663" s="2">
        <v>736</v>
      </c>
      <c r="T663" t="s">
        <v>64</v>
      </c>
    </row>
    <row r="664" spans="1:20" x14ac:dyDescent="0.25">
      <c r="A664" t="s">
        <v>846</v>
      </c>
      <c r="B664" s="1">
        <v>45153</v>
      </c>
      <c r="C664" t="s">
        <v>813</v>
      </c>
      <c r="D664">
        <v>8</v>
      </c>
      <c r="E664" t="str">
        <f>+CONCATENATE("T",ROUNDUP(MONTH(Datos[[#This Row],[Fecha]])/3,0))</f>
        <v>T3</v>
      </c>
      <c r="F664" t="str">
        <f>+CONCATENATE("Sem"," ",ROUNDUP(MONTH(Datos[[#This Row],[Fecha]])/6,0))</f>
        <v>Sem 2</v>
      </c>
      <c r="G664" t="s">
        <v>87</v>
      </c>
      <c r="H664" t="s">
        <v>88</v>
      </c>
      <c r="I664" t="s">
        <v>68</v>
      </c>
      <c r="J664" t="s">
        <v>89</v>
      </c>
      <c r="K664" t="s">
        <v>39</v>
      </c>
      <c r="L664" t="s">
        <v>40</v>
      </c>
      <c r="M664" t="s">
        <v>188</v>
      </c>
      <c r="N664" s="1">
        <v>45153</v>
      </c>
      <c r="O664" s="1">
        <v>45333</v>
      </c>
      <c r="P664" t="s">
        <v>29</v>
      </c>
      <c r="Q664">
        <f>+IF(OR(Datos[[#This Row],[Diagnostico]]="Inservible",Datos[[#This Row],[Estatus]]="Preventivo"),0,Datos[[#This Row],[Fecha_Final]]-Datos[[#This Row],[Día_Inicio]])</f>
        <v>0</v>
      </c>
      <c r="R664" s="2">
        <v>1132</v>
      </c>
      <c r="S664" s="2">
        <v>351</v>
      </c>
      <c r="T664" t="s">
        <v>42</v>
      </c>
    </row>
    <row r="665" spans="1:20" x14ac:dyDescent="0.25">
      <c r="A665" t="s">
        <v>847</v>
      </c>
      <c r="B665" s="1">
        <v>45153</v>
      </c>
      <c r="C665" t="s">
        <v>813</v>
      </c>
      <c r="D665">
        <v>8</v>
      </c>
      <c r="E665" t="str">
        <f>+CONCATENATE("T",ROUNDUP(MONTH(Datos[[#This Row],[Fecha]])/3,0))</f>
        <v>T3</v>
      </c>
      <c r="F665" t="str">
        <f>+CONCATENATE("Sem"," ",ROUNDUP(MONTH(Datos[[#This Row],[Fecha]])/6,0))</f>
        <v>Sem 2</v>
      </c>
      <c r="G665" t="s">
        <v>87</v>
      </c>
      <c r="H665" t="s">
        <v>88</v>
      </c>
      <c r="I665" t="s">
        <v>68</v>
      </c>
      <c r="J665" t="s">
        <v>89</v>
      </c>
      <c r="K665" t="s">
        <v>123</v>
      </c>
      <c r="L665" t="s">
        <v>27</v>
      </c>
      <c r="M665">
        <v>0</v>
      </c>
      <c r="N665" s="1">
        <v>45153</v>
      </c>
      <c r="O665" s="1">
        <v>45160</v>
      </c>
      <c r="P665" t="s">
        <v>58</v>
      </c>
      <c r="Q665">
        <f>+IF(OR(Datos[[#This Row],[Diagnostico]]="Inservible",Datos[[#This Row],[Estatus]]="Preventivo"),0,Datos[[#This Row],[Fecha_Final]]-Datos[[#This Row],[Día_Inicio]])</f>
        <v>7</v>
      </c>
      <c r="R665" s="2">
        <v>275</v>
      </c>
      <c r="S665" s="2">
        <v>565</v>
      </c>
      <c r="T665" t="s">
        <v>42</v>
      </c>
    </row>
    <row r="666" spans="1:20" x14ac:dyDescent="0.25">
      <c r="A666" t="s">
        <v>848</v>
      </c>
      <c r="B666" s="1">
        <v>45154</v>
      </c>
      <c r="C666" t="s">
        <v>813</v>
      </c>
      <c r="D666">
        <v>8</v>
      </c>
      <c r="E666" t="str">
        <f>+CONCATENATE("T",ROUNDUP(MONTH(Datos[[#This Row],[Fecha]])/3,0))</f>
        <v>T3</v>
      </c>
      <c r="F666" t="str">
        <f>+CONCATENATE("Sem"," ",ROUNDUP(MONTH(Datos[[#This Row],[Fecha]])/6,0))</f>
        <v>Sem 2</v>
      </c>
      <c r="G666" t="s">
        <v>49</v>
      </c>
      <c r="H666" t="s">
        <v>23</v>
      </c>
      <c r="I666" t="s">
        <v>24</v>
      </c>
      <c r="J666" t="s">
        <v>50</v>
      </c>
      <c r="K666" t="s">
        <v>128</v>
      </c>
      <c r="L666" t="s">
        <v>27</v>
      </c>
      <c r="M666">
        <v>0</v>
      </c>
      <c r="N666" s="1">
        <v>45154</v>
      </c>
      <c r="O666" s="1">
        <v>45176</v>
      </c>
      <c r="P666" t="s">
        <v>28</v>
      </c>
      <c r="Q666">
        <f>+IF(OR(Datos[[#This Row],[Diagnostico]]="Inservible",Datos[[#This Row],[Estatus]]="Preventivo"),0,Datos[[#This Row],[Fecha_Final]]-Datos[[#This Row],[Día_Inicio]])</f>
        <v>0</v>
      </c>
      <c r="R666" s="2">
        <v>0</v>
      </c>
      <c r="S666" s="2">
        <v>0</v>
      </c>
      <c r="T666" t="s">
        <v>29</v>
      </c>
    </row>
    <row r="667" spans="1:20" x14ac:dyDescent="0.25">
      <c r="A667" t="s">
        <v>849</v>
      </c>
      <c r="B667" s="1">
        <v>45154</v>
      </c>
      <c r="C667" t="s">
        <v>813</v>
      </c>
      <c r="D667">
        <v>8</v>
      </c>
      <c r="E667" t="str">
        <f>+CONCATENATE("T",ROUNDUP(MONTH(Datos[[#This Row],[Fecha]])/3,0))</f>
        <v>T3</v>
      </c>
      <c r="F667" t="str">
        <f>+CONCATENATE("Sem"," ",ROUNDUP(MONTH(Datos[[#This Row],[Fecha]])/6,0))</f>
        <v>Sem 2</v>
      </c>
      <c r="G667" t="s">
        <v>87</v>
      </c>
      <c r="H667" t="s">
        <v>88</v>
      </c>
      <c r="I667" t="s">
        <v>68</v>
      </c>
      <c r="J667" t="s">
        <v>89</v>
      </c>
      <c r="K667" t="s">
        <v>130</v>
      </c>
      <c r="L667" t="s">
        <v>27</v>
      </c>
      <c r="M667">
        <v>0</v>
      </c>
      <c r="N667" s="1">
        <v>45154</v>
      </c>
      <c r="O667" s="1">
        <v>45165</v>
      </c>
      <c r="P667" t="s">
        <v>58</v>
      </c>
      <c r="Q667">
        <f>+IF(OR(Datos[[#This Row],[Diagnostico]]="Inservible",Datos[[#This Row],[Estatus]]="Preventivo"),0,Datos[[#This Row],[Fecha_Final]]-Datos[[#This Row],[Día_Inicio]])</f>
        <v>11</v>
      </c>
      <c r="R667" s="2">
        <v>1164</v>
      </c>
      <c r="S667" s="2">
        <v>210</v>
      </c>
      <c r="T667" t="s">
        <v>91</v>
      </c>
    </row>
    <row r="668" spans="1:20" x14ac:dyDescent="0.25">
      <c r="A668" t="s">
        <v>850</v>
      </c>
      <c r="B668" s="1">
        <v>45154</v>
      </c>
      <c r="C668" t="s">
        <v>813</v>
      </c>
      <c r="D668">
        <v>8</v>
      </c>
      <c r="E668" t="str">
        <f>+CONCATENATE("T",ROUNDUP(MONTH(Datos[[#This Row],[Fecha]])/3,0))</f>
        <v>T3</v>
      </c>
      <c r="F668" t="str">
        <f>+CONCATENATE("Sem"," ",ROUNDUP(MONTH(Datos[[#This Row],[Fecha]])/6,0))</f>
        <v>Sem 2</v>
      </c>
      <c r="G668" t="s">
        <v>31</v>
      </c>
      <c r="H668" t="s">
        <v>32</v>
      </c>
      <c r="I668" t="s">
        <v>24</v>
      </c>
      <c r="J668" t="s">
        <v>33</v>
      </c>
      <c r="K668" t="s">
        <v>135</v>
      </c>
      <c r="L668" t="s">
        <v>27</v>
      </c>
      <c r="M668">
        <v>0</v>
      </c>
      <c r="N668" s="1">
        <v>45154</v>
      </c>
      <c r="O668" s="1">
        <v>45183</v>
      </c>
      <c r="P668" t="s">
        <v>28</v>
      </c>
      <c r="Q668">
        <f>+IF(OR(Datos[[#This Row],[Diagnostico]]="Inservible",Datos[[#This Row],[Estatus]]="Preventivo"),0,Datos[[#This Row],[Fecha_Final]]-Datos[[#This Row],[Día_Inicio]])</f>
        <v>0</v>
      </c>
      <c r="R668" s="2">
        <v>0</v>
      </c>
      <c r="S668" s="2">
        <v>0</v>
      </c>
      <c r="T668" t="s">
        <v>29</v>
      </c>
    </row>
    <row r="669" spans="1:20" x14ac:dyDescent="0.25">
      <c r="A669" t="s">
        <v>851</v>
      </c>
      <c r="B669" s="1">
        <v>45155</v>
      </c>
      <c r="C669" t="s">
        <v>813</v>
      </c>
      <c r="D669">
        <v>8</v>
      </c>
      <c r="E669" t="str">
        <f>+CONCATENATE("T",ROUNDUP(MONTH(Datos[[#This Row],[Fecha]])/3,0))</f>
        <v>T3</v>
      </c>
      <c r="F669" t="str">
        <f>+CONCATENATE("Sem"," ",ROUNDUP(MONTH(Datos[[#This Row],[Fecha]])/6,0))</f>
        <v>Sem 2</v>
      </c>
      <c r="G669" t="s">
        <v>169</v>
      </c>
      <c r="H669" t="s">
        <v>170</v>
      </c>
      <c r="I669" t="s">
        <v>68</v>
      </c>
      <c r="J669" t="s">
        <v>171</v>
      </c>
      <c r="K669" t="s">
        <v>26</v>
      </c>
      <c r="L669" t="s">
        <v>27</v>
      </c>
      <c r="M669">
        <v>0</v>
      </c>
      <c r="N669" s="1">
        <v>45155</v>
      </c>
      <c r="O669" s="1">
        <v>45171</v>
      </c>
      <c r="P669" t="s">
        <v>58</v>
      </c>
      <c r="Q669">
        <f>+IF(OR(Datos[[#This Row],[Diagnostico]]="Inservible",Datos[[#This Row],[Estatus]]="Preventivo"),0,Datos[[#This Row],[Fecha_Final]]-Datos[[#This Row],[Día_Inicio]])</f>
        <v>16</v>
      </c>
      <c r="R669" s="2">
        <v>589</v>
      </c>
      <c r="S669" s="2">
        <v>793</v>
      </c>
      <c r="T669" t="s">
        <v>59</v>
      </c>
    </row>
    <row r="670" spans="1:20" x14ac:dyDescent="0.25">
      <c r="A670" t="s">
        <v>852</v>
      </c>
      <c r="B670" s="1">
        <v>45155</v>
      </c>
      <c r="C670" t="s">
        <v>813</v>
      </c>
      <c r="D670">
        <v>8</v>
      </c>
      <c r="E670" t="str">
        <f>+CONCATENATE("T",ROUNDUP(MONTH(Datos[[#This Row],[Fecha]])/3,0))</f>
        <v>T3</v>
      </c>
      <c r="F670" t="str">
        <f>+CONCATENATE("Sem"," ",ROUNDUP(MONTH(Datos[[#This Row],[Fecha]])/6,0))</f>
        <v>Sem 2</v>
      </c>
      <c r="G670" t="s">
        <v>215</v>
      </c>
      <c r="H670" t="s">
        <v>216</v>
      </c>
      <c r="I670" t="s">
        <v>24</v>
      </c>
      <c r="J670" t="s">
        <v>50</v>
      </c>
      <c r="K670" t="s">
        <v>39</v>
      </c>
      <c r="L670" t="s">
        <v>40</v>
      </c>
      <c r="M670" t="s">
        <v>103</v>
      </c>
      <c r="N670" s="1">
        <v>45155</v>
      </c>
      <c r="O670" s="1">
        <v>45170</v>
      </c>
      <c r="P670" t="s">
        <v>29</v>
      </c>
      <c r="Q670">
        <f>+IF(OR(Datos[[#This Row],[Diagnostico]]="Inservible",Datos[[#This Row],[Estatus]]="Preventivo"),0,Datos[[#This Row],[Fecha_Final]]-Datos[[#This Row],[Día_Inicio]])</f>
        <v>0</v>
      </c>
      <c r="R670" s="2">
        <v>951</v>
      </c>
      <c r="S670" s="2">
        <v>204</v>
      </c>
      <c r="T670" t="s">
        <v>42</v>
      </c>
    </row>
    <row r="671" spans="1:20" x14ac:dyDescent="0.25">
      <c r="A671" t="s">
        <v>853</v>
      </c>
      <c r="B671" s="1">
        <v>45156</v>
      </c>
      <c r="C671" t="s">
        <v>813</v>
      </c>
      <c r="D671">
        <v>8</v>
      </c>
      <c r="E671" t="str">
        <f>+CONCATENATE("T",ROUNDUP(MONTH(Datos[[#This Row],[Fecha]])/3,0))</f>
        <v>T3</v>
      </c>
      <c r="F671" t="str">
        <f>+CONCATENATE("Sem"," ",ROUNDUP(MONTH(Datos[[#This Row],[Fecha]])/6,0))</f>
        <v>Sem 2</v>
      </c>
      <c r="G671" t="s">
        <v>105</v>
      </c>
      <c r="H671" t="s">
        <v>106</v>
      </c>
      <c r="I671" t="s">
        <v>24</v>
      </c>
      <c r="J671" t="s">
        <v>107</v>
      </c>
      <c r="K671" t="s">
        <v>39</v>
      </c>
      <c r="L671" t="s">
        <v>27</v>
      </c>
      <c r="M671">
        <v>0</v>
      </c>
      <c r="N671" s="1">
        <v>45156</v>
      </c>
      <c r="O671" s="1">
        <v>45164</v>
      </c>
      <c r="P671" t="s">
        <v>58</v>
      </c>
      <c r="Q671">
        <f>+IF(OR(Datos[[#This Row],[Diagnostico]]="Inservible",Datos[[#This Row],[Estatus]]="Preventivo"),0,Datos[[#This Row],[Fecha_Final]]-Datos[[#This Row],[Día_Inicio]])</f>
        <v>8</v>
      </c>
      <c r="R671" s="2">
        <v>256</v>
      </c>
      <c r="S671" s="2">
        <v>581</v>
      </c>
      <c r="T671" t="s">
        <v>59</v>
      </c>
    </row>
    <row r="672" spans="1:20" x14ac:dyDescent="0.25">
      <c r="A672" t="s">
        <v>854</v>
      </c>
      <c r="B672" s="1">
        <v>45156</v>
      </c>
      <c r="C672" t="s">
        <v>813</v>
      </c>
      <c r="D672">
        <v>8</v>
      </c>
      <c r="E672" t="str">
        <f>+CONCATENATE("T",ROUNDUP(MONTH(Datos[[#This Row],[Fecha]])/3,0))</f>
        <v>T3</v>
      </c>
      <c r="F672" t="str">
        <f>+CONCATENATE("Sem"," ",ROUNDUP(MONTH(Datos[[#This Row],[Fecha]])/6,0))</f>
        <v>Sem 2</v>
      </c>
      <c r="G672" t="s">
        <v>49</v>
      </c>
      <c r="H672" t="s">
        <v>23</v>
      </c>
      <c r="I672" t="s">
        <v>24</v>
      </c>
      <c r="J672" t="s">
        <v>50</v>
      </c>
      <c r="K672" t="s">
        <v>47</v>
      </c>
      <c r="L672" t="s">
        <v>27</v>
      </c>
      <c r="M672">
        <v>0</v>
      </c>
      <c r="N672" s="1">
        <v>45156</v>
      </c>
      <c r="O672" s="1">
        <v>45169</v>
      </c>
      <c r="P672" t="s">
        <v>58</v>
      </c>
      <c r="Q672">
        <f>+IF(OR(Datos[[#This Row],[Diagnostico]]="Inservible",Datos[[#This Row],[Estatus]]="Preventivo"),0,Datos[[#This Row],[Fecha_Final]]-Datos[[#This Row],[Día_Inicio]])</f>
        <v>13</v>
      </c>
      <c r="R672" s="2">
        <v>572</v>
      </c>
      <c r="S672" s="2">
        <v>189</v>
      </c>
      <c r="T672" t="s">
        <v>64</v>
      </c>
    </row>
    <row r="673" spans="1:20" x14ac:dyDescent="0.25">
      <c r="A673" t="s">
        <v>855</v>
      </c>
      <c r="B673" s="1">
        <v>45156</v>
      </c>
      <c r="C673" t="s">
        <v>813</v>
      </c>
      <c r="D673">
        <v>8</v>
      </c>
      <c r="E673" t="str">
        <f>+CONCATENATE("T",ROUNDUP(MONTH(Datos[[#This Row],[Fecha]])/3,0))</f>
        <v>T3</v>
      </c>
      <c r="F673" t="str">
        <f>+CONCATENATE("Sem"," ",ROUNDUP(MONTH(Datos[[#This Row],[Fecha]])/6,0))</f>
        <v>Sem 2</v>
      </c>
      <c r="G673" t="s">
        <v>22</v>
      </c>
      <c r="H673" t="s">
        <v>23</v>
      </c>
      <c r="I673" t="s">
        <v>24</v>
      </c>
      <c r="J673" t="s">
        <v>25</v>
      </c>
      <c r="K673" t="s">
        <v>147</v>
      </c>
      <c r="L673" t="s">
        <v>27</v>
      </c>
      <c r="M673">
        <v>0</v>
      </c>
      <c r="N673" s="1">
        <v>45156</v>
      </c>
      <c r="O673" s="1">
        <v>45162</v>
      </c>
      <c r="P673" t="s">
        <v>58</v>
      </c>
      <c r="Q673">
        <f>+IF(OR(Datos[[#This Row],[Diagnostico]]="Inservible",Datos[[#This Row],[Estatus]]="Preventivo"),0,Datos[[#This Row],[Fecha_Final]]-Datos[[#This Row],[Día_Inicio]])</f>
        <v>6</v>
      </c>
      <c r="R673" s="2">
        <v>279</v>
      </c>
      <c r="S673" s="2">
        <v>903</v>
      </c>
      <c r="T673" t="s">
        <v>91</v>
      </c>
    </row>
    <row r="674" spans="1:20" x14ac:dyDescent="0.25">
      <c r="A674" t="s">
        <v>856</v>
      </c>
      <c r="B674" s="1">
        <v>45156</v>
      </c>
      <c r="C674" t="s">
        <v>813</v>
      </c>
      <c r="D674">
        <v>8</v>
      </c>
      <c r="E674" t="str">
        <f>+CONCATENATE("T",ROUNDUP(MONTH(Datos[[#This Row],[Fecha]])/3,0))</f>
        <v>T3</v>
      </c>
      <c r="F674" t="str">
        <f>+CONCATENATE("Sem"," ",ROUNDUP(MONTH(Datos[[#This Row],[Fecha]])/6,0))</f>
        <v>Sem 2</v>
      </c>
      <c r="G674" t="s">
        <v>154</v>
      </c>
      <c r="H674" t="s">
        <v>155</v>
      </c>
      <c r="I674" t="s">
        <v>68</v>
      </c>
      <c r="J674" t="s">
        <v>156</v>
      </c>
      <c r="K674" t="s">
        <v>39</v>
      </c>
      <c r="L674" t="s">
        <v>40</v>
      </c>
      <c r="M674" t="s">
        <v>208</v>
      </c>
      <c r="N674" s="1">
        <v>45156</v>
      </c>
      <c r="O674" s="1">
        <v>45163</v>
      </c>
      <c r="P674" t="s">
        <v>29</v>
      </c>
      <c r="Q674">
        <f>+IF(OR(Datos[[#This Row],[Diagnostico]]="Inservible",Datos[[#This Row],[Estatus]]="Preventivo"),0,Datos[[#This Row],[Fecha_Final]]-Datos[[#This Row],[Día_Inicio]])</f>
        <v>0</v>
      </c>
      <c r="R674" s="2">
        <v>1121</v>
      </c>
      <c r="S674" s="2">
        <v>571</v>
      </c>
      <c r="T674" t="s">
        <v>42</v>
      </c>
    </row>
    <row r="675" spans="1:20" x14ac:dyDescent="0.25">
      <c r="A675" t="s">
        <v>857</v>
      </c>
      <c r="B675" s="1">
        <v>45156</v>
      </c>
      <c r="C675" t="s">
        <v>813</v>
      </c>
      <c r="D675">
        <v>8</v>
      </c>
      <c r="E675" t="str">
        <f>+CONCATENATE("T",ROUNDUP(MONTH(Datos[[#This Row],[Fecha]])/3,0))</f>
        <v>T3</v>
      </c>
      <c r="F675" t="str">
        <f>+CONCATENATE("Sem"," ",ROUNDUP(MONTH(Datos[[#This Row],[Fecha]])/6,0))</f>
        <v>Sem 2</v>
      </c>
      <c r="G675" t="s">
        <v>22</v>
      </c>
      <c r="H675" t="s">
        <v>23</v>
      </c>
      <c r="I675" t="s">
        <v>24</v>
      </c>
      <c r="J675" t="s">
        <v>25</v>
      </c>
      <c r="K675" t="s">
        <v>63</v>
      </c>
      <c r="L675" t="s">
        <v>27</v>
      </c>
      <c r="M675">
        <v>0</v>
      </c>
      <c r="N675" s="1">
        <v>45156</v>
      </c>
      <c r="O675" s="1">
        <v>45170</v>
      </c>
      <c r="P675" t="s">
        <v>58</v>
      </c>
      <c r="Q675">
        <f>+IF(OR(Datos[[#This Row],[Diagnostico]]="Inservible",Datos[[#This Row],[Estatus]]="Preventivo"),0,Datos[[#This Row],[Fecha_Final]]-Datos[[#This Row],[Día_Inicio]])</f>
        <v>14</v>
      </c>
      <c r="R675" s="2">
        <v>200</v>
      </c>
      <c r="S675" s="2">
        <v>738</v>
      </c>
      <c r="T675" t="s">
        <v>64</v>
      </c>
    </row>
    <row r="676" spans="1:20" x14ac:dyDescent="0.25">
      <c r="A676" t="s">
        <v>858</v>
      </c>
      <c r="B676" s="1">
        <v>45156</v>
      </c>
      <c r="C676" t="s">
        <v>813</v>
      </c>
      <c r="D676">
        <v>8</v>
      </c>
      <c r="E676" t="str">
        <f>+CONCATENATE("T",ROUNDUP(MONTH(Datos[[#This Row],[Fecha]])/3,0))</f>
        <v>T3</v>
      </c>
      <c r="F676" t="str">
        <f>+CONCATENATE("Sem"," ",ROUNDUP(MONTH(Datos[[#This Row],[Fecha]])/6,0))</f>
        <v>Sem 2</v>
      </c>
      <c r="G676" t="s">
        <v>125</v>
      </c>
      <c r="H676" t="s">
        <v>126</v>
      </c>
      <c r="I676" t="s">
        <v>24</v>
      </c>
      <c r="J676" t="s">
        <v>127</v>
      </c>
      <c r="K676" t="s">
        <v>39</v>
      </c>
      <c r="L676" t="s">
        <v>40</v>
      </c>
      <c r="M676" t="s">
        <v>75</v>
      </c>
      <c r="N676" s="1">
        <v>45156</v>
      </c>
      <c r="O676" s="1">
        <v>45516</v>
      </c>
      <c r="P676" t="s">
        <v>29</v>
      </c>
      <c r="Q676">
        <f>+IF(OR(Datos[[#This Row],[Diagnostico]]="Inservible",Datos[[#This Row],[Estatus]]="Preventivo"),0,Datos[[#This Row],[Fecha_Final]]-Datos[[#This Row],[Día_Inicio]])</f>
        <v>0</v>
      </c>
      <c r="R676" s="2">
        <v>870</v>
      </c>
      <c r="S676" s="2">
        <v>339</v>
      </c>
      <c r="T676" t="s">
        <v>42</v>
      </c>
    </row>
    <row r="677" spans="1:20" x14ac:dyDescent="0.25">
      <c r="A677" t="s">
        <v>859</v>
      </c>
      <c r="B677" s="1">
        <v>45156</v>
      </c>
      <c r="C677" t="s">
        <v>813</v>
      </c>
      <c r="D677">
        <v>8</v>
      </c>
      <c r="E677" t="str">
        <f>+CONCATENATE("T",ROUNDUP(MONTH(Datos[[#This Row],[Fecha]])/3,0))</f>
        <v>T3</v>
      </c>
      <c r="F677" t="str">
        <f>+CONCATENATE("Sem"," ",ROUNDUP(MONTH(Datos[[#This Row],[Fecha]])/6,0))</f>
        <v>Sem 2</v>
      </c>
      <c r="G677" t="s">
        <v>158</v>
      </c>
      <c r="H677" t="s">
        <v>159</v>
      </c>
      <c r="I677" t="s">
        <v>101</v>
      </c>
      <c r="J677" t="s">
        <v>160</v>
      </c>
      <c r="K677" t="s">
        <v>161</v>
      </c>
      <c r="L677" t="s">
        <v>27</v>
      </c>
      <c r="M677">
        <v>0</v>
      </c>
      <c r="N677" s="1">
        <v>45156</v>
      </c>
      <c r="O677" s="1">
        <v>45170</v>
      </c>
      <c r="P677" t="s">
        <v>28</v>
      </c>
      <c r="Q677">
        <f>+IF(OR(Datos[[#This Row],[Diagnostico]]="Inservible",Datos[[#This Row],[Estatus]]="Preventivo"),0,Datos[[#This Row],[Fecha_Final]]-Datos[[#This Row],[Día_Inicio]])</f>
        <v>0</v>
      </c>
      <c r="R677" s="2">
        <v>0</v>
      </c>
      <c r="S677" s="2">
        <v>0</v>
      </c>
      <c r="T677" t="s">
        <v>29</v>
      </c>
    </row>
    <row r="678" spans="1:20" x14ac:dyDescent="0.25">
      <c r="A678" t="s">
        <v>860</v>
      </c>
      <c r="B678" s="1">
        <v>45156</v>
      </c>
      <c r="C678" t="s">
        <v>813</v>
      </c>
      <c r="D678">
        <v>8</v>
      </c>
      <c r="E678" t="str">
        <f>+CONCATENATE("T",ROUNDUP(MONTH(Datos[[#This Row],[Fecha]])/3,0))</f>
        <v>T3</v>
      </c>
      <c r="F678" t="str">
        <f>+CONCATENATE("Sem"," ",ROUNDUP(MONTH(Datos[[#This Row],[Fecha]])/6,0))</f>
        <v>Sem 2</v>
      </c>
      <c r="G678" t="s">
        <v>53</v>
      </c>
      <c r="H678" t="s">
        <v>54</v>
      </c>
      <c r="I678" t="s">
        <v>55</v>
      </c>
      <c r="J678" t="s">
        <v>56</v>
      </c>
      <c r="K678" t="s">
        <v>39</v>
      </c>
      <c r="L678" t="s">
        <v>40</v>
      </c>
      <c r="M678" t="s">
        <v>188</v>
      </c>
      <c r="N678" s="1">
        <v>45156</v>
      </c>
      <c r="O678" s="1">
        <v>45336</v>
      </c>
      <c r="P678" t="s">
        <v>29</v>
      </c>
      <c r="Q678">
        <f>+IF(OR(Datos[[#This Row],[Diagnostico]]="Inservible",Datos[[#This Row],[Estatus]]="Preventivo"),0,Datos[[#This Row],[Fecha_Final]]-Datos[[#This Row],[Día_Inicio]])</f>
        <v>0</v>
      </c>
      <c r="R678" s="2">
        <v>513</v>
      </c>
      <c r="S678" s="2">
        <v>778</v>
      </c>
      <c r="T678" t="s">
        <v>42</v>
      </c>
    </row>
    <row r="679" spans="1:20" x14ac:dyDescent="0.25">
      <c r="A679" t="s">
        <v>861</v>
      </c>
      <c r="B679" s="1">
        <v>45157</v>
      </c>
      <c r="C679" t="s">
        <v>813</v>
      </c>
      <c r="D679">
        <v>8</v>
      </c>
      <c r="E679" t="str">
        <f>+CONCATENATE("T",ROUNDUP(MONTH(Datos[[#This Row],[Fecha]])/3,0))</f>
        <v>T3</v>
      </c>
      <c r="F679" t="str">
        <f>+CONCATENATE("Sem"," ",ROUNDUP(MONTH(Datos[[#This Row],[Fecha]])/6,0))</f>
        <v>Sem 2</v>
      </c>
      <c r="G679" t="s">
        <v>202</v>
      </c>
      <c r="H679" t="s">
        <v>203</v>
      </c>
      <c r="I679" t="s">
        <v>24</v>
      </c>
      <c r="J679" t="s">
        <v>204</v>
      </c>
      <c r="K679" t="s">
        <v>85</v>
      </c>
      <c r="L679" t="s">
        <v>27</v>
      </c>
      <c r="M679">
        <v>0</v>
      </c>
      <c r="N679" s="1">
        <v>45157</v>
      </c>
      <c r="O679" s="1">
        <v>45164</v>
      </c>
      <c r="P679" t="s">
        <v>58</v>
      </c>
      <c r="Q679">
        <f>+IF(OR(Datos[[#This Row],[Diagnostico]]="Inservible",Datos[[#This Row],[Estatus]]="Preventivo"),0,Datos[[#This Row],[Fecha_Final]]-Datos[[#This Row],[Día_Inicio]])</f>
        <v>7</v>
      </c>
      <c r="R679" s="2">
        <v>1120</v>
      </c>
      <c r="S679" s="2">
        <v>843</v>
      </c>
      <c r="T679" t="s">
        <v>91</v>
      </c>
    </row>
    <row r="680" spans="1:20" x14ac:dyDescent="0.25">
      <c r="A680" t="s">
        <v>862</v>
      </c>
      <c r="B680" s="1">
        <v>45157</v>
      </c>
      <c r="C680" t="s">
        <v>813</v>
      </c>
      <c r="D680">
        <v>8</v>
      </c>
      <c r="E680" t="str">
        <f>+CONCATENATE("T",ROUNDUP(MONTH(Datos[[#This Row],[Fecha]])/3,0))</f>
        <v>T3</v>
      </c>
      <c r="F680" t="str">
        <f>+CONCATENATE("Sem"," ",ROUNDUP(MONTH(Datos[[#This Row],[Fecha]])/6,0))</f>
        <v>Sem 2</v>
      </c>
      <c r="G680" t="s">
        <v>44</v>
      </c>
      <c r="H680" t="s">
        <v>45</v>
      </c>
      <c r="I680" t="s">
        <v>24</v>
      </c>
      <c r="J680" t="s">
        <v>46</v>
      </c>
      <c r="K680" t="s">
        <v>39</v>
      </c>
      <c r="L680" t="s">
        <v>40</v>
      </c>
      <c r="M680" t="s">
        <v>208</v>
      </c>
      <c r="N680" s="1">
        <v>45157</v>
      </c>
      <c r="O680" s="1">
        <v>45164</v>
      </c>
      <c r="P680" t="s">
        <v>29</v>
      </c>
      <c r="Q680">
        <f>+IF(OR(Datos[[#This Row],[Diagnostico]]="Inservible",Datos[[#This Row],[Estatus]]="Preventivo"),0,Datos[[#This Row],[Fecha_Final]]-Datos[[#This Row],[Día_Inicio]])</f>
        <v>0</v>
      </c>
      <c r="R680" s="2">
        <v>492</v>
      </c>
      <c r="S680" s="2">
        <v>821</v>
      </c>
      <c r="T680" t="s">
        <v>42</v>
      </c>
    </row>
    <row r="681" spans="1:20" x14ac:dyDescent="0.25">
      <c r="A681" t="s">
        <v>863</v>
      </c>
      <c r="B681" s="1">
        <v>45157</v>
      </c>
      <c r="C681" t="s">
        <v>813</v>
      </c>
      <c r="D681">
        <v>8</v>
      </c>
      <c r="E681" t="str">
        <f>+CONCATENATE("T",ROUNDUP(MONTH(Datos[[#This Row],[Fecha]])/3,0))</f>
        <v>T3</v>
      </c>
      <c r="F681" t="str">
        <f>+CONCATENATE("Sem"," ",ROUNDUP(MONTH(Datos[[#This Row],[Fecha]])/6,0))</f>
        <v>Sem 2</v>
      </c>
      <c r="G681" t="s">
        <v>137</v>
      </c>
      <c r="H681" t="s">
        <v>138</v>
      </c>
      <c r="I681" t="s">
        <v>68</v>
      </c>
      <c r="J681" t="s">
        <v>139</v>
      </c>
      <c r="K681" t="s">
        <v>172</v>
      </c>
      <c r="L681" t="s">
        <v>27</v>
      </c>
      <c r="M681">
        <v>0</v>
      </c>
      <c r="N681" s="1">
        <v>45157</v>
      </c>
      <c r="O681" s="1">
        <v>45183</v>
      </c>
      <c r="P681" t="s">
        <v>58</v>
      </c>
      <c r="Q681">
        <f>+IF(OR(Datos[[#This Row],[Diagnostico]]="Inservible",Datos[[#This Row],[Estatus]]="Preventivo"),0,Datos[[#This Row],[Fecha_Final]]-Datos[[#This Row],[Día_Inicio]])</f>
        <v>26</v>
      </c>
      <c r="R681" s="2">
        <v>281</v>
      </c>
      <c r="S681" s="2">
        <v>601</v>
      </c>
      <c r="T681" t="s">
        <v>91</v>
      </c>
    </row>
    <row r="682" spans="1:20" x14ac:dyDescent="0.25">
      <c r="A682" t="s">
        <v>864</v>
      </c>
      <c r="B682" s="1">
        <v>45157</v>
      </c>
      <c r="C682" t="s">
        <v>813</v>
      </c>
      <c r="D682">
        <v>8</v>
      </c>
      <c r="E682" t="str">
        <f>+CONCATENATE("T",ROUNDUP(MONTH(Datos[[#This Row],[Fecha]])/3,0))</f>
        <v>T3</v>
      </c>
      <c r="F682" t="str">
        <f>+CONCATENATE("Sem"," ",ROUNDUP(MONTH(Datos[[#This Row],[Fecha]])/6,0))</f>
        <v>Sem 2</v>
      </c>
      <c r="G682" t="s">
        <v>202</v>
      </c>
      <c r="H682" t="s">
        <v>203</v>
      </c>
      <c r="I682" t="s">
        <v>24</v>
      </c>
      <c r="J682" t="s">
        <v>204</v>
      </c>
      <c r="K682" t="s">
        <v>39</v>
      </c>
      <c r="L682" t="s">
        <v>40</v>
      </c>
      <c r="M682" t="s">
        <v>41</v>
      </c>
      <c r="N682" s="1">
        <v>45157</v>
      </c>
      <c r="O682" s="1">
        <v>45247</v>
      </c>
      <c r="P682" t="s">
        <v>29</v>
      </c>
      <c r="Q682">
        <f>+IF(OR(Datos[[#This Row],[Diagnostico]]="Inservible",Datos[[#This Row],[Estatus]]="Preventivo"),0,Datos[[#This Row],[Fecha_Final]]-Datos[[#This Row],[Día_Inicio]])</f>
        <v>0</v>
      </c>
      <c r="R682" s="2">
        <v>929</v>
      </c>
      <c r="S682" s="2">
        <v>320</v>
      </c>
      <c r="T682" t="s">
        <v>42</v>
      </c>
    </row>
    <row r="683" spans="1:20" x14ac:dyDescent="0.25">
      <c r="A683" t="s">
        <v>865</v>
      </c>
      <c r="B683" s="1">
        <v>45157</v>
      </c>
      <c r="C683" t="s">
        <v>813</v>
      </c>
      <c r="D683">
        <v>8</v>
      </c>
      <c r="E683" t="str">
        <f>+CONCATENATE("T",ROUNDUP(MONTH(Datos[[#This Row],[Fecha]])/3,0))</f>
        <v>T3</v>
      </c>
      <c r="F683" t="str">
        <f>+CONCATENATE("Sem"," ",ROUNDUP(MONTH(Datos[[#This Row],[Fecha]])/6,0))</f>
        <v>Sem 2</v>
      </c>
      <c r="G683" t="s">
        <v>225</v>
      </c>
      <c r="H683" t="s">
        <v>226</v>
      </c>
      <c r="I683" t="s">
        <v>227</v>
      </c>
      <c r="J683" t="s">
        <v>89</v>
      </c>
      <c r="K683" t="s">
        <v>178</v>
      </c>
      <c r="L683" t="s">
        <v>27</v>
      </c>
      <c r="M683">
        <v>0</v>
      </c>
      <c r="N683" s="1">
        <v>45157</v>
      </c>
      <c r="O683" s="1">
        <v>45166</v>
      </c>
      <c r="P683" t="s">
        <v>58</v>
      </c>
      <c r="Q683">
        <f>+IF(OR(Datos[[#This Row],[Diagnostico]]="Inservible",Datos[[#This Row],[Estatus]]="Preventivo"),0,Datos[[#This Row],[Fecha_Final]]-Datos[[#This Row],[Día_Inicio]])</f>
        <v>9</v>
      </c>
      <c r="R683" s="2">
        <v>912</v>
      </c>
      <c r="S683" s="2">
        <v>564</v>
      </c>
      <c r="T683" t="s">
        <v>42</v>
      </c>
    </row>
    <row r="684" spans="1:20" x14ac:dyDescent="0.25">
      <c r="A684" t="s">
        <v>866</v>
      </c>
      <c r="B684" s="1">
        <v>45158</v>
      </c>
      <c r="C684" t="s">
        <v>813</v>
      </c>
      <c r="D684">
        <v>8</v>
      </c>
      <c r="E684" t="str">
        <f>+CONCATENATE("T",ROUNDUP(MONTH(Datos[[#This Row],[Fecha]])/3,0))</f>
        <v>T3</v>
      </c>
      <c r="F684" t="str">
        <f>+CONCATENATE("Sem"," ",ROUNDUP(MONTH(Datos[[#This Row],[Fecha]])/6,0))</f>
        <v>Sem 2</v>
      </c>
      <c r="G684" t="s">
        <v>215</v>
      </c>
      <c r="H684" t="s">
        <v>216</v>
      </c>
      <c r="I684" t="s">
        <v>24</v>
      </c>
      <c r="J684" t="s">
        <v>50</v>
      </c>
      <c r="K684" t="s">
        <v>108</v>
      </c>
      <c r="L684" t="s">
        <v>27</v>
      </c>
      <c r="M684">
        <v>0</v>
      </c>
      <c r="N684" s="1">
        <v>45158</v>
      </c>
      <c r="O684" s="1">
        <v>45175</v>
      </c>
      <c r="P684" t="s">
        <v>58</v>
      </c>
      <c r="Q684">
        <f>+IF(OR(Datos[[#This Row],[Diagnostico]]="Inservible",Datos[[#This Row],[Estatus]]="Preventivo"),0,Datos[[#This Row],[Fecha_Final]]-Datos[[#This Row],[Día_Inicio]])</f>
        <v>17</v>
      </c>
      <c r="R684" s="2">
        <v>358</v>
      </c>
      <c r="S684" s="2">
        <v>157</v>
      </c>
      <c r="T684" t="s">
        <v>64</v>
      </c>
    </row>
    <row r="685" spans="1:20" x14ac:dyDescent="0.25">
      <c r="A685" t="s">
        <v>867</v>
      </c>
      <c r="B685" s="1">
        <v>45158</v>
      </c>
      <c r="C685" t="s">
        <v>813</v>
      </c>
      <c r="D685">
        <v>8</v>
      </c>
      <c r="E685" t="str">
        <f>+CONCATENATE("T",ROUNDUP(MONTH(Datos[[#This Row],[Fecha]])/3,0))</f>
        <v>T3</v>
      </c>
      <c r="F685" t="str">
        <f>+CONCATENATE("Sem"," ",ROUNDUP(MONTH(Datos[[#This Row],[Fecha]])/6,0))</f>
        <v>Sem 2</v>
      </c>
      <c r="G685" t="s">
        <v>169</v>
      </c>
      <c r="H685" t="s">
        <v>170</v>
      </c>
      <c r="I685" t="s">
        <v>68</v>
      </c>
      <c r="J685" t="s">
        <v>171</v>
      </c>
      <c r="K685" t="s">
        <v>110</v>
      </c>
      <c r="L685" t="s">
        <v>27</v>
      </c>
      <c r="M685">
        <v>0</v>
      </c>
      <c r="N685" s="1">
        <v>45158</v>
      </c>
      <c r="O685" s="1">
        <v>45175</v>
      </c>
      <c r="P685" t="s">
        <v>28</v>
      </c>
      <c r="Q685">
        <f>+IF(OR(Datos[[#This Row],[Diagnostico]]="Inservible",Datos[[#This Row],[Estatus]]="Preventivo"),0,Datos[[#This Row],[Fecha_Final]]-Datos[[#This Row],[Día_Inicio]])</f>
        <v>0</v>
      </c>
      <c r="R685" s="2">
        <v>0</v>
      </c>
      <c r="S685" s="2">
        <v>0</v>
      </c>
      <c r="T685" t="s">
        <v>29</v>
      </c>
    </row>
    <row r="686" spans="1:20" x14ac:dyDescent="0.25">
      <c r="A686" t="s">
        <v>868</v>
      </c>
      <c r="B686" s="1">
        <v>45158</v>
      </c>
      <c r="C686" t="s">
        <v>813</v>
      </c>
      <c r="D686">
        <v>8</v>
      </c>
      <c r="E686" t="str">
        <f>+CONCATENATE("T",ROUNDUP(MONTH(Datos[[#This Row],[Fecha]])/3,0))</f>
        <v>T3</v>
      </c>
      <c r="F686" t="str">
        <f>+CONCATENATE("Sem"," ",ROUNDUP(MONTH(Datos[[#This Row],[Fecha]])/6,0))</f>
        <v>Sem 2</v>
      </c>
      <c r="G686" t="s">
        <v>112</v>
      </c>
      <c r="H686" t="s">
        <v>113</v>
      </c>
      <c r="I686" t="s">
        <v>24</v>
      </c>
      <c r="J686" t="s">
        <v>79</v>
      </c>
      <c r="K686" t="s">
        <v>114</v>
      </c>
      <c r="L686" t="s">
        <v>27</v>
      </c>
      <c r="M686">
        <v>0</v>
      </c>
      <c r="N686" s="1">
        <v>45158</v>
      </c>
      <c r="O686" s="1">
        <v>45165</v>
      </c>
      <c r="P686" t="s">
        <v>28</v>
      </c>
      <c r="Q686">
        <f>+IF(OR(Datos[[#This Row],[Diagnostico]]="Inservible",Datos[[#This Row],[Estatus]]="Preventivo"),0,Datos[[#This Row],[Fecha_Final]]-Datos[[#This Row],[Día_Inicio]])</f>
        <v>0</v>
      </c>
      <c r="R686" s="2">
        <v>0</v>
      </c>
      <c r="S686" s="2">
        <v>0</v>
      </c>
      <c r="T686" t="s">
        <v>29</v>
      </c>
    </row>
    <row r="687" spans="1:20" x14ac:dyDescent="0.25">
      <c r="A687" t="s">
        <v>869</v>
      </c>
      <c r="B687" s="1">
        <v>45158</v>
      </c>
      <c r="C687" t="s">
        <v>813</v>
      </c>
      <c r="D687">
        <v>8</v>
      </c>
      <c r="E687" t="str">
        <f>+CONCATENATE("T",ROUNDUP(MONTH(Datos[[#This Row],[Fecha]])/3,0))</f>
        <v>T3</v>
      </c>
      <c r="F687" t="str">
        <f>+CONCATENATE("Sem"," ",ROUNDUP(MONTH(Datos[[#This Row],[Fecha]])/6,0))</f>
        <v>Sem 2</v>
      </c>
      <c r="G687" t="s">
        <v>31</v>
      </c>
      <c r="H687" t="s">
        <v>32</v>
      </c>
      <c r="I687" t="s">
        <v>24</v>
      </c>
      <c r="J687" t="s">
        <v>33</v>
      </c>
      <c r="K687" t="s">
        <v>119</v>
      </c>
      <c r="L687" t="s">
        <v>27</v>
      </c>
      <c r="M687">
        <v>0</v>
      </c>
      <c r="N687" s="1">
        <v>45158</v>
      </c>
      <c r="O687" s="1">
        <v>45176</v>
      </c>
      <c r="P687" t="s">
        <v>58</v>
      </c>
      <c r="Q687">
        <f>+IF(OR(Datos[[#This Row],[Diagnostico]]="Inservible",Datos[[#This Row],[Estatus]]="Preventivo"),0,Datos[[#This Row],[Fecha_Final]]-Datos[[#This Row],[Día_Inicio]])</f>
        <v>18</v>
      </c>
      <c r="R687" s="2">
        <v>460</v>
      </c>
      <c r="S687" s="2">
        <v>223</v>
      </c>
      <c r="T687" t="s">
        <v>59</v>
      </c>
    </row>
    <row r="688" spans="1:20" x14ac:dyDescent="0.25">
      <c r="A688" t="s">
        <v>870</v>
      </c>
      <c r="B688" s="1">
        <v>45158</v>
      </c>
      <c r="C688" t="s">
        <v>813</v>
      </c>
      <c r="D688">
        <v>8</v>
      </c>
      <c r="E688" t="str">
        <f>+CONCATENATE("T",ROUNDUP(MONTH(Datos[[#This Row],[Fecha]])/3,0))</f>
        <v>T3</v>
      </c>
      <c r="F688" t="str">
        <f>+CONCATENATE("Sem"," ",ROUNDUP(MONTH(Datos[[#This Row],[Fecha]])/6,0))</f>
        <v>Sem 2</v>
      </c>
      <c r="G688" t="s">
        <v>36</v>
      </c>
      <c r="H688" t="s">
        <v>37</v>
      </c>
      <c r="I688" t="s">
        <v>24</v>
      </c>
      <c r="J688" t="s">
        <v>38</v>
      </c>
      <c r="K688" t="s">
        <v>123</v>
      </c>
      <c r="L688" t="s">
        <v>27</v>
      </c>
      <c r="M688">
        <v>0</v>
      </c>
      <c r="N688" s="1">
        <v>45158</v>
      </c>
      <c r="O688" s="1">
        <v>45159</v>
      </c>
      <c r="P688" t="s">
        <v>58</v>
      </c>
      <c r="Q688">
        <f>+IF(OR(Datos[[#This Row],[Diagnostico]]="Inservible",Datos[[#This Row],[Estatus]]="Preventivo"),0,Datos[[#This Row],[Fecha_Final]]-Datos[[#This Row],[Día_Inicio]])</f>
        <v>1</v>
      </c>
      <c r="R688" s="2">
        <v>1088</v>
      </c>
      <c r="S688" s="2">
        <v>228</v>
      </c>
      <c r="T688" t="s">
        <v>64</v>
      </c>
    </row>
    <row r="689" spans="1:20" x14ac:dyDescent="0.25">
      <c r="A689" t="s">
        <v>871</v>
      </c>
      <c r="B689" s="1">
        <v>45158</v>
      </c>
      <c r="C689" t="s">
        <v>813</v>
      </c>
      <c r="D689">
        <v>8</v>
      </c>
      <c r="E689" t="str">
        <f>+CONCATENATE("T",ROUNDUP(MONTH(Datos[[#This Row],[Fecha]])/3,0))</f>
        <v>T3</v>
      </c>
      <c r="F689" t="str">
        <f>+CONCATENATE("Sem"," ",ROUNDUP(MONTH(Datos[[#This Row],[Fecha]])/6,0))</f>
        <v>Sem 2</v>
      </c>
      <c r="G689" t="s">
        <v>183</v>
      </c>
      <c r="H689" t="s">
        <v>184</v>
      </c>
      <c r="I689" t="s">
        <v>24</v>
      </c>
      <c r="J689" t="s">
        <v>139</v>
      </c>
      <c r="K689" t="s">
        <v>128</v>
      </c>
      <c r="L689" t="s">
        <v>27</v>
      </c>
      <c r="M689">
        <v>0</v>
      </c>
      <c r="N689" s="1">
        <v>45158</v>
      </c>
      <c r="O689" s="1">
        <v>45162</v>
      </c>
      <c r="P689" t="s">
        <v>58</v>
      </c>
      <c r="Q689">
        <f>+IF(OR(Datos[[#This Row],[Diagnostico]]="Inservible",Datos[[#This Row],[Estatus]]="Preventivo"),0,Datos[[#This Row],[Fecha_Final]]-Datos[[#This Row],[Día_Inicio]])</f>
        <v>4</v>
      </c>
      <c r="R689" s="2">
        <v>1162</v>
      </c>
      <c r="S689" s="2">
        <v>794</v>
      </c>
      <c r="T689" t="s">
        <v>91</v>
      </c>
    </row>
    <row r="690" spans="1:20" x14ac:dyDescent="0.25">
      <c r="A690" t="s">
        <v>872</v>
      </c>
      <c r="B690" s="1">
        <v>45158</v>
      </c>
      <c r="C690" t="s">
        <v>813</v>
      </c>
      <c r="D690">
        <v>8</v>
      </c>
      <c r="E690" t="str">
        <f>+CONCATENATE("T",ROUNDUP(MONTH(Datos[[#This Row],[Fecha]])/3,0))</f>
        <v>T3</v>
      </c>
      <c r="F690" t="str">
        <f>+CONCATENATE("Sem"," ",ROUNDUP(MONTH(Datos[[#This Row],[Fecha]])/6,0))</f>
        <v>Sem 2</v>
      </c>
      <c r="G690" t="s">
        <v>99</v>
      </c>
      <c r="H690" t="s">
        <v>100</v>
      </c>
      <c r="I690" t="s">
        <v>101</v>
      </c>
      <c r="J690" t="s">
        <v>102</v>
      </c>
      <c r="K690" t="s">
        <v>39</v>
      </c>
      <c r="L690" t="s">
        <v>40</v>
      </c>
      <c r="M690" t="s">
        <v>188</v>
      </c>
      <c r="N690" s="1">
        <v>45158</v>
      </c>
      <c r="O690" s="1">
        <v>45338</v>
      </c>
      <c r="P690" t="s">
        <v>29</v>
      </c>
      <c r="Q690">
        <f>+IF(OR(Datos[[#This Row],[Diagnostico]]="Inservible",Datos[[#This Row],[Estatus]]="Preventivo"),0,Datos[[#This Row],[Fecha_Final]]-Datos[[#This Row],[Día_Inicio]])</f>
        <v>0</v>
      </c>
      <c r="R690" s="2">
        <v>1125</v>
      </c>
      <c r="S690" s="2">
        <v>630</v>
      </c>
      <c r="T690" t="s">
        <v>42</v>
      </c>
    </row>
    <row r="691" spans="1:20" x14ac:dyDescent="0.25">
      <c r="A691" t="s">
        <v>873</v>
      </c>
      <c r="B691" s="1">
        <v>45158</v>
      </c>
      <c r="C691" t="s">
        <v>813</v>
      </c>
      <c r="D691">
        <v>8</v>
      </c>
      <c r="E691" t="str">
        <f>+CONCATENATE("T",ROUNDUP(MONTH(Datos[[#This Row],[Fecha]])/3,0))</f>
        <v>T3</v>
      </c>
      <c r="F691" t="str">
        <f>+CONCATENATE("Sem"," ",ROUNDUP(MONTH(Datos[[#This Row],[Fecha]])/6,0))</f>
        <v>Sem 2</v>
      </c>
      <c r="G691" t="s">
        <v>53</v>
      </c>
      <c r="H691" t="s">
        <v>54</v>
      </c>
      <c r="I691" t="s">
        <v>55</v>
      </c>
      <c r="J691" t="s">
        <v>56</v>
      </c>
      <c r="K691" t="s">
        <v>135</v>
      </c>
      <c r="L691" t="s">
        <v>27</v>
      </c>
      <c r="M691">
        <v>0</v>
      </c>
      <c r="N691" s="1">
        <v>45158</v>
      </c>
      <c r="O691" s="1">
        <v>45170</v>
      </c>
      <c r="P691" t="s">
        <v>58</v>
      </c>
      <c r="Q691">
        <f>+IF(OR(Datos[[#This Row],[Diagnostico]]="Inservible",Datos[[#This Row],[Estatus]]="Preventivo"),0,Datos[[#This Row],[Fecha_Final]]-Datos[[#This Row],[Día_Inicio]])</f>
        <v>12</v>
      </c>
      <c r="R691" s="2">
        <v>1126</v>
      </c>
      <c r="S691" s="2">
        <v>490</v>
      </c>
      <c r="T691" t="s">
        <v>64</v>
      </c>
    </row>
    <row r="692" spans="1:20" x14ac:dyDescent="0.25">
      <c r="A692" t="s">
        <v>874</v>
      </c>
      <c r="B692" s="1">
        <v>45159</v>
      </c>
      <c r="C692" t="s">
        <v>813</v>
      </c>
      <c r="D692">
        <v>8</v>
      </c>
      <c r="E692" t="str">
        <f>+CONCATENATE("T",ROUNDUP(MONTH(Datos[[#This Row],[Fecha]])/3,0))</f>
        <v>T3</v>
      </c>
      <c r="F692" t="str">
        <f>+CONCATENATE("Sem"," ",ROUNDUP(MONTH(Datos[[#This Row],[Fecha]])/6,0))</f>
        <v>Sem 2</v>
      </c>
      <c r="G692" t="s">
        <v>53</v>
      </c>
      <c r="H692" t="s">
        <v>54</v>
      </c>
      <c r="I692" t="s">
        <v>55</v>
      </c>
      <c r="J692" t="s">
        <v>56</v>
      </c>
      <c r="K692" t="s">
        <v>26</v>
      </c>
      <c r="L692" t="s">
        <v>27</v>
      </c>
      <c r="M692">
        <v>0</v>
      </c>
      <c r="N692" s="1">
        <v>45159</v>
      </c>
      <c r="O692" s="1">
        <v>45165</v>
      </c>
      <c r="P692" t="s">
        <v>28</v>
      </c>
      <c r="Q692">
        <f>+IF(OR(Datos[[#This Row],[Diagnostico]]="Inservible",Datos[[#This Row],[Estatus]]="Preventivo"),0,Datos[[#This Row],[Fecha_Final]]-Datos[[#This Row],[Día_Inicio]])</f>
        <v>0</v>
      </c>
      <c r="R692" s="2">
        <v>0</v>
      </c>
      <c r="S692" s="2">
        <v>0</v>
      </c>
      <c r="T692" t="s">
        <v>29</v>
      </c>
    </row>
    <row r="693" spans="1:20" x14ac:dyDescent="0.25">
      <c r="A693" t="s">
        <v>875</v>
      </c>
      <c r="B693" s="1">
        <v>45159</v>
      </c>
      <c r="C693" t="s">
        <v>813</v>
      </c>
      <c r="D693">
        <v>8</v>
      </c>
      <c r="E693" t="str">
        <f>+CONCATENATE("T",ROUNDUP(MONTH(Datos[[#This Row],[Fecha]])/3,0))</f>
        <v>T3</v>
      </c>
      <c r="F693" t="str">
        <f>+CONCATENATE("Sem"," ",ROUNDUP(MONTH(Datos[[#This Row],[Fecha]])/6,0))</f>
        <v>Sem 2</v>
      </c>
      <c r="G693" t="s">
        <v>116</v>
      </c>
      <c r="H693" t="s">
        <v>117</v>
      </c>
      <c r="I693" t="s">
        <v>24</v>
      </c>
      <c r="J693" t="s">
        <v>118</v>
      </c>
      <c r="K693" t="s">
        <v>34</v>
      </c>
      <c r="L693" t="s">
        <v>27</v>
      </c>
      <c r="M693">
        <v>0</v>
      </c>
      <c r="N693" s="1">
        <v>45159</v>
      </c>
      <c r="O693" s="1">
        <v>45164</v>
      </c>
      <c r="P693" t="s">
        <v>28</v>
      </c>
      <c r="Q693">
        <f>+IF(OR(Datos[[#This Row],[Diagnostico]]="Inservible",Datos[[#This Row],[Estatus]]="Preventivo"),0,Datos[[#This Row],[Fecha_Final]]-Datos[[#This Row],[Día_Inicio]])</f>
        <v>0</v>
      </c>
      <c r="R693" s="2">
        <v>0</v>
      </c>
      <c r="S693" s="2">
        <v>0</v>
      </c>
      <c r="T693" t="s">
        <v>29</v>
      </c>
    </row>
    <row r="694" spans="1:20" x14ac:dyDescent="0.25">
      <c r="A694" t="s">
        <v>876</v>
      </c>
      <c r="B694" s="1">
        <v>45159</v>
      </c>
      <c r="C694" t="s">
        <v>813</v>
      </c>
      <c r="D694">
        <v>8</v>
      </c>
      <c r="E694" t="str">
        <f>+CONCATENATE("T",ROUNDUP(MONTH(Datos[[#This Row],[Fecha]])/3,0))</f>
        <v>T3</v>
      </c>
      <c r="F694" t="str">
        <f>+CONCATENATE("Sem"," ",ROUNDUP(MONTH(Datos[[#This Row],[Fecha]])/6,0))</f>
        <v>Sem 2</v>
      </c>
      <c r="G694" t="s">
        <v>121</v>
      </c>
      <c r="H694" t="s">
        <v>122</v>
      </c>
      <c r="I694" t="s">
        <v>24</v>
      </c>
      <c r="J694" t="s">
        <v>102</v>
      </c>
      <c r="K694" t="s">
        <v>39</v>
      </c>
      <c r="L694" t="s">
        <v>27</v>
      </c>
      <c r="M694">
        <v>0</v>
      </c>
      <c r="N694" s="1">
        <v>45159</v>
      </c>
      <c r="O694" s="1">
        <v>45168</v>
      </c>
      <c r="P694" t="s">
        <v>28</v>
      </c>
      <c r="Q694">
        <f>+IF(OR(Datos[[#This Row],[Diagnostico]]="Inservible",Datos[[#This Row],[Estatus]]="Preventivo"),0,Datos[[#This Row],[Fecha_Final]]-Datos[[#This Row],[Día_Inicio]])</f>
        <v>0</v>
      </c>
      <c r="R694" s="2">
        <v>0</v>
      </c>
      <c r="S694" s="2">
        <v>0</v>
      </c>
      <c r="T694" t="s">
        <v>29</v>
      </c>
    </row>
    <row r="695" spans="1:20" x14ac:dyDescent="0.25">
      <c r="A695" t="s">
        <v>877</v>
      </c>
      <c r="B695" s="1">
        <v>45159</v>
      </c>
      <c r="C695" t="s">
        <v>813</v>
      </c>
      <c r="D695">
        <v>8</v>
      </c>
      <c r="E695" t="str">
        <f>+CONCATENATE("T",ROUNDUP(MONTH(Datos[[#This Row],[Fecha]])/3,0))</f>
        <v>T3</v>
      </c>
      <c r="F695" t="str">
        <f>+CONCATENATE("Sem"," ",ROUNDUP(MONTH(Datos[[#This Row],[Fecha]])/6,0))</f>
        <v>Sem 2</v>
      </c>
      <c r="G695" t="s">
        <v>331</v>
      </c>
      <c r="H695" t="s">
        <v>332</v>
      </c>
      <c r="I695" t="s">
        <v>68</v>
      </c>
      <c r="J695" t="s">
        <v>74</v>
      </c>
      <c r="K695" t="s">
        <v>47</v>
      </c>
      <c r="L695" t="s">
        <v>27</v>
      </c>
      <c r="M695">
        <v>0</v>
      </c>
      <c r="N695" s="1">
        <v>45159</v>
      </c>
      <c r="O695" s="1">
        <v>45187</v>
      </c>
      <c r="P695" t="s">
        <v>28</v>
      </c>
      <c r="Q695">
        <f>+IF(OR(Datos[[#This Row],[Diagnostico]]="Inservible",Datos[[#This Row],[Estatus]]="Preventivo"),0,Datos[[#This Row],[Fecha_Final]]-Datos[[#This Row],[Día_Inicio]])</f>
        <v>0</v>
      </c>
      <c r="R695" s="2">
        <v>0</v>
      </c>
      <c r="S695" s="2">
        <v>0</v>
      </c>
      <c r="T695" t="s">
        <v>29</v>
      </c>
    </row>
    <row r="696" spans="1:20" x14ac:dyDescent="0.25">
      <c r="A696" t="s">
        <v>878</v>
      </c>
      <c r="B696" s="1">
        <v>45159</v>
      </c>
      <c r="C696" t="s">
        <v>813</v>
      </c>
      <c r="D696">
        <v>8</v>
      </c>
      <c r="E696" t="str">
        <f>+CONCATENATE("T",ROUNDUP(MONTH(Datos[[#This Row],[Fecha]])/3,0))</f>
        <v>T3</v>
      </c>
      <c r="F696" t="str">
        <f>+CONCATENATE("Sem"," ",ROUNDUP(MONTH(Datos[[#This Row],[Fecha]])/6,0))</f>
        <v>Sem 2</v>
      </c>
      <c r="G696" t="s">
        <v>202</v>
      </c>
      <c r="H696" t="s">
        <v>203</v>
      </c>
      <c r="I696" t="s">
        <v>24</v>
      </c>
      <c r="J696" t="s">
        <v>204</v>
      </c>
      <c r="K696" t="s">
        <v>147</v>
      </c>
      <c r="L696" t="s">
        <v>27</v>
      </c>
      <c r="M696">
        <v>0</v>
      </c>
      <c r="N696" s="1">
        <v>45159</v>
      </c>
      <c r="O696" s="1">
        <v>45169</v>
      </c>
      <c r="P696" t="s">
        <v>28</v>
      </c>
      <c r="Q696">
        <f>+IF(OR(Datos[[#This Row],[Diagnostico]]="Inservible",Datos[[#This Row],[Estatus]]="Preventivo"),0,Datos[[#This Row],[Fecha_Final]]-Datos[[#This Row],[Día_Inicio]])</f>
        <v>0</v>
      </c>
      <c r="R696" s="2">
        <v>0</v>
      </c>
      <c r="S696" s="2">
        <v>0</v>
      </c>
      <c r="T696" t="s">
        <v>29</v>
      </c>
    </row>
    <row r="697" spans="1:20" x14ac:dyDescent="0.25">
      <c r="A697" t="s">
        <v>879</v>
      </c>
      <c r="B697" s="1">
        <v>45159</v>
      </c>
      <c r="C697" t="s">
        <v>813</v>
      </c>
      <c r="D697">
        <v>8</v>
      </c>
      <c r="E697" t="str">
        <f>+CONCATENATE("T",ROUNDUP(MONTH(Datos[[#This Row],[Fecha]])/3,0))</f>
        <v>T3</v>
      </c>
      <c r="F697" t="str">
        <f>+CONCATENATE("Sem"," ",ROUNDUP(MONTH(Datos[[#This Row],[Fecha]])/6,0))</f>
        <v>Sem 2</v>
      </c>
      <c r="G697" t="s">
        <v>99</v>
      </c>
      <c r="H697" t="s">
        <v>100</v>
      </c>
      <c r="I697" t="s">
        <v>101</v>
      </c>
      <c r="J697" t="s">
        <v>102</v>
      </c>
      <c r="K697" t="s">
        <v>57</v>
      </c>
      <c r="L697" t="s">
        <v>27</v>
      </c>
      <c r="M697">
        <v>0</v>
      </c>
      <c r="N697" s="1">
        <v>45159</v>
      </c>
      <c r="O697" s="1">
        <v>45181</v>
      </c>
      <c r="P697" t="s">
        <v>28</v>
      </c>
      <c r="Q697">
        <f>+IF(OR(Datos[[#This Row],[Diagnostico]]="Inservible",Datos[[#This Row],[Estatus]]="Preventivo"),0,Datos[[#This Row],[Fecha_Final]]-Datos[[#This Row],[Día_Inicio]])</f>
        <v>0</v>
      </c>
      <c r="R697" s="2">
        <v>0</v>
      </c>
      <c r="S697" s="2">
        <v>0</v>
      </c>
      <c r="T697" t="s">
        <v>29</v>
      </c>
    </row>
    <row r="698" spans="1:20" x14ac:dyDescent="0.25">
      <c r="A698" t="s">
        <v>880</v>
      </c>
      <c r="B698" s="1">
        <v>45159</v>
      </c>
      <c r="C698" t="s">
        <v>813</v>
      </c>
      <c r="D698">
        <v>8</v>
      </c>
      <c r="E698" t="str">
        <f>+CONCATENATE("T",ROUNDUP(MONTH(Datos[[#This Row],[Fecha]])/3,0))</f>
        <v>T3</v>
      </c>
      <c r="F698" t="str">
        <f>+CONCATENATE("Sem"," ",ROUNDUP(MONTH(Datos[[#This Row],[Fecha]])/6,0))</f>
        <v>Sem 2</v>
      </c>
      <c r="G698" t="s">
        <v>158</v>
      </c>
      <c r="H698" t="s">
        <v>159</v>
      </c>
      <c r="I698" t="s">
        <v>101</v>
      </c>
      <c r="J698" t="s">
        <v>160</v>
      </c>
      <c r="K698" t="s">
        <v>63</v>
      </c>
      <c r="L698" t="s">
        <v>27</v>
      </c>
      <c r="M698">
        <v>0</v>
      </c>
      <c r="N698" s="1">
        <v>45159</v>
      </c>
      <c r="O698" s="1">
        <v>45166</v>
      </c>
      <c r="P698" t="s">
        <v>58</v>
      </c>
      <c r="Q698">
        <f>+IF(OR(Datos[[#This Row],[Diagnostico]]="Inservible",Datos[[#This Row],[Estatus]]="Preventivo"),0,Datos[[#This Row],[Fecha_Final]]-Datos[[#This Row],[Día_Inicio]])</f>
        <v>7</v>
      </c>
      <c r="R698" s="2">
        <v>1094</v>
      </c>
      <c r="S698" s="2">
        <v>876</v>
      </c>
      <c r="T698" t="s">
        <v>91</v>
      </c>
    </row>
    <row r="699" spans="1:20" x14ac:dyDescent="0.25">
      <c r="A699" t="s">
        <v>881</v>
      </c>
      <c r="B699" s="1">
        <v>45160</v>
      </c>
      <c r="C699" t="s">
        <v>813</v>
      </c>
      <c r="D699">
        <v>8</v>
      </c>
      <c r="E699" t="str">
        <f>+CONCATENATE("T",ROUNDUP(MONTH(Datos[[#This Row],[Fecha]])/3,0))</f>
        <v>T3</v>
      </c>
      <c r="F699" t="str">
        <f>+CONCATENATE("Sem"," ",ROUNDUP(MONTH(Datos[[#This Row],[Fecha]])/6,0))</f>
        <v>Sem 2</v>
      </c>
      <c r="G699" t="s">
        <v>99</v>
      </c>
      <c r="H699" t="s">
        <v>100</v>
      </c>
      <c r="I699" t="s">
        <v>101</v>
      </c>
      <c r="J699" t="s">
        <v>102</v>
      </c>
      <c r="K699" t="s">
        <v>70</v>
      </c>
      <c r="L699" t="s">
        <v>27</v>
      </c>
      <c r="M699">
        <v>0</v>
      </c>
      <c r="N699" s="1">
        <v>45160</v>
      </c>
      <c r="O699" s="1">
        <v>45161</v>
      </c>
      <c r="P699" t="s">
        <v>58</v>
      </c>
      <c r="Q699">
        <f>+IF(OR(Datos[[#This Row],[Diagnostico]]="Inservible",Datos[[#This Row],[Estatus]]="Preventivo"),0,Datos[[#This Row],[Fecha_Final]]-Datos[[#This Row],[Día_Inicio]])</f>
        <v>1</v>
      </c>
      <c r="R699" s="2">
        <v>1036</v>
      </c>
      <c r="S699" s="2">
        <v>916</v>
      </c>
      <c r="T699" t="s">
        <v>59</v>
      </c>
    </row>
    <row r="700" spans="1:20" x14ac:dyDescent="0.25">
      <c r="A700" t="s">
        <v>882</v>
      </c>
      <c r="B700" s="1">
        <v>45161</v>
      </c>
      <c r="C700" t="s">
        <v>813</v>
      </c>
      <c r="D700">
        <v>8</v>
      </c>
      <c r="E700" t="str">
        <f>+CONCATENATE("T",ROUNDUP(MONTH(Datos[[#This Row],[Fecha]])/3,0))</f>
        <v>T3</v>
      </c>
      <c r="F700" t="str">
        <f>+CONCATENATE("Sem"," ",ROUNDUP(MONTH(Datos[[#This Row],[Fecha]])/6,0))</f>
        <v>Sem 2</v>
      </c>
      <c r="G700" t="s">
        <v>257</v>
      </c>
      <c r="H700" t="s">
        <v>258</v>
      </c>
      <c r="I700" t="s">
        <v>24</v>
      </c>
      <c r="J700" t="s">
        <v>204</v>
      </c>
      <c r="K700" t="s">
        <v>39</v>
      </c>
      <c r="L700" t="s">
        <v>40</v>
      </c>
      <c r="M700" t="s">
        <v>196</v>
      </c>
      <c r="N700" s="1">
        <v>45161</v>
      </c>
      <c r="O700" s="1">
        <v>45191</v>
      </c>
      <c r="P700" t="s">
        <v>29</v>
      </c>
      <c r="Q700">
        <f>+IF(OR(Datos[[#This Row],[Diagnostico]]="Inservible",Datos[[#This Row],[Estatus]]="Preventivo"),0,Datos[[#This Row],[Fecha_Final]]-Datos[[#This Row],[Día_Inicio]])</f>
        <v>0</v>
      </c>
      <c r="R700" s="2">
        <v>930</v>
      </c>
      <c r="S700" s="2">
        <v>207</v>
      </c>
      <c r="T700" t="s">
        <v>42</v>
      </c>
    </row>
    <row r="701" spans="1:20" x14ac:dyDescent="0.25">
      <c r="A701" t="s">
        <v>883</v>
      </c>
      <c r="B701" s="1">
        <v>45161</v>
      </c>
      <c r="C701" t="s">
        <v>813</v>
      </c>
      <c r="D701">
        <v>8</v>
      </c>
      <c r="E701" t="str">
        <f>+CONCATENATE("T",ROUNDUP(MONTH(Datos[[#This Row],[Fecha]])/3,0))</f>
        <v>T3</v>
      </c>
      <c r="F701" t="str">
        <f>+CONCATENATE("Sem"," ",ROUNDUP(MONTH(Datos[[#This Row],[Fecha]])/6,0))</f>
        <v>Sem 2</v>
      </c>
      <c r="G701" t="s">
        <v>53</v>
      </c>
      <c r="H701" t="s">
        <v>54</v>
      </c>
      <c r="I701" t="s">
        <v>55</v>
      </c>
      <c r="J701" t="s">
        <v>56</v>
      </c>
      <c r="K701" t="s">
        <v>80</v>
      </c>
      <c r="L701" t="s">
        <v>27</v>
      </c>
      <c r="M701">
        <v>0</v>
      </c>
      <c r="N701" s="1">
        <v>45161</v>
      </c>
      <c r="O701" s="1">
        <v>45181</v>
      </c>
      <c r="P701" t="s">
        <v>58</v>
      </c>
      <c r="Q701">
        <f>+IF(OR(Datos[[#This Row],[Diagnostico]]="Inservible",Datos[[#This Row],[Estatus]]="Preventivo"),0,Datos[[#This Row],[Fecha_Final]]-Datos[[#This Row],[Día_Inicio]])</f>
        <v>20</v>
      </c>
      <c r="R701" s="2">
        <v>853</v>
      </c>
      <c r="S701" s="2">
        <v>596</v>
      </c>
      <c r="T701" t="s">
        <v>91</v>
      </c>
    </row>
    <row r="702" spans="1:20" x14ac:dyDescent="0.25">
      <c r="A702" t="s">
        <v>884</v>
      </c>
      <c r="B702" s="1">
        <v>45161</v>
      </c>
      <c r="C702" t="s">
        <v>813</v>
      </c>
      <c r="D702">
        <v>8</v>
      </c>
      <c r="E702" t="str">
        <f>+CONCATENATE("T",ROUNDUP(MONTH(Datos[[#This Row],[Fecha]])/3,0))</f>
        <v>T3</v>
      </c>
      <c r="F702" t="str">
        <f>+CONCATENATE("Sem"," ",ROUNDUP(MONTH(Datos[[#This Row],[Fecha]])/6,0))</f>
        <v>Sem 2</v>
      </c>
      <c r="G702" t="s">
        <v>158</v>
      </c>
      <c r="H702" t="s">
        <v>159</v>
      </c>
      <c r="I702" t="s">
        <v>101</v>
      </c>
      <c r="J702" t="s">
        <v>160</v>
      </c>
      <c r="K702" t="s">
        <v>85</v>
      </c>
      <c r="L702" t="s">
        <v>27</v>
      </c>
      <c r="M702">
        <v>0</v>
      </c>
      <c r="N702" s="1">
        <v>45161</v>
      </c>
      <c r="O702" s="1">
        <v>45174</v>
      </c>
      <c r="P702" t="s">
        <v>28</v>
      </c>
      <c r="Q702">
        <f>+IF(OR(Datos[[#This Row],[Diagnostico]]="Inservible",Datos[[#This Row],[Estatus]]="Preventivo"),0,Datos[[#This Row],[Fecha_Final]]-Datos[[#This Row],[Día_Inicio]])</f>
        <v>0</v>
      </c>
      <c r="R702" s="2">
        <v>0</v>
      </c>
      <c r="S702" s="2">
        <v>0</v>
      </c>
      <c r="T702" t="s">
        <v>29</v>
      </c>
    </row>
    <row r="703" spans="1:20" x14ac:dyDescent="0.25">
      <c r="A703" t="s">
        <v>885</v>
      </c>
      <c r="B703" s="1">
        <v>45161</v>
      </c>
      <c r="C703" t="s">
        <v>813</v>
      </c>
      <c r="D703">
        <v>8</v>
      </c>
      <c r="E703" t="str">
        <f>+CONCATENATE("T",ROUNDUP(MONTH(Datos[[#This Row],[Fecha]])/3,0))</f>
        <v>T3</v>
      </c>
      <c r="F703" t="str">
        <f>+CONCATENATE("Sem"," ",ROUNDUP(MONTH(Datos[[#This Row],[Fecha]])/6,0))</f>
        <v>Sem 2</v>
      </c>
      <c r="G703" t="s">
        <v>154</v>
      </c>
      <c r="H703" t="s">
        <v>155</v>
      </c>
      <c r="I703" t="s">
        <v>68</v>
      </c>
      <c r="J703" t="s">
        <v>156</v>
      </c>
      <c r="K703" t="s">
        <v>90</v>
      </c>
      <c r="L703" t="s">
        <v>27</v>
      </c>
      <c r="M703">
        <v>0</v>
      </c>
      <c r="N703" s="1">
        <v>45161</v>
      </c>
      <c r="O703" s="1">
        <v>45167</v>
      </c>
      <c r="P703" t="s">
        <v>28</v>
      </c>
      <c r="Q703">
        <f>+IF(OR(Datos[[#This Row],[Diagnostico]]="Inservible",Datos[[#This Row],[Estatus]]="Preventivo"),0,Datos[[#This Row],[Fecha_Final]]-Datos[[#This Row],[Día_Inicio]])</f>
        <v>0</v>
      </c>
      <c r="R703" s="2">
        <v>0</v>
      </c>
      <c r="S703" s="2">
        <v>0</v>
      </c>
      <c r="T703" t="s">
        <v>29</v>
      </c>
    </row>
    <row r="704" spans="1:20" x14ac:dyDescent="0.25">
      <c r="A704" t="s">
        <v>886</v>
      </c>
      <c r="B704" s="1">
        <v>45161</v>
      </c>
      <c r="C704" t="s">
        <v>813</v>
      </c>
      <c r="D704">
        <v>8</v>
      </c>
      <c r="E704" t="str">
        <f>+CONCATENATE("T",ROUNDUP(MONTH(Datos[[#This Row],[Fecha]])/3,0))</f>
        <v>T3</v>
      </c>
      <c r="F704" t="str">
        <f>+CONCATENATE("Sem"," ",ROUNDUP(MONTH(Datos[[#This Row],[Fecha]])/6,0))</f>
        <v>Sem 2</v>
      </c>
      <c r="G704" t="s">
        <v>158</v>
      </c>
      <c r="H704" t="s">
        <v>159</v>
      </c>
      <c r="I704" t="s">
        <v>101</v>
      </c>
      <c r="J704" t="s">
        <v>160</v>
      </c>
      <c r="K704" t="s">
        <v>172</v>
      </c>
      <c r="L704" t="s">
        <v>27</v>
      </c>
      <c r="M704">
        <v>0</v>
      </c>
      <c r="N704" s="1">
        <v>45161</v>
      </c>
      <c r="O704" s="1">
        <v>45180</v>
      </c>
      <c r="P704" t="s">
        <v>58</v>
      </c>
      <c r="Q704">
        <f>+IF(OR(Datos[[#This Row],[Diagnostico]]="Inservible",Datos[[#This Row],[Estatus]]="Preventivo"),0,Datos[[#This Row],[Fecha_Final]]-Datos[[#This Row],[Día_Inicio]])</f>
        <v>19</v>
      </c>
      <c r="R704" s="2">
        <v>823</v>
      </c>
      <c r="S704" s="2">
        <v>343</v>
      </c>
      <c r="T704" t="s">
        <v>64</v>
      </c>
    </row>
    <row r="705" spans="1:20" x14ac:dyDescent="0.25">
      <c r="A705" t="s">
        <v>887</v>
      </c>
      <c r="B705" s="1">
        <v>45162</v>
      </c>
      <c r="C705" t="s">
        <v>813</v>
      </c>
      <c r="D705">
        <v>8</v>
      </c>
      <c r="E705" t="str">
        <f>+CONCATENATE("T",ROUNDUP(MONTH(Datos[[#This Row],[Fecha]])/3,0))</f>
        <v>T3</v>
      </c>
      <c r="F705" t="str">
        <f>+CONCATENATE("Sem"," ",ROUNDUP(MONTH(Datos[[#This Row],[Fecha]])/6,0))</f>
        <v>Sem 2</v>
      </c>
      <c r="G705" t="s">
        <v>87</v>
      </c>
      <c r="H705" t="s">
        <v>88</v>
      </c>
      <c r="I705" t="s">
        <v>68</v>
      </c>
      <c r="J705" t="s">
        <v>89</v>
      </c>
      <c r="K705" t="s">
        <v>97</v>
      </c>
      <c r="L705" t="s">
        <v>27</v>
      </c>
      <c r="M705">
        <v>0</v>
      </c>
      <c r="N705" s="1">
        <v>45162</v>
      </c>
      <c r="O705" s="1">
        <v>45187</v>
      </c>
      <c r="P705" t="s">
        <v>58</v>
      </c>
      <c r="Q705">
        <f>+IF(OR(Datos[[#This Row],[Diagnostico]]="Inservible",Datos[[#This Row],[Estatus]]="Preventivo"),0,Datos[[#This Row],[Fecha_Final]]-Datos[[#This Row],[Día_Inicio]])</f>
        <v>25</v>
      </c>
      <c r="R705" s="2">
        <v>1117</v>
      </c>
      <c r="S705" s="2">
        <v>384</v>
      </c>
      <c r="T705" t="s">
        <v>59</v>
      </c>
    </row>
    <row r="706" spans="1:20" x14ac:dyDescent="0.25">
      <c r="A706" t="s">
        <v>888</v>
      </c>
      <c r="B706" s="1">
        <v>45164</v>
      </c>
      <c r="C706" t="s">
        <v>813</v>
      </c>
      <c r="D706">
        <v>8</v>
      </c>
      <c r="E706" t="str">
        <f>+CONCATENATE("T",ROUNDUP(MONTH(Datos[[#This Row],[Fecha]])/3,0))</f>
        <v>T3</v>
      </c>
      <c r="F706" t="str">
        <f>+CONCATENATE("Sem"," ",ROUNDUP(MONTH(Datos[[#This Row],[Fecha]])/6,0))</f>
        <v>Sem 2</v>
      </c>
      <c r="G706" t="s">
        <v>257</v>
      </c>
      <c r="H706" t="s">
        <v>258</v>
      </c>
      <c r="I706" t="s">
        <v>24</v>
      </c>
      <c r="J706" t="s">
        <v>204</v>
      </c>
      <c r="K706" t="s">
        <v>39</v>
      </c>
      <c r="L706" t="s">
        <v>40</v>
      </c>
      <c r="M706" t="s">
        <v>41</v>
      </c>
      <c r="N706" s="1">
        <v>45164</v>
      </c>
      <c r="O706" s="1">
        <v>45254</v>
      </c>
      <c r="P706" t="s">
        <v>29</v>
      </c>
      <c r="Q706">
        <f>+IF(OR(Datos[[#This Row],[Diagnostico]]="Inservible",Datos[[#This Row],[Estatus]]="Preventivo"),0,Datos[[#This Row],[Fecha_Final]]-Datos[[#This Row],[Día_Inicio]])</f>
        <v>0</v>
      </c>
      <c r="R706" s="2">
        <v>966</v>
      </c>
      <c r="S706" s="2">
        <v>831</v>
      </c>
      <c r="T706" t="s">
        <v>42</v>
      </c>
    </row>
    <row r="707" spans="1:20" x14ac:dyDescent="0.25">
      <c r="A707" t="s">
        <v>889</v>
      </c>
      <c r="B707" s="1">
        <v>45164</v>
      </c>
      <c r="C707" t="s">
        <v>813</v>
      </c>
      <c r="D707">
        <v>8</v>
      </c>
      <c r="E707" t="str">
        <f>+CONCATENATE("T",ROUNDUP(MONTH(Datos[[#This Row],[Fecha]])/3,0))</f>
        <v>T3</v>
      </c>
      <c r="F707" t="str">
        <f>+CONCATENATE("Sem"," ",ROUNDUP(MONTH(Datos[[#This Row],[Fecha]])/6,0))</f>
        <v>Sem 2</v>
      </c>
      <c r="G707" t="s">
        <v>257</v>
      </c>
      <c r="H707" t="s">
        <v>258</v>
      </c>
      <c r="I707" t="s">
        <v>24</v>
      </c>
      <c r="J707" t="s">
        <v>204</v>
      </c>
      <c r="K707" t="s">
        <v>108</v>
      </c>
      <c r="L707" t="s">
        <v>27</v>
      </c>
      <c r="M707">
        <v>0</v>
      </c>
      <c r="N707" s="1">
        <v>45164</v>
      </c>
      <c r="O707" s="1">
        <v>45183</v>
      </c>
      <c r="P707" t="s">
        <v>28</v>
      </c>
      <c r="Q707">
        <f>+IF(OR(Datos[[#This Row],[Diagnostico]]="Inservible",Datos[[#This Row],[Estatus]]="Preventivo"),0,Datos[[#This Row],[Fecha_Final]]-Datos[[#This Row],[Día_Inicio]])</f>
        <v>0</v>
      </c>
      <c r="R707" s="2">
        <v>0</v>
      </c>
      <c r="S707" s="2">
        <v>0</v>
      </c>
      <c r="T707" t="s">
        <v>29</v>
      </c>
    </row>
    <row r="708" spans="1:20" x14ac:dyDescent="0.25">
      <c r="A708" t="s">
        <v>890</v>
      </c>
      <c r="B708" s="1">
        <v>45165</v>
      </c>
      <c r="C708" t="s">
        <v>813</v>
      </c>
      <c r="D708">
        <v>8</v>
      </c>
      <c r="E708" t="str">
        <f>+CONCATENATE("T",ROUNDUP(MONTH(Datos[[#This Row],[Fecha]])/3,0))</f>
        <v>T3</v>
      </c>
      <c r="F708" t="str">
        <f>+CONCATENATE("Sem"," ",ROUNDUP(MONTH(Datos[[#This Row],[Fecha]])/6,0))</f>
        <v>Sem 2</v>
      </c>
      <c r="G708" t="s">
        <v>112</v>
      </c>
      <c r="H708" t="s">
        <v>113</v>
      </c>
      <c r="I708" t="s">
        <v>24</v>
      </c>
      <c r="J708" t="s">
        <v>79</v>
      </c>
      <c r="K708" t="s">
        <v>39</v>
      </c>
      <c r="L708" t="s">
        <v>40</v>
      </c>
      <c r="M708" t="s">
        <v>75</v>
      </c>
      <c r="N708" s="1">
        <v>45165</v>
      </c>
      <c r="O708" s="1">
        <v>45525</v>
      </c>
      <c r="P708" t="s">
        <v>29</v>
      </c>
      <c r="Q708">
        <f>+IF(OR(Datos[[#This Row],[Diagnostico]]="Inservible",Datos[[#This Row],[Estatus]]="Preventivo"),0,Datos[[#This Row],[Fecha_Final]]-Datos[[#This Row],[Día_Inicio]])</f>
        <v>0</v>
      </c>
      <c r="R708" s="2">
        <v>550</v>
      </c>
      <c r="S708" s="2">
        <v>195</v>
      </c>
      <c r="T708" t="s">
        <v>42</v>
      </c>
    </row>
    <row r="709" spans="1:20" x14ac:dyDescent="0.25">
      <c r="A709" t="s">
        <v>891</v>
      </c>
      <c r="B709" s="1">
        <v>45165</v>
      </c>
      <c r="C709" t="s">
        <v>813</v>
      </c>
      <c r="D709">
        <v>8</v>
      </c>
      <c r="E709" t="str">
        <f>+CONCATENATE("T",ROUNDUP(MONTH(Datos[[#This Row],[Fecha]])/3,0))</f>
        <v>T3</v>
      </c>
      <c r="F709" t="str">
        <f>+CONCATENATE("Sem"," ",ROUNDUP(MONTH(Datos[[#This Row],[Fecha]])/6,0))</f>
        <v>Sem 2</v>
      </c>
      <c r="G709" t="s">
        <v>82</v>
      </c>
      <c r="H709" t="s">
        <v>83</v>
      </c>
      <c r="I709" t="s">
        <v>24</v>
      </c>
      <c r="J709" t="s">
        <v>84</v>
      </c>
      <c r="K709" t="s">
        <v>114</v>
      </c>
      <c r="L709" t="s">
        <v>27</v>
      </c>
      <c r="M709">
        <v>0</v>
      </c>
      <c r="N709" s="1">
        <v>45165</v>
      </c>
      <c r="O709" s="1">
        <v>45191</v>
      </c>
      <c r="P709" t="s">
        <v>58</v>
      </c>
      <c r="Q709">
        <f>+IF(OR(Datos[[#This Row],[Diagnostico]]="Inservible",Datos[[#This Row],[Estatus]]="Preventivo"),0,Datos[[#This Row],[Fecha_Final]]-Datos[[#This Row],[Día_Inicio]])</f>
        <v>26</v>
      </c>
      <c r="R709" s="2">
        <v>721</v>
      </c>
      <c r="S709" s="2">
        <v>699</v>
      </c>
      <c r="T709" t="s">
        <v>91</v>
      </c>
    </row>
    <row r="710" spans="1:20" x14ac:dyDescent="0.25">
      <c r="A710" t="s">
        <v>892</v>
      </c>
      <c r="B710" s="1">
        <v>45165</v>
      </c>
      <c r="C710" t="s">
        <v>813</v>
      </c>
      <c r="D710">
        <v>8</v>
      </c>
      <c r="E710" t="str">
        <f>+CONCATENATE("T",ROUNDUP(MONTH(Datos[[#This Row],[Fecha]])/3,0))</f>
        <v>T3</v>
      </c>
      <c r="F710" t="str">
        <f>+CONCATENATE("Sem"," ",ROUNDUP(MONTH(Datos[[#This Row],[Fecha]])/6,0))</f>
        <v>Sem 2</v>
      </c>
      <c r="G710" t="s">
        <v>22</v>
      </c>
      <c r="H710" t="s">
        <v>23</v>
      </c>
      <c r="I710" t="s">
        <v>24</v>
      </c>
      <c r="J710" t="s">
        <v>25</v>
      </c>
      <c r="K710" t="s">
        <v>119</v>
      </c>
      <c r="L710" t="s">
        <v>27</v>
      </c>
      <c r="M710">
        <v>0</v>
      </c>
      <c r="N710" s="1">
        <v>45165</v>
      </c>
      <c r="O710" s="1">
        <v>45170</v>
      </c>
      <c r="P710" t="s">
        <v>58</v>
      </c>
      <c r="Q710">
        <f>+IF(OR(Datos[[#This Row],[Diagnostico]]="Inservible",Datos[[#This Row],[Estatus]]="Preventivo"),0,Datos[[#This Row],[Fecha_Final]]-Datos[[#This Row],[Día_Inicio]])</f>
        <v>5</v>
      </c>
      <c r="R710" s="2">
        <v>416</v>
      </c>
      <c r="S710" s="2">
        <v>934</v>
      </c>
      <c r="T710" t="s">
        <v>42</v>
      </c>
    </row>
    <row r="711" spans="1:20" x14ac:dyDescent="0.25">
      <c r="A711" t="s">
        <v>893</v>
      </c>
      <c r="B711" s="1">
        <v>45166</v>
      </c>
      <c r="C711" t="s">
        <v>813</v>
      </c>
      <c r="D711">
        <v>8</v>
      </c>
      <c r="E711" t="str">
        <f>+CONCATENATE("T",ROUNDUP(MONTH(Datos[[#This Row],[Fecha]])/3,0))</f>
        <v>T3</v>
      </c>
      <c r="F711" t="str">
        <f>+CONCATENATE("Sem"," ",ROUNDUP(MONTH(Datos[[#This Row],[Fecha]])/6,0))</f>
        <v>Sem 2</v>
      </c>
      <c r="G711" t="s">
        <v>149</v>
      </c>
      <c r="H711" t="s">
        <v>150</v>
      </c>
      <c r="I711" t="s">
        <v>68</v>
      </c>
      <c r="J711" t="s">
        <v>151</v>
      </c>
      <c r="K711" t="s">
        <v>123</v>
      </c>
      <c r="L711" t="s">
        <v>27</v>
      </c>
      <c r="M711">
        <v>0</v>
      </c>
      <c r="N711" s="1">
        <v>45166</v>
      </c>
      <c r="O711" s="1">
        <v>45171</v>
      </c>
      <c r="P711" t="s">
        <v>58</v>
      </c>
      <c r="Q711">
        <f>+IF(OR(Datos[[#This Row],[Diagnostico]]="Inservible",Datos[[#This Row],[Estatus]]="Preventivo"),0,Datos[[#This Row],[Fecha_Final]]-Datos[[#This Row],[Día_Inicio]])</f>
        <v>5</v>
      </c>
      <c r="R711" s="2">
        <v>583</v>
      </c>
      <c r="S711" s="2">
        <v>588</v>
      </c>
      <c r="T711" t="s">
        <v>59</v>
      </c>
    </row>
    <row r="712" spans="1:20" x14ac:dyDescent="0.25">
      <c r="A712" t="s">
        <v>894</v>
      </c>
      <c r="B712" s="1">
        <v>45166</v>
      </c>
      <c r="C712" t="s">
        <v>813</v>
      </c>
      <c r="D712">
        <v>8</v>
      </c>
      <c r="E712" t="str">
        <f>+CONCATENATE("T",ROUNDUP(MONTH(Datos[[#This Row],[Fecha]])/3,0))</f>
        <v>T3</v>
      </c>
      <c r="F712" t="str">
        <f>+CONCATENATE("Sem"," ",ROUNDUP(MONTH(Datos[[#This Row],[Fecha]])/6,0))</f>
        <v>Sem 2</v>
      </c>
      <c r="G712" t="s">
        <v>72</v>
      </c>
      <c r="H712" t="s">
        <v>73</v>
      </c>
      <c r="I712" t="s">
        <v>24</v>
      </c>
      <c r="J712" t="s">
        <v>74</v>
      </c>
      <c r="K712" t="s">
        <v>39</v>
      </c>
      <c r="L712" t="s">
        <v>40</v>
      </c>
      <c r="M712" t="s">
        <v>75</v>
      </c>
      <c r="N712" s="1">
        <v>45166</v>
      </c>
      <c r="O712" s="1">
        <v>45526</v>
      </c>
      <c r="P712" t="s">
        <v>29</v>
      </c>
      <c r="Q712">
        <f>+IF(OR(Datos[[#This Row],[Diagnostico]]="Inservible",Datos[[#This Row],[Estatus]]="Preventivo"),0,Datos[[#This Row],[Fecha_Final]]-Datos[[#This Row],[Día_Inicio]])</f>
        <v>0</v>
      </c>
      <c r="R712" s="2">
        <v>607</v>
      </c>
      <c r="S712" s="2">
        <v>288</v>
      </c>
      <c r="T712" t="s">
        <v>42</v>
      </c>
    </row>
    <row r="713" spans="1:20" x14ac:dyDescent="0.25">
      <c r="A713" t="s">
        <v>895</v>
      </c>
      <c r="B713" s="1">
        <v>45166</v>
      </c>
      <c r="C713" t="s">
        <v>813</v>
      </c>
      <c r="D713">
        <v>8</v>
      </c>
      <c r="E713" t="str">
        <f>+CONCATENATE("T",ROUNDUP(MONTH(Datos[[#This Row],[Fecha]])/3,0))</f>
        <v>T3</v>
      </c>
      <c r="F713" t="str">
        <f>+CONCATENATE("Sem"," ",ROUNDUP(MONTH(Datos[[#This Row],[Fecha]])/6,0))</f>
        <v>Sem 2</v>
      </c>
      <c r="G713" t="s">
        <v>190</v>
      </c>
      <c r="H713" t="s">
        <v>191</v>
      </c>
      <c r="I713" t="s">
        <v>24</v>
      </c>
      <c r="J713" t="s">
        <v>192</v>
      </c>
      <c r="K713" t="s">
        <v>130</v>
      </c>
      <c r="L713" t="s">
        <v>27</v>
      </c>
      <c r="M713">
        <v>0</v>
      </c>
      <c r="N713" s="1">
        <v>45166</v>
      </c>
      <c r="O713" s="1">
        <v>45182</v>
      </c>
      <c r="P713" t="s">
        <v>28</v>
      </c>
      <c r="Q713">
        <f>+IF(OR(Datos[[#This Row],[Diagnostico]]="Inservible",Datos[[#This Row],[Estatus]]="Preventivo"),0,Datos[[#This Row],[Fecha_Final]]-Datos[[#This Row],[Día_Inicio]])</f>
        <v>0</v>
      </c>
      <c r="R713" s="2">
        <v>0</v>
      </c>
      <c r="S713" s="2">
        <v>0</v>
      </c>
      <c r="T713" t="s">
        <v>29</v>
      </c>
    </row>
    <row r="714" spans="1:20" x14ac:dyDescent="0.25">
      <c r="A714" t="s">
        <v>896</v>
      </c>
      <c r="B714" s="1">
        <v>45167</v>
      </c>
      <c r="C714" t="s">
        <v>813</v>
      </c>
      <c r="D714">
        <v>8</v>
      </c>
      <c r="E714" t="str">
        <f>+CONCATENATE("T",ROUNDUP(MONTH(Datos[[#This Row],[Fecha]])/3,0))</f>
        <v>T3</v>
      </c>
      <c r="F714" t="str">
        <f>+CONCATENATE("Sem"," ",ROUNDUP(MONTH(Datos[[#This Row],[Fecha]])/6,0))</f>
        <v>Sem 2</v>
      </c>
      <c r="G714" t="s">
        <v>190</v>
      </c>
      <c r="H714" t="s">
        <v>191</v>
      </c>
      <c r="I714" t="s">
        <v>24</v>
      </c>
      <c r="J714" t="s">
        <v>192</v>
      </c>
      <c r="K714" t="s">
        <v>135</v>
      </c>
      <c r="L714" t="s">
        <v>27</v>
      </c>
      <c r="M714">
        <v>0</v>
      </c>
      <c r="N714" s="1">
        <v>45167</v>
      </c>
      <c r="O714" s="1">
        <v>45190</v>
      </c>
      <c r="P714" t="s">
        <v>58</v>
      </c>
      <c r="Q714">
        <f>+IF(OR(Datos[[#This Row],[Diagnostico]]="Inservible",Datos[[#This Row],[Estatus]]="Preventivo"),0,Datos[[#This Row],[Fecha_Final]]-Datos[[#This Row],[Día_Inicio]])</f>
        <v>23</v>
      </c>
      <c r="R714" s="2">
        <v>823</v>
      </c>
      <c r="S714" s="2">
        <v>113</v>
      </c>
      <c r="T714" t="s">
        <v>59</v>
      </c>
    </row>
    <row r="715" spans="1:20" x14ac:dyDescent="0.25">
      <c r="A715" t="s">
        <v>897</v>
      </c>
      <c r="B715" s="1">
        <v>45167</v>
      </c>
      <c r="C715" t="s">
        <v>813</v>
      </c>
      <c r="D715">
        <v>8</v>
      </c>
      <c r="E715" t="str">
        <f>+CONCATENATE("T",ROUNDUP(MONTH(Datos[[#This Row],[Fecha]])/3,0))</f>
        <v>T3</v>
      </c>
      <c r="F715" t="str">
        <f>+CONCATENATE("Sem"," ",ROUNDUP(MONTH(Datos[[#This Row],[Fecha]])/6,0))</f>
        <v>Sem 2</v>
      </c>
      <c r="G715" t="s">
        <v>149</v>
      </c>
      <c r="H715" t="s">
        <v>150</v>
      </c>
      <c r="I715" t="s">
        <v>68</v>
      </c>
      <c r="J715" t="s">
        <v>151</v>
      </c>
      <c r="K715" t="s">
        <v>26</v>
      </c>
      <c r="L715" t="s">
        <v>27</v>
      </c>
      <c r="M715">
        <v>0</v>
      </c>
      <c r="N715" s="1">
        <v>45167</v>
      </c>
      <c r="O715" s="1">
        <v>45190</v>
      </c>
      <c r="P715" t="s">
        <v>28</v>
      </c>
      <c r="Q715">
        <f>+IF(OR(Datos[[#This Row],[Diagnostico]]="Inservible",Datos[[#This Row],[Estatus]]="Preventivo"),0,Datos[[#This Row],[Fecha_Final]]-Datos[[#This Row],[Día_Inicio]])</f>
        <v>0</v>
      </c>
      <c r="R715" s="2">
        <v>0</v>
      </c>
      <c r="S715" s="2">
        <v>0</v>
      </c>
      <c r="T715" t="s">
        <v>29</v>
      </c>
    </row>
    <row r="716" spans="1:20" x14ac:dyDescent="0.25">
      <c r="A716" t="s">
        <v>898</v>
      </c>
      <c r="B716" s="1">
        <v>45168</v>
      </c>
      <c r="C716" t="s">
        <v>813</v>
      </c>
      <c r="D716">
        <v>8</v>
      </c>
      <c r="E716" t="str">
        <f>+CONCATENATE("T",ROUNDUP(MONTH(Datos[[#This Row],[Fecha]])/3,0))</f>
        <v>T3</v>
      </c>
      <c r="F716" t="str">
        <f>+CONCATENATE("Sem"," ",ROUNDUP(MONTH(Datos[[#This Row],[Fecha]])/6,0))</f>
        <v>Sem 2</v>
      </c>
      <c r="G716" t="s">
        <v>190</v>
      </c>
      <c r="H716" t="s">
        <v>191</v>
      </c>
      <c r="I716" t="s">
        <v>24</v>
      </c>
      <c r="J716" t="s">
        <v>192</v>
      </c>
      <c r="K716" t="s">
        <v>34</v>
      </c>
      <c r="L716" t="s">
        <v>27</v>
      </c>
      <c r="M716">
        <v>0</v>
      </c>
      <c r="N716" s="1">
        <v>45168</v>
      </c>
      <c r="O716" s="1">
        <v>45184</v>
      </c>
      <c r="P716" t="s">
        <v>58</v>
      </c>
      <c r="Q716">
        <f>+IF(OR(Datos[[#This Row],[Diagnostico]]="Inservible",Datos[[#This Row],[Estatus]]="Preventivo"),0,Datos[[#This Row],[Fecha_Final]]-Datos[[#This Row],[Día_Inicio]])</f>
        <v>16</v>
      </c>
      <c r="R716" s="2">
        <v>314</v>
      </c>
      <c r="S716" s="2">
        <v>455</v>
      </c>
      <c r="T716" t="s">
        <v>91</v>
      </c>
    </row>
    <row r="717" spans="1:20" x14ac:dyDescent="0.25">
      <c r="A717" t="s">
        <v>899</v>
      </c>
      <c r="B717" s="1">
        <v>45168</v>
      </c>
      <c r="C717" t="s">
        <v>813</v>
      </c>
      <c r="D717">
        <v>8</v>
      </c>
      <c r="E717" t="str">
        <f>+CONCATENATE("T",ROUNDUP(MONTH(Datos[[#This Row],[Fecha]])/3,0))</f>
        <v>T3</v>
      </c>
      <c r="F717" t="str">
        <f>+CONCATENATE("Sem"," ",ROUNDUP(MONTH(Datos[[#This Row],[Fecha]])/6,0))</f>
        <v>Sem 2</v>
      </c>
      <c r="G717" t="s">
        <v>82</v>
      </c>
      <c r="H717" t="s">
        <v>83</v>
      </c>
      <c r="I717" t="s">
        <v>24</v>
      </c>
      <c r="J717" t="s">
        <v>84</v>
      </c>
      <c r="K717" t="s">
        <v>39</v>
      </c>
      <c r="L717" t="s">
        <v>27</v>
      </c>
      <c r="M717">
        <v>0</v>
      </c>
      <c r="N717" s="1">
        <v>45168</v>
      </c>
      <c r="O717" s="1">
        <v>45182</v>
      </c>
      <c r="P717" t="s">
        <v>58</v>
      </c>
      <c r="Q717">
        <f>+IF(OR(Datos[[#This Row],[Diagnostico]]="Inservible",Datos[[#This Row],[Estatus]]="Preventivo"),0,Datos[[#This Row],[Fecha_Final]]-Datos[[#This Row],[Día_Inicio]])</f>
        <v>14</v>
      </c>
      <c r="R717" s="2">
        <v>390</v>
      </c>
      <c r="S717" s="2">
        <v>699</v>
      </c>
      <c r="T717" t="s">
        <v>64</v>
      </c>
    </row>
    <row r="718" spans="1:20" x14ac:dyDescent="0.25">
      <c r="A718" t="s">
        <v>900</v>
      </c>
      <c r="B718" s="1">
        <v>45168</v>
      </c>
      <c r="C718" t="s">
        <v>813</v>
      </c>
      <c r="D718">
        <v>8</v>
      </c>
      <c r="E718" t="str">
        <f>+CONCATENATE("T",ROUNDUP(MONTH(Datos[[#This Row],[Fecha]])/3,0))</f>
        <v>T3</v>
      </c>
      <c r="F718" t="str">
        <f>+CONCATENATE("Sem"," ",ROUNDUP(MONTH(Datos[[#This Row],[Fecha]])/6,0))</f>
        <v>Sem 2</v>
      </c>
      <c r="G718" t="s">
        <v>66</v>
      </c>
      <c r="H718" t="s">
        <v>67</v>
      </c>
      <c r="I718" t="s">
        <v>68</v>
      </c>
      <c r="J718" t="s">
        <v>69</v>
      </c>
      <c r="K718" t="s">
        <v>39</v>
      </c>
      <c r="L718" t="s">
        <v>40</v>
      </c>
      <c r="M718" t="s">
        <v>75</v>
      </c>
      <c r="N718" s="1">
        <v>45168</v>
      </c>
      <c r="O718" s="1">
        <v>45528</v>
      </c>
      <c r="P718" t="s">
        <v>29</v>
      </c>
      <c r="Q718">
        <f>+IF(OR(Datos[[#This Row],[Diagnostico]]="Inservible",Datos[[#This Row],[Estatus]]="Preventivo"),0,Datos[[#This Row],[Fecha_Final]]-Datos[[#This Row],[Día_Inicio]])</f>
        <v>0</v>
      </c>
      <c r="R718" s="2">
        <v>962</v>
      </c>
      <c r="S718" s="2">
        <v>894</v>
      </c>
      <c r="T718" t="s">
        <v>42</v>
      </c>
    </row>
    <row r="719" spans="1:20" x14ac:dyDescent="0.25">
      <c r="A719" t="s">
        <v>901</v>
      </c>
      <c r="B719" s="1">
        <v>45168</v>
      </c>
      <c r="C719" t="s">
        <v>813</v>
      </c>
      <c r="D719">
        <v>8</v>
      </c>
      <c r="E719" t="str">
        <f>+CONCATENATE("T",ROUNDUP(MONTH(Datos[[#This Row],[Fecha]])/3,0))</f>
        <v>T3</v>
      </c>
      <c r="F719" t="str">
        <f>+CONCATENATE("Sem"," ",ROUNDUP(MONTH(Datos[[#This Row],[Fecha]])/6,0))</f>
        <v>Sem 2</v>
      </c>
      <c r="G719" t="s">
        <v>335</v>
      </c>
      <c r="H719" t="s">
        <v>336</v>
      </c>
      <c r="I719" t="s">
        <v>24</v>
      </c>
      <c r="J719" t="s">
        <v>118</v>
      </c>
      <c r="K719" t="s">
        <v>147</v>
      </c>
      <c r="L719" t="s">
        <v>27</v>
      </c>
      <c r="M719">
        <v>0</v>
      </c>
      <c r="N719" s="1">
        <v>45168</v>
      </c>
      <c r="O719" s="1">
        <v>45188</v>
      </c>
      <c r="P719" t="s">
        <v>58</v>
      </c>
      <c r="Q719">
        <f>+IF(OR(Datos[[#This Row],[Diagnostico]]="Inservible",Datos[[#This Row],[Estatus]]="Preventivo"),0,Datos[[#This Row],[Fecha_Final]]-Datos[[#This Row],[Día_Inicio]])</f>
        <v>20</v>
      </c>
      <c r="R719" s="2">
        <v>674</v>
      </c>
      <c r="S719" s="2">
        <v>882</v>
      </c>
      <c r="T719" t="s">
        <v>91</v>
      </c>
    </row>
    <row r="720" spans="1:20" x14ac:dyDescent="0.25">
      <c r="A720" t="s">
        <v>902</v>
      </c>
      <c r="B720" s="1">
        <v>45168</v>
      </c>
      <c r="C720" t="s">
        <v>813</v>
      </c>
      <c r="D720">
        <v>8</v>
      </c>
      <c r="E720" t="str">
        <f>+CONCATENATE("T",ROUNDUP(MONTH(Datos[[#This Row],[Fecha]])/3,0))</f>
        <v>T3</v>
      </c>
      <c r="F720" t="str">
        <f>+CONCATENATE("Sem"," ",ROUNDUP(MONTH(Datos[[#This Row],[Fecha]])/6,0))</f>
        <v>Sem 2</v>
      </c>
      <c r="G720" t="s">
        <v>190</v>
      </c>
      <c r="H720" t="s">
        <v>191</v>
      </c>
      <c r="I720" t="s">
        <v>24</v>
      </c>
      <c r="J720" t="s">
        <v>192</v>
      </c>
      <c r="K720" t="s">
        <v>39</v>
      </c>
      <c r="L720" t="s">
        <v>40</v>
      </c>
      <c r="M720" t="s">
        <v>103</v>
      </c>
      <c r="N720" s="1">
        <v>45168</v>
      </c>
      <c r="O720" s="1">
        <v>45183</v>
      </c>
      <c r="P720" t="s">
        <v>29</v>
      </c>
      <c r="Q720">
        <f>+IF(OR(Datos[[#This Row],[Diagnostico]]="Inservible",Datos[[#This Row],[Estatus]]="Preventivo"),0,Datos[[#This Row],[Fecha_Final]]-Datos[[#This Row],[Día_Inicio]])</f>
        <v>0</v>
      </c>
      <c r="R720" s="2">
        <v>871</v>
      </c>
      <c r="S720" s="2">
        <v>328</v>
      </c>
      <c r="T720" t="s">
        <v>42</v>
      </c>
    </row>
    <row r="721" spans="1:20" x14ac:dyDescent="0.25">
      <c r="A721" t="s">
        <v>903</v>
      </c>
      <c r="B721" s="1">
        <v>45169</v>
      </c>
      <c r="C721" t="s">
        <v>813</v>
      </c>
      <c r="D721">
        <v>8</v>
      </c>
      <c r="E721" t="str">
        <f>+CONCATENATE("T",ROUNDUP(MONTH(Datos[[#This Row],[Fecha]])/3,0))</f>
        <v>T3</v>
      </c>
      <c r="F721" t="str">
        <f>+CONCATENATE("Sem"," ",ROUNDUP(MONTH(Datos[[#This Row],[Fecha]])/6,0))</f>
        <v>Sem 2</v>
      </c>
      <c r="G721" t="s">
        <v>180</v>
      </c>
      <c r="H721" t="s">
        <v>181</v>
      </c>
      <c r="I721" t="s">
        <v>24</v>
      </c>
      <c r="J721" t="s">
        <v>127</v>
      </c>
      <c r="K721" t="s">
        <v>63</v>
      </c>
      <c r="L721" t="s">
        <v>27</v>
      </c>
      <c r="M721">
        <v>0</v>
      </c>
      <c r="N721" s="1">
        <v>45169</v>
      </c>
      <c r="O721" s="1">
        <v>45181</v>
      </c>
      <c r="P721" t="s">
        <v>28</v>
      </c>
      <c r="Q721">
        <f>+IF(OR(Datos[[#This Row],[Diagnostico]]="Inservible",Datos[[#This Row],[Estatus]]="Preventivo"),0,Datos[[#This Row],[Fecha_Final]]-Datos[[#This Row],[Día_Inicio]])</f>
        <v>0</v>
      </c>
      <c r="R721" s="2">
        <v>0</v>
      </c>
      <c r="S721" s="2">
        <v>0</v>
      </c>
      <c r="T721" t="s">
        <v>29</v>
      </c>
    </row>
    <row r="722" spans="1:20" x14ac:dyDescent="0.25">
      <c r="A722" t="s">
        <v>904</v>
      </c>
      <c r="B722" s="1">
        <v>45169</v>
      </c>
      <c r="C722" t="s">
        <v>813</v>
      </c>
      <c r="D722">
        <v>8</v>
      </c>
      <c r="E722" t="str">
        <f>+CONCATENATE("T",ROUNDUP(MONTH(Datos[[#This Row],[Fecha]])/3,0))</f>
        <v>T3</v>
      </c>
      <c r="F722" t="str">
        <f>+CONCATENATE("Sem"," ",ROUNDUP(MONTH(Datos[[#This Row],[Fecha]])/6,0))</f>
        <v>Sem 2</v>
      </c>
      <c r="G722" t="s">
        <v>112</v>
      </c>
      <c r="H722" t="s">
        <v>113</v>
      </c>
      <c r="I722" t="s">
        <v>24</v>
      </c>
      <c r="J722" t="s">
        <v>79</v>
      </c>
      <c r="K722" t="s">
        <v>39</v>
      </c>
      <c r="L722" t="s">
        <v>40</v>
      </c>
      <c r="M722" t="s">
        <v>188</v>
      </c>
      <c r="N722" s="1">
        <v>45169</v>
      </c>
      <c r="O722" s="1">
        <v>45349</v>
      </c>
      <c r="P722" t="s">
        <v>29</v>
      </c>
      <c r="Q722">
        <f>+IF(OR(Datos[[#This Row],[Diagnostico]]="Inservible",Datos[[#This Row],[Estatus]]="Preventivo"),0,Datos[[#This Row],[Fecha_Final]]-Datos[[#This Row],[Día_Inicio]])</f>
        <v>0</v>
      </c>
      <c r="R722" s="2">
        <v>1152</v>
      </c>
      <c r="S722" s="2">
        <v>924</v>
      </c>
      <c r="T722" t="s">
        <v>42</v>
      </c>
    </row>
    <row r="723" spans="1:20" x14ac:dyDescent="0.25">
      <c r="A723" t="s">
        <v>905</v>
      </c>
      <c r="B723" s="1">
        <v>45169</v>
      </c>
      <c r="C723" t="s">
        <v>813</v>
      </c>
      <c r="D723">
        <v>8</v>
      </c>
      <c r="E723" t="str">
        <f>+CONCATENATE("T",ROUNDUP(MONTH(Datos[[#This Row],[Fecha]])/3,0))</f>
        <v>T3</v>
      </c>
      <c r="F723" t="str">
        <f>+CONCATENATE("Sem"," ",ROUNDUP(MONTH(Datos[[#This Row],[Fecha]])/6,0))</f>
        <v>Sem 2</v>
      </c>
      <c r="G723" t="s">
        <v>286</v>
      </c>
      <c r="H723" t="s">
        <v>287</v>
      </c>
      <c r="I723" t="s">
        <v>24</v>
      </c>
      <c r="J723" t="s">
        <v>38</v>
      </c>
      <c r="K723" t="s">
        <v>161</v>
      </c>
      <c r="L723" t="s">
        <v>27</v>
      </c>
      <c r="M723">
        <v>0</v>
      </c>
      <c r="N723" s="1">
        <v>45169</v>
      </c>
      <c r="O723" s="1">
        <v>45183</v>
      </c>
      <c r="P723" t="s">
        <v>28</v>
      </c>
      <c r="Q723">
        <f>+IF(OR(Datos[[#This Row],[Diagnostico]]="Inservible",Datos[[#This Row],[Estatus]]="Preventivo"),0,Datos[[#This Row],[Fecha_Final]]-Datos[[#This Row],[Día_Inicio]])</f>
        <v>0</v>
      </c>
      <c r="R723" s="2">
        <v>0</v>
      </c>
      <c r="S723" s="2">
        <v>0</v>
      </c>
      <c r="T723" t="s">
        <v>29</v>
      </c>
    </row>
    <row r="724" spans="1:20" x14ac:dyDescent="0.25">
      <c r="A724" t="s">
        <v>906</v>
      </c>
      <c r="B724" s="1">
        <v>45169</v>
      </c>
      <c r="C724" t="s">
        <v>813</v>
      </c>
      <c r="D724">
        <v>8</v>
      </c>
      <c r="E724" t="str">
        <f>+CONCATENATE("T",ROUNDUP(MONTH(Datos[[#This Row],[Fecha]])/3,0))</f>
        <v>T3</v>
      </c>
      <c r="F724" t="str">
        <f>+CONCATENATE("Sem"," ",ROUNDUP(MONTH(Datos[[#This Row],[Fecha]])/6,0))</f>
        <v>Sem 2</v>
      </c>
      <c r="G724" t="s">
        <v>154</v>
      </c>
      <c r="H724" t="s">
        <v>155</v>
      </c>
      <c r="I724" t="s">
        <v>68</v>
      </c>
      <c r="J724" t="s">
        <v>156</v>
      </c>
      <c r="K724" t="s">
        <v>80</v>
      </c>
      <c r="L724" t="s">
        <v>27</v>
      </c>
      <c r="M724">
        <v>0</v>
      </c>
      <c r="N724" s="1">
        <v>45169</v>
      </c>
      <c r="O724" s="1">
        <v>45195</v>
      </c>
      <c r="P724" t="s">
        <v>28</v>
      </c>
      <c r="Q724">
        <f>+IF(OR(Datos[[#This Row],[Diagnostico]]="Inservible",Datos[[#This Row],[Estatus]]="Preventivo"),0,Datos[[#This Row],[Fecha_Final]]-Datos[[#This Row],[Día_Inicio]])</f>
        <v>0</v>
      </c>
      <c r="R724" s="2">
        <v>0</v>
      </c>
      <c r="S724" s="2">
        <v>0</v>
      </c>
      <c r="T724" t="s">
        <v>29</v>
      </c>
    </row>
    <row r="725" spans="1:20" x14ac:dyDescent="0.25">
      <c r="A725" t="s">
        <v>907</v>
      </c>
      <c r="B725" s="1">
        <v>45169</v>
      </c>
      <c r="C725" t="s">
        <v>813</v>
      </c>
      <c r="D725">
        <v>8</v>
      </c>
      <c r="E725" t="str">
        <f>+CONCATENATE("T",ROUNDUP(MONTH(Datos[[#This Row],[Fecha]])/3,0))</f>
        <v>T3</v>
      </c>
      <c r="F725" t="str">
        <f>+CONCATENATE("Sem"," ",ROUNDUP(MONTH(Datos[[#This Row],[Fecha]])/6,0))</f>
        <v>Sem 2</v>
      </c>
      <c r="G725" t="s">
        <v>36</v>
      </c>
      <c r="H725" t="s">
        <v>37</v>
      </c>
      <c r="I725" t="s">
        <v>24</v>
      </c>
      <c r="J725" t="s">
        <v>38</v>
      </c>
      <c r="K725" t="s">
        <v>85</v>
      </c>
      <c r="L725" t="s">
        <v>27</v>
      </c>
      <c r="M725">
        <v>0</v>
      </c>
      <c r="N725" s="1">
        <v>45169</v>
      </c>
      <c r="O725" s="1">
        <v>45178</v>
      </c>
      <c r="P725" t="s">
        <v>58</v>
      </c>
      <c r="Q725">
        <f>+IF(OR(Datos[[#This Row],[Diagnostico]]="Inservible",Datos[[#This Row],[Estatus]]="Preventivo"),0,Datos[[#This Row],[Fecha_Final]]-Datos[[#This Row],[Día_Inicio]])</f>
        <v>9</v>
      </c>
      <c r="R725" s="2">
        <v>834</v>
      </c>
      <c r="S725" s="2">
        <v>251</v>
      </c>
      <c r="T725" t="s">
        <v>64</v>
      </c>
    </row>
    <row r="726" spans="1:20" x14ac:dyDescent="0.25">
      <c r="A726" t="s">
        <v>908</v>
      </c>
      <c r="B726" s="1">
        <v>45169</v>
      </c>
      <c r="C726" t="s">
        <v>813</v>
      </c>
      <c r="D726">
        <v>8</v>
      </c>
      <c r="E726" t="str">
        <f>+CONCATENATE("T",ROUNDUP(MONTH(Datos[[#This Row],[Fecha]])/3,0))</f>
        <v>T3</v>
      </c>
      <c r="F726" t="str">
        <f>+CONCATENATE("Sem"," ",ROUNDUP(MONTH(Datos[[#This Row],[Fecha]])/6,0))</f>
        <v>Sem 2</v>
      </c>
      <c r="G726" t="s">
        <v>99</v>
      </c>
      <c r="H726" t="s">
        <v>100</v>
      </c>
      <c r="I726" t="s">
        <v>101</v>
      </c>
      <c r="J726" t="s">
        <v>102</v>
      </c>
      <c r="K726" t="s">
        <v>39</v>
      </c>
      <c r="L726" t="s">
        <v>40</v>
      </c>
      <c r="M726" t="s">
        <v>75</v>
      </c>
      <c r="N726" s="1">
        <v>45169</v>
      </c>
      <c r="O726" s="1">
        <v>45529</v>
      </c>
      <c r="P726" t="s">
        <v>29</v>
      </c>
      <c r="Q726">
        <f>+IF(OR(Datos[[#This Row],[Diagnostico]]="Inservible",Datos[[#This Row],[Estatus]]="Preventivo"),0,Datos[[#This Row],[Fecha_Final]]-Datos[[#This Row],[Día_Inicio]])</f>
        <v>0</v>
      </c>
      <c r="R726" s="2">
        <v>397</v>
      </c>
      <c r="S726" s="2">
        <v>106</v>
      </c>
      <c r="T726" t="s">
        <v>42</v>
      </c>
    </row>
    <row r="727" spans="1:20" x14ac:dyDescent="0.25">
      <c r="A727" t="s">
        <v>909</v>
      </c>
      <c r="B727" s="1">
        <v>45170</v>
      </c>
      <c r="C727" t="s">
        <v>910</v>
      </c>
      <c r="D727">
        <v>9</v>
      </c>
      <c r="E727" t="str">
        <f>+CONCATENATE("T",ROUNDUP(MONTH(Datos[[#This Row],[Fecha]])/3,0))</f>
        <v>T3</v>
      </c>
      <c r="F727" t="str">
        <f>+CONCATENATE("Sem"," ",ROUNDUP(MONTH(Datos[[#This Row],[Fecha]])/6,0))</f>
        <v>Sem 2</v>
      </c>
      <c r="G727" t="s">
        <v>61</v>
      </c>
      <c r="H727" t="s">
        <v>62</v>
      </c>
      <c r="I727" t="s">
        <v>24</v>
      </c>
      <c r="J727" t="s">
        <v>46</v>
      </c>
      <c r="K727" t="s">
        <v>172</v>
      </c>
      <c r="L727" t="s">
        <v>27</v>
      </c>
      <c r="M727">
        <v>0</v>
      </c>
      <c r="N727" s="1">
        <v>45170</v>
      </c>
      <c r="O727" s="1">
        <v>45180</v>
      </c>
      <c r="P727" t="s">
        <v>58</v>
      </c>
      <c r="Q727">
        <f>+IF(OR(Datos[[#This Row],[Diagnostico]]="Inservible",Datos[[#This Row],[Estatus]]="Preventivo"),0,Datos[[#This Row],[Fecha_Final]]-Datos[[#This Row],[Día_Inicio]])</f>
        <v>10</v>
      </c>
      <c r="R727" s="2">
        <v>985</v>
      </c>
      <c r="S727" s="2">
        <v>374</v>
      </c>
      <c r="T727" t="s">
        <v>42</v>
      </c>
    </row>
    <row r="728" spans="1:20" x14ac:dyDescent="0.25">
      <c r="A728" t="s">
        <v>911</v>
      </c>
      <c r="B728" s="1">
        <v>45171</v>
      </c>
      <c r="C728" t="s">
        <v>910</v>
      </c>
      <c r="D728">
        <v>9</v>
      </c>
      <c r="E728" t="str">
        <f>+CONCATENATE("T",ROUNDUP(MONTH(Datos[[#This Row],[Fecha]])/3,0))</f>
        <v>T3</v>
      </c>
      <c r="F728" t="str">
        <f>+CONCATENATE("Sem"," ",ROUNDUP(MONTH(Datos[[#This Row],[Fecha]])/6,0))</f>
        <v>Sem 2</v>
      </c>
      <c r="G728" t="s">
        <v>257</v>
      </c>
      <c r="H728" t="s">
        <v>258</v>
      </c>
      <c r="I728" t="s">
        <v>24</v>
      </c>
      <c r="J728" t="s">
        <v>204</v>
      </c>
      <c r="K728" t="s">
        <v>97</v>
      </c>
      <c r="L728" t="s">
        <v>27</v>
      </c>
      <c r="M728">
        <v>0</v>
      </c>
      <c r="N728" s="1">
        <v>45171</v>
      </c>
      <c r="O728" s="1">
        <v>45193</v>
      </c>
      <c r="P728" t="s">
        <v>28</v>
      </c>
      <c r="Q728">
        <f>+IF(OR(Datos[[#This Row],[Diagnostico]]="Inservible",Datos[[#This Row],[Estatus]]="Preventivo"),0,Datos[[#This Row],[Fecha_Final]]-Datos[[#This Row],[Día_Inicio]])</f>
        <v>0</v>
      </c>
      <c r="R728" s="2">
        <v>0</v>
      </c>
      <c r="S728" s="2">
        <v>0</v>
      </c>
      <c r="T728" t="s">
        <v>29</v>
      </c>
    </row>
    <row r="729" spans="1:20" x14ac:dyDescent="0.25">
      <c r="A729" t="s">
        <v>912</v>
      </c>
      <c r="B729" s="1">
        <v>45171</v>
      </c>
      <c r="C729" t="s">
        <v>910</v>
      </c>
      <c r="D729">
        <v>9</v>
      </c>
      <c r="E729" t="str">
        <f>+CONCATENATE("T",ROUNDUP(MONTH(Datos[[#This Row],[Fecha]])/3,0))</f>
        <v>T3</v>
      </c>
      <c r="F729" t="str">
        <f>+CONCATENATE("Sem"," ",ROUNDUP(MONTH(Datos[[#This Row],[Fecha]])/6,0))</f>
        <v>Sem 2</v>
      </c>
      <c r="G729" t="s">
        <v>116</v>
      </c>
      <c r="H729" t="s">
        <v>117</v>
      </c>
      <c r="I729" t="s">
        <v>24</v>
      </c>
      <c r="J729" t="s">
        <v>118</v>
      </c>
      <c r="K729" t="s">
        <v>178</v>
      </c>
      <c r="L729" t="s">
        <v>27</v>
      </c>
      <c r="M729">
        <v>0</v>
      </c>
      <c r="N729" s="1">
        <v>45171</v>
      </c>
      <c r="O729" s="1">
        <v>45182</v>
      </c>
      <c r="P729" t="s">
        <v>58</v>
      </c>
      <c r="Q729">
        <f>+IF(OR(Datos[[#This Row],[Diagnostico]]="Inservible",Datos[[#This Row],[Estatus]]="Preventivo"),0,Datos[[#This Row],[Fecha_Final]]-Datos[[#This Row],[Día_Inicio]])</f>
        <v>11</v>
      </c>
      <c r="R729" s="2">
        <v>661</v>
      </c>
      <c r="S729" s="2">
        <v>868</v>
      </c>
      <c r="T729" t="s">
        <v>91</v>
      </c>
    </row>
    <row r="730" spans="1:20" x14ac:dyDescent="0.25">
      <c r="A730" t="s">
        <v>913</v>
      </c>
      <c r="B730" s="1">
        <v>45172</v>
      </c>
      <c r="C730" t="s">
        <v>910</v>
      </c>
      <c r="D730">
        <v>9</v>
      </c>
      <c r="E730" t="str">
        <f>+CONCATENATE("T",ROUNDUP(MONTH(Datos[[#This Row],[Fecha]])/3,0))</f>
        <v>T3</v>
      </c>
      <c r="F730" t="str">
        <f>+CONCATENATE("Sem"," ",ROUNDUP(MONTH(Datos[[#This Row],[Fecha]])/6,0))</f>
        <v>Sem 2</v>
      </c>
      <c r="G730" t="s">
        <v>149</v>
      </c>
      <c r="H730" t="s">
        <v>150</v>
      </c>
      <c r="I730" t="s">
        <v>68</v>
      </c>
      <c r="J730" t="s">
        <v>151</v>
      </c>
      <c r="K730" t="s">
        <v>108</v>
      </c>
      <c r="L730" t="s">
        <v>27</v>
      </c>
      <c r="M730">
        <v>0</v>
      </c>
      <c r="N730" s="1">
        <v>45172</v>
      </c>
      <c r="O730" s="1">
        <v>45185</v>
      </c>
      <c r="P730" t="s">
        <v>58</v>
      </c>
      <c r="Q730">
        <f>+IF(OR(Datos[[#This Row],[Diagnostico]]="Inservible",Datos[[#This Row],[Estatus]]="Preventivo"),0,Datos[[#This Row],[Fecha_Final]]-Datos[[#This Row],[Día_Inicio]])</f>
        <v>13</v>
      </c>
      <c r="R730" s="2">
        <v>454</v>
      </c>
      <c r="S730" s="2">
        <v>503</v>
      </c>
      <c r="T730" t="s">
        <v>59</v>
      </c>
    </row>
    <row r="731" spans="1:20" x14ac:dyDescent="0.25">
      <c r="A731" t="s">
        <v>914</v>
      </c>
      <c r="B731" s="1">
        <v>45172</v>
      </c>
      <c r="C731" t="s">
        <v>910</v>
      </c>
      <c r="D731">
        <v>9</v>
      </c>
      <c r="E731" t="str">
        <f>+CONCATENATE("T",ROUNDUP(MONTH(Datos[[#This Row],[Fecha]])/3,0))</f>
        <v>T3</v>
      </c>
      <c r="F731" t="str">
        <f>+CONCATENATE("Sem"," ",ROUNDUP(MONTH(Datos[[#This Row],[Fecha]])/6,0))</f>
        <v>Sem 2</v>
      </c>
      <c r="G731" t="s">
        <v>257</v>
      </c>
      <c r="H731" t="s">
        <v>258</v>
      </c>
      <c r="I731" t="s">
        <v>24</v>
      </c>
      <c r="J731" t="s">
        <v>204</v>
      </c>
      <c r="K731" t="s">
        <v>110</v>
      </c>
      <c r="L731" t="s">
        <v>27</v>
      </c>
      <c r="M731">
        <v>0</v>
      </c>
      <c r="N731" s="1">
        <v>45172</v>
      </c>
      <c r="O731" s="1">
        <v>45174</v>
      </c>
      <c r="P731" t="s">
        <v>28</v>
      </c>
      <c r="Q731">
        <f>+IF(OR(Datos[[#This Row],[Diagnostico]]="Inservible",Datos[[#This Row],[Estatus]]="Preventivo"),0,Datos[[#This Row],[Fecha_Final]]-Datos[[#This Row],[Día_Inicio]])</f>
        <v>0</v>
      </c>
      <c r="R731" s="2">
        <v>0</v>
      </c>
      <c r="S731" s="2">
        <v>0</v>
      </c>
      <c r="T731" t="s">
        <v>29</v>
      </c>
    </row>
    <row r="732" spans="1:20" x14ac:dyDescent="0.25">
      <c r="A732" t="s">
        <v>915</v>
      </c>
      <c r="B732" s="1">
        <v>45173</v>
      </c>
      <c r="C732" t="s">
        <v>910</v>
      </c>
      <c r="D732">
        <v>9</v>
      </c>
      <c r="E732" t="str">
        <f>+CONCATENATE("T",ROUNDUP(MONTH(Datos[[#This Row],[Fecha]])/3,0))</f>
        <v>T3</v>
      </c>
      <c r="F732" t="str">
        <f>+CONCATENATE("Sem"," ",ROUNDUP(MONTH(Datos[[#This Row],[Fecha]])/6,0))</f>
        <v>Sem 2</v>
      </c>
      <c r="G732" t="s">
        <v>87</v>
      </c>
      <c r="H732" t="s">
        <v>88</v>
      </c>
      <c r="I732" t="s">
        <v>68</v>
      </c>
      <c r="J732" t="s">
        <v>89</v>
      </c>
      <c r="K732" t="s">
        <v>114</v>
      </c>
      <c r="L732" t="s">
        <v>27</v>
      </c>
      <c r="M732">
        <v>0</v>
      </c>
      <c r="N732" s="1">
        <v>45173</v>
      </c>
      <c r="O732" s="1">
        <v>45182</v>
      </c>
      <c r="P732" t="s">
        <v>28</v>
      </c>
      <c r="Q732">
        <f>+IF(OR(Datos[[#This Row],[Diagnostico]]="Inservible",Datos[[#This Row],[Estatus]]="Preventivo"),0,Datos[[#This Row],[Fecha_Final]]-Datos[[#This Row],[Día_Inicio]])</f>
        <v>0</v>
      </c>
      <c r="R732" s="2">
        <v>0</v>
      </c>
      <c r="S732" s="2">
        <v>0</v>
      </c>
      <c r="T732" t="s">
        <v>29</v>
      </c>
    </row>
    <row r="733" spans="1:20" x14ac:dyDescent="0.25">
      <c r="A733" t="s">
        <v>916</v>
      </c>
      <c r="B733" s="1">
        <v>45173</v>
      </c>
      <c r="C733" t="s">
        <v>910</v>
      </c>
      <c r="D733">
        <v>9</v>
      </c>
      <c r="E733" t="str">
        <f>+CONCATENATE("T",ROUNDUP(MONTH(Datos[[#This Row],[Fecha]])/3,0))</f>
        <v>T3</v>
      </c>
      <c r="F733" t="str">
        <f>+CONCATENATE("Sem"," ",ROUNDUP(MONTH(Datos[[#This Row],[Fecha]])/6,0))</f>
        <v>Sem 2</v>
      </c>
      <c r="G733" t="s">
        <v>72</v>
      </c>
      <c r="H733" t="s">
        <v>73</v>
      </c>
      <c r="I733" t="s">
        <v>24</v>
      </c>
      <c r="J733" t="s">
        <v>74</v>
      </c>
      <c r="K733" t="s">
        <v>119</v>
      </c>
      <c r="L733" t="s">
        <v>27</v>
      </c>
      <c r="M733">
        <v>0</v>
      </c>
      <c r="N733" s="1">
        <v>45173</v>
      </c>
      <c r="O733" s="1">
        <v>45191</v>
      </c>
      <c r="P733" t="s">
        <v>28</v>
      </c>
      <c r="Q733">
        <f>+IF(OR(Datos[[#This Row],[Diagnostico]]="Inservible",Datos[[#This Row],[Estatus]]="Preventivo"),0,Datos[[#This Row],[Fecha_Final]]-Datos[[#This Row],[Día_Inicio]])</f>
        <v>0</v>
      </c>
      <c r="R733" s="2">
        <v>0</v>
      </c>
      <c r="S733" s="2">
        <v>0</v>
      </c>
      <c r="T733" t="s">
        <v>29</v>
      </c>
    </row>
    <row r="734" spans="1:20" x14ac:dyDescent="0.25">
      <c r="A734" t="s">
        <v>917</v>
      </c>
      <c r="B734" s="1">
        <v>45173</v>
      </c>
      <c r="C734" t="s">
        <v>910</v>
      </c>
      <c r="D734">
        <v>9</v>
      </c>
      <c r="E734" t="str">
        <f>+CONCATENATE("T",ROUNDUP(MONTH(Datos[[#This Row],[Fecha]])/3,0))</f>
        <v>T3</v>
      </c>
      <c r="F734" t="str">
        <f>+CONCATENATE("Sem"," ",ROUNDUP(MONTH(Datos[[#This Row],[Fecha]])/6,0))</f>
        <v>Sem 2</v>
      </c>
      <c r="G734" t="s">
        <v>105</v>
      </c>
      <c r="H734" t="s">
        <v>106</v>
      </c>
      <c r="I734" t="s">
        <v>24</v>
      </c>
      <c r="J734" t="s">
        <v>107</v>
      </c>
      <c r="K734" t="s">
        <v>39</v>
      </c>
      <c r="L734" t="s">
        <v>40</v>
      </c>
      <c r="M734" t="s">
        <v>75</v>
      </c>
      <c r="N734" s="1">
        <v>45173</v>
      </c>
      <c r="O734" s="1">
        <v>45533</v>
      </c>
      <c r="P734" t="s">
        <v>29</v>
      </c>
      <c r="Q734">
        <f>+IF(OR(Datos[[#This Row],[Diagnostico]]="Inservible",Datos[[#This Row],[Estatus]]="Preventivo"),0,Datos[[#This Row],[Fecha_Final]]-Datos[[#This Row],[Día_Inicio]])</f>
        <v>0</v>
      </c>
      <c r="R734" s="2">
        <v>1187</v>
      </c>
      <c r="S734" s="2">
        <v>489</v>
      </c>
      <c r="T734" t="s">
        <v>42</v>
      </c>
    </row>
    <row r="735" spans="1:20" x14ac:dyDescent="0.25">
      <c r="A735" t="s">
        <v>918</v>
      </c>
      <c r="B735" s="1">
        <v>45174</v>
      </c>
      <c r="C735" t="s">
        <v>910</v>
      </c>
      <c r="D735">
        <v>9</v>
      </c>
      <c r="E735" t="str">
        <f>+CONCATENATE("T",ROUNDUP(MONTH(Datos[[#This Row],[Fecha]])/3,0))</f>
        <v>T3</v>
      </c>
      <c r="F735" t="str">
        <f>+CONCATENATE("Sem"," ",ROUNDUP(MONTH(Datos[[#This Row],[Fecha]])/6,0))</f>
        <v>Sem 2</v>
      </c>
      <c r="G735" t="s">
        <v>87</v>
      </c>
      <c r="H735" t="s">
        <v>88</v>
      </c>
      <c r="I735" t="s">
        <v>68</v>
      </c>
      <c r="J735" t="s">
        <v>89</v>
      </c>
      <c r="K735" t="s">
        <v>128</v>
      </c>
      <c r="L735" t="s">
        <v>27</v>
      </c>
      <c r="M735">
        <v>0</v>
      </c>
      <c r="N735" s="1">
        <v>45174</v>
      </c>
      <c r="O735" s="1">
        <v>45197</v>
      </c>
      <c r="P735" t="s">
        <v>58</v>
      </c>
      <c r="Q735">
        <f>+IF(OR(Datos[[#This Row],[Diagnostico]]="Inservible",Datos[[#This Row],[Estatus]]="Preventivo"),0,Datos[[#This Row],[Fecha_Final]]-Datos[[#This Row],[Día_Inicio]])</f>
        <v>23</v>
      </c>
      <c r="R735" s="2">
        <v>1121</v>
      </c>
      <c r="S735" s="2">
        <v>278</v>
      </c>
      <c r="T735" t="s">
        <v>42</v>
      </c>
    </row>
    <row r="736" spans="1:20" x14ac:dyDescent="0.25">
      <c r="A736" t="s">
        <v>919</v>
      </c>
      <c r="B736" s="1">
        <v>45175</v>
      </c>
      <c r="C736" t="s">
        <v>910</v>
      </c>
      <c r="D736">
        <v>9</v>
      </c>
      <c r="E736" t="str">
        <f>+CONCATENATE("T",ROUNDUP(MONTH(Datos[[#This Row],[Fecha]])/3,0))</f>
        <v>T3</v>
      </c>
      <c r="F736" t="str">
        <f>+CONCATENATE("Sem"," ",ROUNDUP(MONTH(Datos[[#This Row],[Fecha]])/6,0))</f>
        <v>Sem 2</v>
      </c>
      <c r="G736" t="s">
        <v>154</v>
      </c>
      <c r="H736" t="s">
        <v>155</v>
      </c>
      <c r="I736" t="s">
        <v>68</v>
      </c>
      <c r="J736" t="s">
        <v>156</v>
      </c>
      <c r="K736" t="s">
        <v>130</v>
      </c>
      <c r="L736" t="s">
        <v>27</v>
      </c>
      <c r="M736">
        <v>0</v>
      </c>
      <c r="N736" s="1">
        <v>45175</v>
      </c>
      <c r="O736" s="1">
        <v>45205</v>
      </c>
      <c r="P736" t="s">
        <v>58</v>
      </c>
      <c r="Q736">
        <f>+IF(OR(Datos[[#This Row],[Diagnostico]]="Inservible",Datos[[#This Row],[Estatus]]="Preventivo"),0,Datos[[#This Row],[Fecha_Final]]-Datos[[#This Row],[Día_Inicio]])</f>
        <v>30</v>
      </c>
      <c r="R736" s="2">
        <v>344</v>
      </c>
      <c r="S736" s="2">
        <v>791</v>
      </c>
      <c r="T736" t="s">
        <v>42</v>
      </c>
    </row>
    <row r="737" spans="1:20" x14ac:dyDescent="0.25">
      <c r="A737" t="s">
        <v>920</v>
      </c>
      <c r="B737" s="1">
        <v>45175</v>
      </c>
      <c r="C737" t="s">
        <v>910</v>
      </c>
      <c r="D737">
        <v>9</v>
      </c>
      <c r="E737" t="str">
        <f>+CONCATENATE("T",ROUNDUP(MONTH(Datos[[#This Row],[Fecha]])/3,0))</f>
        <v>T3</v>
      </c>
      <c r="F737" t="str">
        <f>+CONCATENATE("Sem"," ",ROUNDUP(MONTH(Datos[[#This Row],[Fecha]])/6,0))</f>
        <v>Sem 2</v>
      </c>
      <c r="G737" t="s">
        <v>183</v>
      </c>
      <c r="H737" t="s">
        <v>184</v>
      </c>
      <c r="I737" t="s">
        <v>24</v>
      </c>
      <c r="J737" t="s">
        <v>139</v>
      </c>
      <c r="K737" t="s">
        <v>135</v>
      </c>
      <c r="L737" t="s">
        <v>27</v>
      </c>
      <c r="M737">
        <v>0</v>
      </c>
      <c r="N737" s="1">
        <v>45175</v>
      </c>
      <c r="O737" s="1">
        <v>45184</v>
      </c>
      <c r="P737" t="s">
        <v>58</v>
      </c>
      <c r="Q737">
        <f>+IF(OR(Datos[[#This Row],[Diagnostico]]="Inservible",Datos[[#This Row],[Estatus]]="Preventivo"),0,Datos[[#This Row],[Fecha_Final]]-Datos[[#This Row],[Día_Inicio]])</f>
        <v>9</v>
      </c>
      <c r="R737" s="2">
        <v>1185</v>
      </c>
      <c r="S737" s="2">
        <v>674</v>
      </c>
      <c r="T737" t="s">
        <v>91</v>
      </c>
    </row>
    <row r="738" spans="1:20" x14ac:dyDescent="0.25">
      <c r="A738" t="s">
        <v>921</v>
      </c>
      <c r="B738" s="1">
        <v>45175</v>
      </c>
      <c r="C738" t="s">
        <v>910</v>
      </c>
      <c r="D738">
        <v>9</v>
      </c>
      <c r="E738" t="str">
        <f>+CONCATENATE("T",ROUNDUP(MONTH(Datos[[#This Row],[Fecha]])/3,0))</f>
        <v>T3</v>
      </c>
      <c r="F738" t="str">
        <f>+CONCATENATE("Sem"," ",ROUNDUP(MONTH(Datos[[#This Row],[Fecha]])/6,0))</f>
        <v>Sem 2</v>
      </c>
      <c r="G738" t="s">
        <v>22</v>
      </c>
      <c r="H738" t="s">
        <v>23</v>
      </c>
      <c r="I738" t="s">
        <v>24</v>
      </c>
      <c r="J738" t="s">
        <v>25</v>
      </c>
      <c r="K738" t="s">
        <v>39</v>
      </c>
      <c r="L738" t="s">
        <v>40</v>
      </c>
      <c r="M738" t="s">
        <v>75</v>
      </c>
      <c r="N738" s="1">
        <v>45175</v>
      </c>
      <c r="O738" s="1">
        <v>45535</v>
      </c>
      <c r="P738" t="s">
        <v>29</v>
      </c>
      <c r="Q738">
        <f>+IF(OR(Datos[[#This Row],[Diagnostico]]="Inservible",Datos[[#This Row],[Estatus]]="Preventivo"),0,Datos[[#This Row],[Fecha_Final]]-Datos[[#This Row],[Día_Inicio]])</f>
        <v>0</v>
      </c>
      <c r="R738" s="2">
        <v>213</v>
      </c>
      <c r="S738" s="2">
        <v>955</v>
      </c>
      <c r="T738" t="s">
        <v>42</v>
      </c>
    </row>
    <row r="739" spans="1:20" x14ac:dyDescent="0.25">
      <c r="A739" t="s">
        <v>922</v>
      </c>
      <c r="B739" s="1">
        <v>45175</v>
      </c>
      <c r="C739" t="s">
        <v>910</v>
      </c>
      <c r="D739">
        <v>9</v>
      </c>
      <c r="E739" t="str">
        <f>+CONCATENATE("T",ROUNDUP(MONTH(Datos[[#This Row],[Fecha]])/3,0))</f>
        <v>T3</v>
      </c>
      <c r="F739" t="str">
        <f>+CONCATENATE("Sem"," ",ROUNDUP(MONTH(Datos[[#This Row],[Fecha]])/6,0))</f>
        <v>Sem 2</v>
      </c>
      <c r="G739" t="s">
        <v>36</v>
      </c>
      <c r="H739" t="s">
        <v>37</v>
      </c>
      <c r="I739" t="s">
        <v>24</v>
      </c>
      <c r="J739" t="s">
        <v>38</v>
      </c>
      <c r="K739" t="s">
        <v>34</v>
      </c>
      <c r="L739" t="s">
        <v>27</v>
      </c>
      <c r="M739">
        <v>0</v>
      </c>
      <c r="N739" s="1">
        <v>45175</v>
      </c>
      <c r="O739" s="1">
        <v>45177</v>
      </c>
      <c r="P739" t="s">
        <v>58</v>
      </c>
      <c r="Q739">
        <f>+IF(OR(Datos[[#This Row],[Diagnostico]]="Inservible",Datos[[#This Row],[Estatus]]="Preventivo"),0,Datos[[#This Row],[Fecha_Final]]-Datos[[#This Row],[Día_Inicio]])</f>
        <v>2</v>
      </c>
      <c r="R739" s="2">
        <v>653</v>
      </c>
      <c r="S739" s="2">
        <v>315</v>
      </c>
      <c r="T739" t="s">
        <v>91</v>
      </c>
    </row>
    <row r="740" spans="1:20" x14ac:dyDescent="0.25">
      <c r="A740" t="s">
        <v>923</v>
      </c>
      <c r="B740" s="1">
        <v>45176</v>
      </c>
      <c r="C740" t="s">
        <v>910</v>
      </c>
      <c r="D740">
        <v>9</v>
      </c>
      <c r="E740" t="str">
        <f>+CONCATENATE("T",ROUNDUP(MONTH(Datos[[#This Row],[Fecha]])/3,0))</f>
        <v>T3</v>
      </c>
      <c r="F740" t="str">
        <f>+CONCATENATE("Sem"," ",ROUNDUP(MONTH(Datos[[#This Row],[Fecha]])/6,0))</f>
        <v>Sem 2</v>
      </c>
      <c r="G740" t="s">
        <v>44</v>
      </c>
      <c r="H740" t="s">
        <v>45</v>
      </c>
      <c r="I740" t="s">
        <v>24</v>
      </c>
      <c r="J740" t="s">
        <v>46</v>
      </c>
      <c r="K740" t="s">
        <v>39</v>
      </c>
      <c r="L740" t="s">
        <v>40</v>
      </c>
      <c r="M740" t="s">
        <v>51</v>
      </c>
      <c r="N740" s="1">
        <v>45176</v>
      </c>
      <c r="O740" s="1">
        <v>45236</v>
      </c>
      <c r="P740" t="s">
        <v>29</v>
      </c>
      <c r="Q740">
        <f>+IF(OR(Datos[[#This Row],[Diagnostico]]="Inservible",Datos[[#This Row],[Estatus]]="Preventivo"),0,Datos[[#This Row],[Fecha_Final]]-Datos[[#This Row],[Día_Inicio]])</f>
        <v>0</v>
      </c>
      <c r="R740" s="2">
        <v>977</v>
      </c>
      <c r="S740" s="2">
        <v>298</v>
      </c>
      <c r="T740" t="s">
        <v>42</v>
      </c>
    </row>
    <row r="741" spans="1:20" x14ac:dyDescent="0.25">
      <c r="A741" t="s">
        <v>924</v>
      </c>
      <c r="B741" s="1">
        <v>45176</v>
      </c>
      <c r="C741" t="s">
        <v>910</v>
      </c>
      <c r="D741">
        <v>9</v>
      </c>
      <c r="E741" t="str">
        <f>+CONCATENATE("T",ROUNDUP(MONTH(Datos[[#This Row],[Fecha]])/3,0))</f>
        <v>T3</v>
      </c>
      <c r="F741" t="str">
        <f>+CONCATENATE("Sem"," ",ROUNDUP(MONTH(Datos[[#This Row],[Fecha]])/6,0))</f>
        <v>Sem 2</v>
      </c>
      <c r="G741" t="s">
        <v>137</v>
      </c>
      <c r="H741" t="s">
        <v>138</v>
      </c>
      <c r="I741" t="s">
        <v>68</v>
      </c>
      <c r="J741" t="s">
        <v>139</v>
      </c>
      <c r="K741" t="s">
        <v>47</v>
      </c>
      <c r="L741" t="s">
        <v>27</v>
      </c>
      <c r="M741">
        <v>0</v>
      </c>
      <c r="N741" s="1">
        <v>45176</v>
      </c>
      <c r="O741" s="1">
        <v>45201</v>
      </c>
      <c r="P741" t="s">
        <v>58</v>
      </c>
      <c r="Q741">
        <f>+IF(OR(Datos[[#This Row],[Diagnostico]]="Inservible",Datos[[#This Row],[Estatus]]="Preventivo"),0,Datos[[#This Row],[Fecha_Final]]-Datos[[#This Row],[Día_Inicio]])</f>
        <v>25</v>
      </c>
      <c r="R741" s="2">
        <v>537</v>
      </c>
      <c r="S741" s="2">
        <v>201</v>
      </c>
      <c r="T741" t="s">
        <v>42</v>
      </c>
    </row>
    <row r="742" spans="1:20" x14ac:dyDescent="0.25">
      <c r="A742" t="s">
        <v>925</v>
      </c>
      <c r="B742" s="1">
        <v>45176</v>
      </c>
      <c r="C742" t="s">
        <v>910</v>
      </c>
      <c r="D742">
        <v>9</v>
      </c>
      <c r="E742" t="str">
        <f>+CONCATENATE("T",ROUNDUP(MONTH(Datos[[#This Row],[Fecha]])/3,0))</f>
        <v>T3</v>
      </c>
      <c r="F742" t="str">
        <f>+CONCATENATE("Sem"," ",ROUNDUP(MONTH(Datos[[#This Row],[Fecha]])/6,0))</f>
        <v>Sem 2</v>
      </c>
      <c r="G742" t="s">
        <v>66</v>
      </c>
      <c r="H742" t="s">
        <v>67</v>
      </c>
      <c r="I742" t="s">
        <v>68</v>
      </c>
      <c r="J742" t="s">
        <v>69</v>
      </c>
      <c r="K742" t="s">
        <v>147</v>
      </c>
      <c r="L742" t="s">
        <v>27</v>
      </c>
      <c r="M742">
        <v>0</v>
      </c>
      <c r="N742" s="1">
        <v>45176</v>
      </c>
      <c r="O742" s="1">
        <v>45203</v>
      </c>
      <c r="P742" t="s">
        <v>28</v>
      </c>
      <c r="Q742">
        <f>+IF(OR(Datos[[#This Row],[Diagnostico]]="Inservible",Datos[[#This Row],[Estatus]]="Preventivo"),0,Datos[[#This Row],[Fecha_Final]]-Datos[[#This Row],[Día_Inicio]])</f>
        <v>0</v>
      </c>
      <c r="R742" s="2">
        <v>0</v>
      </c>
      <c r="S742" s="2">
        <v>0</v>
      </c>
      <c r="T742" t="s">
        <v>29</v>
      </c>
    </row>
    <row r="743" spans="1:20" x14ac:dyDescent="0.25">
      <c r="A743" t="s">
        <v>926</v>
      </c>
      <c r="B743" s="1">
        <v>45177</v>
      </c>
      <c r="C743" t="s">
        <v>910</v>
      </c>
      <c r="D743">
        <v>9</v>
      </c>
      <c r="E743" t="str">
        <f>+CONCATENATE("T",ROUNDUP(MONTH(Datos[[#This Row],[Fecha]])/3,0))</f>
        <v>T3</v>
      </c>
      <c r="F743" t="str">
        <f>+CONCATENATE("Sem"," ",ROUNDUP(MONTH(Datos[[#This Row],[Fecha]])/6,0))</f>
        <v>Sem 2</v>
      </c>
      <c r="G743" t="s">
        <v>141</v>
      </c>
      <c r="H743" t="s">
        <v>142</v>
      </c>
      <c r="I743" t="s">
        <v>24</v>
      </c>
      <c r="J743" t="s">
        <v>143</v>
      </c>
      <c r="K743" t="s">
        <v>57</v>
      </c>
      <c r="L743" t="s">
        <v>27</v>
      </c>
      <c r="M743">
        <v>0</v>
      </c>
      <c r="N743" s="1">
        <v>45177</v>
      </c>
      <c r="O743" s="1">
        <v>45191</v>
      </c>
      <c r="P743" t="s">
        <v>58</v>
      </c>
      <c r="Q743">
        <f>+IF(OR(Datos[[#This Row],[Diagnostico]]="Inservible",Datos[[#This Row],[Estatus]]="Preventivo"),0,Datos[[#This Row],[Fecha_Final]]-Datos[[#This Row],[Día_Inicio]])</f>
        <v>14</v>
      </c>
      <c r="R743" s="2">
        <v>1018</v>
      </c>
      <c r="S743" s="2">
        <v>902</v>
      </c>
      <c r="T743" t="s">
        <v>64</v>
      </c>
    </row>
    <row r="744" spans="1:20" x14ac:dyDescent="0.25">
      <c r="A744" t="s">
        <v>927</v>
      </c>
      <c r="B744" s="1">
        <v>45177</v>
      </c>
      <c r="C744" t="s">
        <v>910</v>
      </c>
      <c r="D744">
        <v>9</v>
      </c>
      <c r="E744" t="str">
        <f>+CONCATENATE("T",ROUNDUP(MONTH(Datos[[#This Row],[Fecha]])/3,0))</f>
        <v>T3</v>
      </c>
      <c r="F744" t="str">
        <f>+CONCATENATE("Sem"," ",ROUNDUP(MONTH(Datos[[#This Row],[Fecha]])/6,0))</f>
        <v>Sem 2</v>
      </c>
      <c r="G744" t="s">
        <v>77</v>
      </c>
      <c r="H744" t="s">
        <v>78</v>
      </c>
      <c r="I744" t="s">
        <v>24</v>
      </c>
      <c r="J744" t="s">
        <v>79</v>
      </c>
      <c r="K744" t="s">
        <v>63</v>
      </c>
      <c r="L744" t="s">
        <v>27</v>
      </c>
      <c r="M744">
        <v>0</v>
      </c>
      <c r="N744" s="1">
        <v>45177</v>
      </c>
      <c r="O744" s="1">
        <v>45199</v>
      </c>
      <c r="P744" t="s">
        <v>28</v>
      </c>
      <c r="Q744">
        <f>+IF(OR(Datos[[#This Row],[Diagnostico]]="Inservible",Datos[[#This Row],[Estatus]]="Preventivo"),0,Datos[[#This Row],[Fecha_Final]]-Datos[[#This Row],[Día_Inicio]])</f>
        <v>0</v>
      </c>
      <c r="R744" s="2">
        <v>0</v>
      </c>
      <c r="S744" s="2">
        <v>0</v>
      </c>
      <c r="T744" t="s">
        <v>29</v>
      </c>
    </row>
    <row r="745" spans="1:20" x14ac:dyDescent="0.25">
      <c r="A745" t="s">
        <v>928</v>
      </c>
      <c r="B745" s="1">
        <v>45177</v>
      </c>
      <c r="C745" t="s">
        <v>910</v>
      </c>
      <c r="D745">
        <v>9</v>
      </c>
      <c r="E745" t="str">
        <f>+CONCATENATE("T",ROUNDUP(MONTH(Datos[[#This Row],[Fecha]])/3,0))</f>
        <v>T3</v>
      </c>
      <c r="F745" t="str">
        <f>+CONCATENATE("Sem"," ",ROUNDUP(MONTH(Datos[[#This Row],[Fecha]])/6,0))</f>
        <v>Sem 2</v>
      </c>
      <c r="G745" t="s">
        <v>164</v>
      </c>
      <c r="H745" t="s">
        <v>165</v>
      </c>
      <c r="I745" t="s">
        <v>24</v>
      </c>
      <c r="J745" t="s">
        <v>166</v>
      </c>
      <c r="K745" t="s">
        <v>70</v>
      </c>
      <c r="L745" t="s">
        <v>27</v>
      </c>
      <c r="M745">
        <v>0</v>
      </c>
      <c r="N745" s="1">
        <v>45177</v>
      </c>
      <c r="O745" s="1">
        <v>45187</v>
      </c>
      <c r="P745" t="s">
        <v>28</v>
      </c>
      <c r="Q745">
        <f>+IF(OR(Datos[[#This Row],[Diagnostico]]="Inservible",Datos[[#This Row],[Estatus]]="Preventivo"),0,Datos[[#This Row],[Fecha_Final]]-Datos[[#This Row],[Día_Inicio]])</f>
        <v>0</v>
      </c>
      <c r="R745" s="2">
        <v>0</v>
      </c>
      <c r="S745" s="2">
        <v>0</v>
      </c>
      <c r="T745" t="s">
        <v>29</v>
      </c>
    </row>
    <row r="746" spans="1:20" x14ac:dyDescent="0.25">
      <c r="A746" t="s">
        <v>929</v>
      </c>
      <c r="B746" s="1">
        <v>45177</v>
      </c>
      <c r="C746" t="s">
        <v>910</v>
      </c>
      <c r="D746">
        <v>9</v>
      </c>
      <c r="E746" t="str">
        <f>+CONCATENATE("T",ROUNDUP(MONTH(Datos[[#This Row],[Fecha]])/3,0))</f>
        <v>T3</v>
      </c>
      <c r="F746" t="str">
        <f>+CONCATENATE("Sem"," ",ROUNDUP(MONTH(Datos[[#This Row],[Fecha]])/6,0))</f>
        <v>Sem 2</v>
      </c>
      <c r="G746" t="s">
        <v>225</v>
      </c>
      <c r="H746" t="s">
        <v>226</v>
      </c>
      <c r="I746" t="s">
        <v>227</v>
      </c>
      <c r="J746" t="s">
        <v>89</v>
      </c>
      <c r="K746" t="s">
        <v>39</v>
      </c>
      <c r="L746" t="s">
        <v>40</v>
      </c>
      <c r="M746" t="s">
        <v>208</v>
      </c>
      <c r="N746" s="1">
        <v>45177</v>
      </c>
      <c r="O746" s="1">
        <v>45184</v>
      </c>
      <c r="P746" t="s">
        <v>29</v>
      </c>
      <c r="Q746">
        <f>+IF(OR(Datos[[#This Row],[Diagnostico]]="Inservible",Datos[[#This Row],[Estatus]]="Preventivo"),0,Datos[[#This Row],[Fecha_Final]]-Datos[[#This Row],[Día_Inicio]])</f>
        <v>0</v>
      </c>
      <c r="R746" s="2">
        <v>495</v>
      </c>
      <c r="S746" s="2">
        <v>780</v>
      </c>
      <c r="T746" t="s">
        <v>42</v>
      </c>
    </row>
    <row r="747" spans="1:20" x14ac:dyDescent="0.25">
      <c r="A747" t="s">
        <v>930</v>
      </c>
      <c r="B747" s="1">
        <v>45177</v>
      </c>
      <c r="C747" t="s">
        <v>910</v>
      </c>
      <c r="D747">
        <v>9</v>
      </c>
      <c r="E747" t="str">
        <f>+CONCATENATE("T",ROUNDUP(MONTH(Datos[[#This Row],[Fecha]])/3,0))</f>
        <v>T3</v>
      </c>
      <c r="F747" t="str">
        <f>+CONCATENATE("Sem"," ",ROUNDUP(MONTH(Datos[[#This Row],[Fecha]])/6,0))</f>
        <v>Sem 2</v>
      </c>
      <c r="G747" t="s">
        <v>141</v>
      </c>
      <c r="H747" t="s">
        <v>142</v>
      </c>
      <c r="I747" t="s">
        <v>24</v>
      </c>
      <c r="J747" t="s">
        <v>143</v>
      </c>
      <c r="K747" t="s">
        <v>80</v>
      </c>
      <c r="L747" t="s">
        <v>27</v>
      </c>
      <c r="M747">
        <v>0</v>
      </c>
      <c r="N747" s="1">
        <v>45177</v>
      </c>
      <c r="O747" s="1">
        <v>45206</v>
      </c>
      <c r="P747" t="s">
        <v>28</v>
      </c>
      <c r="Q747">
        <f>+IF(OR(Datos[[#This Row],[Diagnostico]]="Inservible",Datos[[#This Row],[Estatus]]="Preventivo"),0,Datos[[#This Row],[Fecha_Final]]-Datos[[#This Row],[Día_Inicio]])</f>
        <v>0</v>
      </c>
      <c r="R747" s="2">
        <v>0</v>
      </c>
      <c r="S747" s="2">
        <v>0</v>
      </c>
      <c r="T747" t="s">
        <v>29</v>
      </c>
    </row>
    <row r="748" spans="1:20" x14ac:dyDescent="0.25">
      <c r="A748" t="s">
        <v>931</v>
      </c>
      <c r="B748" s="1">
        <v>45177</v>
      </c>
      <c r="C748" t="s">
        <v>910</v>
      </c>
      <c r="D748">
        <v>9</v>
      </c>
      <c r="E748" t="str">
        <f>+CONCATENATE("T",ROUNDUP(MONTH(Datos[[#This Row],[Fecha]])/3,0))</f>
        <v>T3</v>
      </c>
      <c r="F748" t="str">
        <f>+CONCATENATE("Sem"," ",ROUNDUP(MONTH(Datos[[#This Row],[Fecha]])/6,0))</f>
        <v>Sem 2</v>
      </c>
      <c r="G748" t="s">
        <v>53</v>
      </c>
      <c r="H748" t="s">
        <v>54</v>
      </c>
      <c r="I748" t="s">
        <v>55</v>
      </c>
      <c r="J748" t="s">
        <v>56</v>
      </c>
      <c r="K748" t="s">
        <v>39</v>
      </c>
      <c r="L748" t="s">
        <v>40</v>
      </c>
      <c r="M748" t="s">
        <v>41</v>
      </c>
      <c r="N748" s="1">
        <v>45177</v>
      </c>
      <c r="O748" s="1">
        <v>45267</v>
      </c>
      <c r="P748" t="s">
        <v>29</v>
      </c>
      <c r="Q748">
        <f>+IF(OR(Datos[[#This Row],[Diagnostico]]="Inservible",Datos[[#This Row],[Estatus]]="Preventivo"),0,Datos[[#This Row],[Fecha_Final]]-Datos[[#This Row],[Día_Inicio]])</f>
        <v>0</v>
      </c>
      <c r="R748" s="2">
        <v>693</v>
      </c>
      <c r="S748" s="2">
        <v>717</v>
      </c>
      <c r="T748" t="s">
        <v>42</v>
      </c>
    </row>
    <row r="749" spans="1:20" x14ac:dyDescent="0.25">
      <c r="A749" t="s">
        <v>932</v>
      </c>
      <c r="B749" s="1">
        <v>45178</v>
      </c>
      <c r="C749" t="s">
        <v>910</v>
      </c>
      <c r="D749">
        <v>9</v>
      </c>
      <c r="E749" t="str">
        <f>+CONCATENATE("T",ROUNDUP(MONTH(Datos[[#This Row],[Fecha]])/3,0))</f>
        <v>T3</v>
      </c>
      <c r="F749" t="str">
        <f>+CONCATENATE("Sem"," ",ROUNDUP(MONTH(Datos[[#This Row],[Fecha]])/6,0))</f>
        <v>Sem 2</v>
      </c>
      <c r="G749" t="s">
        <v>257</v>
      </c>
      <c r="H749" t="s">
        <v>258</v>
      </c>
      <c r="I749" t="s">
        <v>24</v>
      </c>
      <c r="J749" t="s">
        <v>204</v>
      </c>
      <c r="K749" t="s">
        <v>90</v>
      </c>
      <c r="L749" t="s">
        <v>27</v>
      </c>
      <c r="M749">
        <v>0</v>
      </c>
      <c r="N749" s="1">
        <v>45178</v>
      </c>
      <c r="O749" s="1">
        <v>45191</v>
      </c>
      <c r="P749" t="s">
        <v>58</v>
      </c>
      <c r="Q749">
        <f>+IF(OR(Datos[[#This Row],[Diagnostico]]="Inservible",Datos[[#This Row],[Estatus]]="Preventivo"),0,Datos[[#This Row],[Fecha_Final]]-Datos[[#This Row],[Día_Inicio]])</f>
        <v>13</v>
      </c>
      <c r="R749" s="2">
        <v>774</v>
      </c>
      <c r="S749" s="2">
        <v>119</v>
      </c>
      <c r="T749" t="s">
        <v>42</v>
      </c>
    </row>
    <row r="750" spans="1:20" x14ac:dyDescent="0.25">
      <c r="A750" t="s">
        <v>933</v>
      </c>
      <c r="B750" s="1">
        <v>45178</v>
      </c>
      <c r="C750" t="s">
        <v>910</v>
      </c>
      <c r="D750">
        <v>9</v>
      </c>
      <c r="E750" t="str">
        <f>+CONCATENATE("T",ROUNDUP(MONTH(Datos[[#This Row],[Fecha]])/3,0))</f>
        <v>T3</v>
      </c>
      <c r="F750" t="str">
        <f>+CONCATENATE("Sem"," ",ROUNDUP(MONTH(Datos[[#This Row],[Fecha]])/6,0))</f>
        <v>Sem 2</v>
      </c>
      <c r="G750" t="s">
        <v>331</v>
      </c>
      <c r="H750" t="s">
        <v>332</v>
      </c>
      <c r="I750" t="s">
        <v>68</v>
      </c>
      <c r="J750" t="s">
        <v>74</v>
      </c>
      <c r="K750" t="s">
        <v>172</v>
      </c>
      <c r="L750" t="s">
        <v>27</v>
      </c>
      <c r="M750">
        <v>0</v>
      </c>
      <c r="N750" s="1">
        <v>45178</v>
      </c>
      <c r="O750" s="1">
        <v>45194</v>
      </c>
      <c r="P750" t="s">
        <v>28</v>
      </c>
      <c r="Q750">
        <f>+IF(OR(Datos[[#This Row],[Diagnostico]]="Inservible",Datos[[#This Row],[Estatus]]="Preventivo"),0,Datos[[#This Row],[Fecha_Final]]-Datos[[#This Row],[Día_Inicio]])</f>
        <v>0</v>
      </c>
      <c r="R750" s="2">
        <v>0</v>
      </c>
      <c r="S750" s="2">
        <v>0</v>
      </c>
      <c r="T750" t="s">
        <v>29</v>
      </c>
    </row>
    <row r="751" spans="1:20" x14ac:dyDescent="0.25">
      <c r="A751" t="s">
        <v>934</v>
      </c>
      <c r="B751" s="1">
        <v>45179</v>
      </c>
      <c r="C751" t="s">
        <v>910</v>
      </c>
      <c r="D751">
        <v>9</v>
      </c>
      <c r="E751" t="str">
        <f>+CONCATENATE("T",ROUNDUP(MONTH(Datos[[#This Row],[Fecha]])/3,0))</f>
        <v>T3</v>
      </c>
      <c r="F751" t="str">
        <f>+CONCATENATE("Sem"," ",ROUNDUP(MONTH(Datos[[#This Row],[Fecha]])/6,0))</f>
        <v>Sem 2</v>
      </c>
      <c r="G751" t="s">
        <v>206</v>
      </c>
      <c r="H751" t="s">
        <v>207</v>
      </c>
      <c r="I751" t="s">
        <v>24</v>
      </c>
      <c r="J751" t="s">
        <v>160</v>
      </c>
      <c r="K751" t="s">
        <v>97</v>
      </c>
      <c r="L751" t="s">
        <v>27</v>
      </c>
      <c r="M751">
        <v>0</v>
      </c>
      <c r="N751" s="1">
        <v>45179</v>
      </c>
      <c r="O751" s="1">
        <v>45192</v>
      </c>
      <c r="P751" t="s">
        <v>58</v>
      </c>
      <c r="Q751">
        <f>+IF(OR(Datos[[#This Row],[Diagnostico]]="Inservible",Datos[[#This Row],[Estatus]]="Preventivo"),0,Datos[[#This Row],[Fecha_Final]]-Datos[[#This Row],[Día_Inicio]])</f>
        <v>13</v>
      </c>
      <c r="R751" s="2">
        <v>798</v>
      </c>
      <c r="S751" s="2">
        <v>212</v>
      </c>
      <c r="T751" t="s">
        <v>42</v>
      </c>
    </row>
    <row r="752" spans="1:20" x14ac:dyDescent="0.25">
      <c r="A752" t="s">
        <v>935</v>
      </c>
      <c r="B752" s="1">
        <v>45179</v>
      </c>
      <c r="C752" t="s">
        <v>910</v>
      </c>
      <c r="D752">
        <v>9</v>
      </c>
      <c r="E752" t="str">
        <f>+CONCATENATE("T",ROUNDUP(MONTH(Datos[[#This Row],[Fecha]])/3,0))</f>
        <v>T3</v>
      </c>
      <c r="F752" t="str">
        <f>+CONCATENATE("Sem"," ",ROUNDUP(MONTH(Datos[[#This Row],[Fecha]])/6,0))</f>
        <v>Sem 2</v>
      </c>
      <c r="G752" t="s">
        <v>237</v>
      </c>
      <c r="H752" t="s">
        <v>238</v>
      </c>
      <c r="I752" t="s">
        <v>24</v>
      </c>
      <c r="J752" t="s">
        <v>177</v>
      </c>
      <c r="K752" t="s">
        <v>178</v>
      </c>
      <c r="L752" t="s">
        <v>27</v>
      </c>
      <c r="M752">
        <v>0</v>
      </c>
      <c r="N752" s="1">
        <v>45179</v>
      </c>
      <c r="O752" s="1">
        <v>45195</v>
      </c>
      <c r="P752" t="s">
        <v>28</v>
      </c>
      <c r="Q752">
        <f>+IF(OR(Datos[[#This Row],[Diagnostico]]="Inservible",Datos[[#This Row],[Estatus]]="Preventivo"),0,Datos[[#This Row],[Fecha_Final]]-Datos[[#This Row],[Día_Inicio]])</f>
        <v>0</v>
      </c>
      <c r="R752" s="2">
        <v>0</v>
      </c>
      <c r="S752" s="2">
        <v>0</v>
      </c>
      <c r="T752" t="s">
        <v>29</v>
      </c>
    </row>
    <row r="753" spans="1:20" x14ac:dyDescent="0.25">
      <c r="A753" t="s">
        <v>936</v>
      </c>
      <c r="B753" s="1">
        <v>45179</v>
      </c>
      <c r="C753" t="s">
        <v>910</v>
      </c>
      <c r="D753">
        <v>9</v>
      </c>
      <c r="E753" t="str">
        <f>+CONCATENATE("T",ROUNDUP(MONTH(Datos[[#This Row],[Fecha]])/3,0))</f>
        <v>T3</v>
      </c>
      <c r="F753" t="str">
        <f>+CONCATENATE("Sem"," ",ROUNDUP(MONTH(Datos[[#This Row],[Fecha]])/6,0))</f>
        <v>Sem 2</v>
      </c>
      <c r="G753" t="s">
        <v>246</v>
      </c>
      <c r="H753" t="s">
        <v>247</v>
      </c>
      <c r="I753" t="s">
        <v>24</v>
      </c>
      <c r="J753" t="s">
        <v>156</v>
      </c>
      <c r="K753" t="s">
        <v>108</v>
      </c>
      <c r="L753" t="s">
        <v>27</v>
      </c>
      <c r="M753">
        <v>0</v>
      </c>
      <c r="N753" s="1">
        <v>45179</v>
      </c>
      <c r="O753" s="1">
        <v>45184</v>
      </c>
      <c r="P753" t="s">
        <v>28</v>
      </c>
      <c r="Q753">
        <f>+IF(OR(Datos[[#This Row],[Diagnostico]]="Inservible",Datos[[#This Row],[Estatus]]="Preventivo"),0,Datos[[#This Row],[Fecha_Final]]-Datos[[#This Row],[Día_Inicio]])</f>
        <v>0</v>
      </c>
      <c r="R753" s="2">
        <v>0</v>
      </c>
      <c r="S753" s="2">
        <v>0</v>
      </c>
      <c r="T753" t="s">
        <v>29</v>
      </c>
    </row>
    <row r="754" spans="1:20" x14ac:dyDescent="0.25">
      <c r="A754" t="s">
        <v>937</v>
      </c>
      <c r="B754" s="1">
        <v>45179</v>
      </c>
      <c r="C754" t="s">
        <v>910</v>
      </c>
      <c r="D754">
        <v>9</v>
      </c>
      <c r="E754" t="str">
        <f>+CONCATENATE("T",ROUNDUP(MONTH(Datos[[#This Row],[Fecha]])/3,0))</f>
        <v>T3</v>
      </c>
      <c r="F754" t="str">
        <f>+CONCATENATE("Sem"," ",ROUNDUP(MONTH(Datos[[#This Row],[Fecha]])/6,0))</f>
        <v>Sem 2</v>
      </c>
      <c r="G754" t="s">
        <v>116</v>
      </c>
      <c r="H754" t="s">
        <v>117</v>
      </c>
      <c r="I754" t="s">
        <v>24</v>
      </c>
      <c r="J754" t="s">
        <v>118</v>
      </c>
      <c r="K754" t="s">
        <v>110</v>
      </c>
      <c r="L754" t="s">
        <v>27</v>
      </c>
      <c r="M754">
        <v>0</v>
      </c>
      <c r="N754" s="1">
        <v>45179</v>
      </c>
      <c r="O754" s="1">
        <v>45182</v>
      </c>
      <c r="P754" t="s">
        <v>28</v>
      </c>
      <c r="Q754">
        <f>+IF(OR(Datos[[#This Row],[Diagnostico]]="Inservible",Datos[[#This Row],[Estatus]]="Preventivo"),0,Datos[[#This Row],[Fecha_Final]]-Datos[[#This Row],[Día_Inicio]])</f>
        <v>0</v>
      </c>
      <c r="R754" s="2">
        <v>0</v>
      </c>
      <c r="S754" s="2">
        <v>0</v>
      </c>
      <c r="T754" t="s">
        <v>29</v>
      </c>
    </row>
    <row r="755" spans="1:20" x14ac:dyDescent="0.25">
      <c r="A755" t="s">
        <v>938</v>
      </c>
      <c r="B755" s="1">
        <v>45179</v>
      </c>
      <c r="C755" t="s">
        <v>910</v>
      </c>
      <c r="D755">
        <v>9</v>
      </c>
      <c r="E755" t="str">
        <f>+CONCATENATE("T",ROUNDUP(MONTH(Datos[[#This Row],[Fecha]])/3,0))</f>
        <v>T3</v>
      </c>
      <c r="F755" t="str">
        <f>+CONCATENATE("Sem"," ",ROUNDUP(MONTH(Datos[[#This Row],[Fecha]])/6,0))</f>
        <v>Sem 2</v>
      </c>
      <c r="G755" t="s">
        <v>246</v>
      </c>
      <c r="H755" t="s">
        <v>247</v>
      </c>
      <c r="I755" t="s">
        <v>24</v>
      </c>
      <c r="J755" t="s">
        <v>156</v>
      </c>
      <c r="K755" t="s">
        <v>114</v>
      </c>
      <c r="L755" t="s">
        <v>27</v>
      </c>
      <c r="M755">
        <v>0</v>
      </c>
      <c r="N755" s="1">
        <v>45179</v>
      </c>
      <c r="O755" s="1">
        <v>45205</v>
      </c>
      <c r="P755" t="s">
        <v>58</v>
      </c>
      <c r="Q755">
        <f>+IF(OR(Datos[[#This Row],[Diagnostico]]="Inservible",Datos[[#This Row],[Estatus]]="Preventivo"),0,Datos[[#This Row],[Fecha_Final]]-Datos[[#This Row],[Día_Inicio]])</f>
        <v>26</v>
      </c>
      <c r="R755" s="2">
        <v>296</v>
      </c>
      <c r="S755" s="2">
        <v>699</v>
      </c>
      <c r="T755" t="s">
        <v>91</v>
      </c>
    </row>
    <row r="756" spans="1:20" x14ac:dyDescent="0.25">
      <c r="A756" t="s">
        <v>939</v>
      </c>
      <c r="B756" s="1">
        <v>45179</v>
      </c>
      <c r="C756" t="s">
        <v>910</v>
      </c>
      <c r="D756">
        <v>9</v>
      </c>
      <c r="E756" t="str">
        <f>+CONCATENATE("T",ROUNDUP(MONTH(Datos[[#This Row],[Fecha]])/3,0))</f>
        <v>T3</v>
      </c>
      <c r="F756" t="str">
        <f>+CONCATENATE("Sem"," ",ROUNDUP(MONTH(Datos[[#This Row],[Fecha]])/6,0))</f>
        <v>Sem 2</v>
      </c>
      <c r="G756" t="s">
        <v>286</v>
      </c>
      <c r="H756" t="s">
        <v>287</v>
      </c>
      <c r="I756" t="s">
        <v>24</v>
      </c>
      <c r="J756" t="s">
        <v>38</v>
      </c>
      <c r="K756" t="s">
        <v>39</v>
      </c>
      <c r="L756" t="s">
        <v>40</v>
      </c>
      <c r="M756" t="s">
        <v>188</v>
      </c>
      <c r="N756" s="1">
        <v>45179</v>
      </c>
      <c r="O756" s="1">
        <v>45359</v>
      </c>
      <c r="P756" t="s">
        <v>29</v>
      </c>
      <c r="Q756">
        <f>+IF(OR(Datos[[#This Row],[Diagnostico]]="Inservible",Datos[[#This Row],[Estatus]]="Preventivo"),0,Datos[[#This Row],[Fecha_Final]]-Datos[[#This Row],[Día_Inicio]])</f>
        <v>0</v>
      </c>
      <c r="R756" s="2">
        <v>988</v>
      </c>
      <c r="S756" s="2">
        <v>348</v>
      </c>
      <c r="T756" t="s">
        <v>42</v>
      </c>
    </row>
    <row r="757" spans="1:20" x14ac:dyDescent="0.25">
      <c r="A757" t="s">
        <v>940</v>
      </c>
      <c r="B757" s="1">
        <v>45179</v>
      </c>
      <c r="C757" t="s">
        <v>910</v>
      </c>
      <c r="D757">
        <v>9</v>
      </c>
      <c r="E757" t="str">
        <f>+CONCATENATE("T",ROUNDUP(MONTH(Datos[[#This Row],[Fecha]])/3,0))</f>
        <v>T3</v>
      </c>
      <c r="F757" t="str">
        <f>+CONCATENATE("Sem"," ",ROUNDUP(MONTH(Datos[[#This Row],[Fecha]])/6,0))</f>
        <v>Sem 2</v>
      </c>
      <c r="G757" t="s">
        <v>149</v>
      </c>
      <c r="H757" t="s">
        <v>150</v>
      </c>
      <c r="I757" t="s">
        <v>68</v>
      </c>
      <c r="J757" t="s">
        <v>151</v>
      </c>
      <c r="K757" t="s">
        <v>123</v>
      </c>
      <c r="L757" t="s">
        <v>27</v>
      </c>
      <c r="M757">
        <v>0</v>
      </c>
      <c r="N757" s="1">
        <v>45179</v>
      </c>
      <c r="O757" s="1">
        <v>45184</v>
      </c>
      <c r="P757" t="s">
        <v>58</v>
      </c>
      <c r="Q757">
        <f>+IF(OR(Datos[[#This Row],[Diagnostico]]="Inservible",Datos[[#This Row],[Estatus]]="Preventivo"),0,Datos[[#This Row],[Fecha_Final]]-Datos[[#This Row],[Día_Inicio]])</f>
        <v>5</v>
      </c>
      <c r="R757" s="2">
        <v>1148</v>
      </c>
      <c r="S757" s="2">
        <v>305</v>
      </c>
      <c r="T757" t="s">
        <v>64</v>
      </c>
    </row>
    <row r="758" spans="1:20" x14ac:dyDescent="0.25">
      <c r="A758" t="s">
        <v>941</v>
      </c>
      <c r="B758" s="1">
        <v>45179</v>
      </c>
      <c r="C758" t="s">
        <v>910</v>
      </c>
      <c r="D758">
        <v>9</v>
      </c>
      <c r="E758" t="str">
        <f>+CONCATENATE("T",ROUNDUP(MONTH(Datos[[#This Row],[Fecha]])/3,0))</f>
        <v>T3</v>
      </c>
      <c r="F758" t="str">
        <f>+CONCATENATE("Sem"," ",ROUNDUP(MONTH(Datos[[#This Row],[Fecha]])/6,0))</f>
        <v>Sem 2</v>
      </c>
      <c r="G758" t="s">
        <v>246</v>
      </c>
      <c r="H758" t="s">
        <v>247</v>
      </c>
      <c r="I758" t="s">
        <v>24</v>
      </c>
      <c r="J758" t="s">
        <v>156</v>
      </c>
      <c r="K758" t="s">
        <v>128</v>
      </c>
      <c r="L758" t="s">
        <v>27</v>
      </c>
      <c r="M758">
        <v>0</v>
      </c>
      <c r="N758" s="1">
        <v>45179</v>
      </c>
      <c r="O758" s="1">
        <v>45205</v>
      </c>
      <c r="P758" t="s">
        <v>28</v>
      </c>
      <c r="Q758">
        <f>+IF(OR(Datos[[#This Row],[Diagnostico]]="Inservible",Datos[[#This Row],[Estatus]]="Preventivo"),0,Datos[[#This Row],[Fecha_Final]]-Datos[[#This Row],[Día_Inicio]])</f>
        <v>0</v>
      </c>
      <c r="R758" s="2">
        <v>0</v>
      </c>
      <c r="S758" s="2">
        <v>0</v>
      </c>
      <c r="T758" t="s">
        <v>29</v>
      </c>
    </row>
    <row r="759" spans="1:20" x14ac:dyDescent="0.25">
      <c r="A759" t="s">
        <v>942</v>
      </c>
      <c r="B759" s="1">
        <v>45179</v>
      </c>
      <c r="C759" t="s">
        <v>910</v>
      </c>
      <c r="D759">
        <v>9</v>
      </c>
      <c r="E759" t="str">
        <f>+CONCATENATE("T",ROUNDUP(MONTH(Datos[[#This Row],[Fecha]])/3,0))</f>
        <v>T3</v>
      </c>
      <c r="F759" t="str">
        <f>+CONCATENATE("Sem"," ",ROUNDUP(MONTH(Datos[[#This Row],[Fecha]])/6,0))</f>
        <v>Sem 2</v>
      </c>
      <c r="G759" t="s">
        <v>22</v>
      </c>
      <c r="H759" t="s">
        <v>23</v>
      </c>
      <c r="I759" t="s">
        <v>24</v>
      </c>
      <c r="J759" t="s">
        <v>25</v>
      </c>
      <c r="K759" t="s">
        <v>130</v>
      </c>
      <c r="L759" t="s">
        <v>27</v>
      </c>
      <c r="M759">
        <v>0</v>
      </c>
      <c r="N759" s="1">
        <v>45179</v>
      </c>
      <c r="O759" s="1">
        <v>45197</v>
      </c>
      <c r="P759" t="s">
        <v>28</v>
      </c>
      <c r="Q759">
        <f>+IF(OR(Datos[[#This Row],[Diagnostico]]="Inservible",Datos[[#This Row],[Estatus]]="Preventivo"),0,Datos[[#This Row],[Fecha_Final]]-Datos[[#This Row],[Día_Inicio]])</f>
        <v>0</v>
      </c>
      <c r="R759" s="2">
        <v>0</v>
      </c>
      <c r="S759" s="2">
        <v>0</v>
      </c>
      <c r="T759" t="s">
        <v>29</v>
      </c>
    </row>
    <row r="760" spans="1:20" x14ac:dyDescent="0.25">
      <c r="A760" t="s">
        <v>943</v>
      </c>
      <c r="B760" s="1">
        <v>45180</v>
      </c>
      <c r="C760" t="s">
        <v>910</v>
      </c>
      <c r="D760">
        <v>9</v>
      </c>
      <c r="E760" t="str">
        <f>+CONCATENATE("T",ROUNDUP(MONTH(Datos[[#This Row],[Fecha]])/3,0))</f>
        <v>T3</v>
      </c>
      <c r="F760" t="str">
        <f>+CONCATENATE("Sem"," ",ROUNDUP(MONTH(Datos[[#This Row],[Fecha]])/6,0))</f>
        <v>Sem 2</v>
      </c>
      <c r="G760" t="s">
        <v>77</v>
      </c>
      <c r="H760" t="s">
        <v>78</v>
      </c>
      <c r="I760" t="s">
        <v>24</v>
      </c>
      <c r="J760" t="s">
        <v>79</v>
      </c>
      <c r="K760" t="s">
        <v>135</v>
      </c>
      <c r="L760" t="s">
        <v>27</v>
      </c>
      <c r="M760">
        <v>0</v>
      </c>
      <c r="N760" s="1">
        <v>45180</v>
      </c>
      <c r="O760" s="1">
        <v>45198</v>
      </c>
      <c r="P760" t="s">
        <v>28</v>
      </c>
      <c r="Q760">
        <f>+IF(OR(Datos[[#This Row],[Diagnostico]]="Inservible",Datos[[#This Row],[Estatus]]="Preventivo"),0,Datos[[#This Row],[Fecha_Final]]-Datos[[#This Row],[Día_Inicio]])</f>
        <v>0</v>
      </c>
      <c r="R760" s="2">
        <v>0</v>
      </c>
      <c r="S760" s="2">
        <v>0</v>
      </c>
      <c r="T760" t="s">
        <v>29</v>
      </c>
    </row>
    <row r="761" spans="1:20" x14ac:dyDescent="0.25">
      <c r="A761" t="s">
        <v>944</v>
      </c>
      <c r="B761" s="1">
        <v>45180</v>
      </c>
      <c r="C761" t="s">
        <v>910</v>
      </c>
      <c r="D761">
        <v>9</v>
      </c>
      <c r="E761" t="str">
        <f>+CONCATENATE("T",ROUNDUP(MONTH(Datos[[#This Row],[Fecha]])/3,0))</f>
        <v>T3</v>
      </c>
      <c r="F761" t="str">
        <f>+CONCATENATE("Sem"," ",ROUNDUP(MONTH(Datos[[#This Row],[Fecha]])/6,0))</f>
        <v>Sem 2</v>
      </c>
      <c r="G761" t="s">
        <v>112</v>
      </c>
      <c r="H761" t="s">
        <v>113</v>
      </c>
      <c r="I761" t="s">
        <v>24</v>
      </c>
      <c r="J761" t="s">
        <v>79</v>
      </c>
      <c r="K761" t="s">
        <v>26</v>
      </c>
      <c r="L761" t="s">
        <v>27</v>
      </c>
      <c r="M761">
        <v>0</v>
      </c>
      <c r="N761" s="1">
        <v>45180</v>
      </c>
      <c r="O761" s="1">
        <v>45196</v>
      </c>
      <c r="P761" t="s">
        <v>58</v>
      </c>
      <c r="Q761">
        <f>+IF(OR(Datos[[#This Row],[Diagnostico]]="Inservible",Datos[[#This Row],[Estatus]]="Preventivo"),0,Datos[[#This Row],[Fecha_Final]]-Datos[[#This Row],[Día_Inicio]])</f>
        <v>16</v>
      </c>
      <c r="R761" s="2">
        <v>903</v>
      </c>
      <c r="S761" s="2">
        <v>152</v>
      </c>
      <c r="T761" t="s">
        <v>91</v>
      </c>
    </row>
    <row r="762" spans="1:20" x14ac:dyDescent="0.25">
      <c r="A762" t="s">
        <v>945</v>
      </c>
      <c r="B762" s="1">
        <v>45180</v>
      </c>
      <c r="C762" t="s">
        <v>910</v>
      </c>
      <c r="D762">
        <v>9</v>
      </c>
      <c r="E762" t="str">
        <f>+CONCATENATE("T",ROUNDUP(MONTH(Datos[[#This Row],[Fecha]])/3,0))</f>
        <v>T3</v>
      </c>
      <c r="F762" t="str">
        <f>+CONCATENATE("Sem"," ",ROUNDUP(MONTH(Datos[[#This Row],[Fecha]])/6,0))</f>
        <v>Sem 2</v>
      </c>
      <c r="G762" t="s">
        <v>164</v>
      </c>
      <c r="H762" t="s">
        <v>165</v>
      </c>
      <c r="I762" t="s">
        <v>24</v>
      </c>
      <c r="J762" t="s">
        <v>166</v>
      </c>
      <c r="K762" t="s">
        <v>39</v>
      </c>
      <c r="L762" t="s">
        <v>40</v>
      </c>
      <c r="M762" t="s">
        <v>196</v>
      </c>
      <c r="N762" s="1">
        <v>45180</v>
      </c>
      <c r="O762" s="1">
        <v>45210</v>
      </c>
      <c r="P762" t="s">
        <v>29</v>
      </c>
      <c r="Q762">
        <f>+IF(OR(Datos[[#This Row],[Diagnostico]]="Inservible",Datos[[#This Row],[Estatus]]="Preventivo"),0,Datos[[#This Row],[Fecha_Final]]-Datos[[#This Row],[Día_Inicio]])</f>
        <v>0</v>
      </c>
      <c r="R762" s="2">
        <v>716</v>
      </c>
      <c r="S762" s="2">
        <v>476</v>
      </c>
      <c r="T762" t="s">
        <v>42</v>
      </c>
    </row>
    <row r="763" spans="1:20" x14ac:dyDescent="0.25">
      <c r="A763" t="s">
        <v>946</v>
      </c>
      <c r="B763" s="1">
        <v>45180</v>
      </c>
      <c r="C763" t="s">
        <v>910</v>
      </c>
      <c r="D763">
        <v>9</v>
      </c>
      <c r="E763" t="str">
        <f>+CONCATENATE("T",ROUNDUP(MONTH(Datos[[#This Row],[Fecha]])/3,0))</f>
        <v>T3</v>
      </c>
      <c r="F763" t="str">
        <f>+CONCATENATE("Sem"," ",ROUNDUP(MONTH(Datos[[#This Row],[Fecha]])/6,0))</f>
        <v>Sem 2</v>
      </c>
      <c r="G763" t="s">
        <v>116</v>
      </c>
      <c r="H763" t="s">
        <v>117</v>
      </c>
      <c r="I763" t="s">
        <v>24</v>
      </c>
      <c r="J763" t="s">
        <v>118</v>
      </c>
      <c r="K763" t="s">
        <v>39</v>
      </c>
      <c r="L763" t="s">
        <v>27</v>
      </c>
      <c r="M763">
        <v>0</v>
      </c>
      <c r="N763" s="1">
        <v>45180</v>
      </c>
      <c r="O763" s="1">
        <v>45182</v>
      </c>
      <c r="P763" t="s">
        <v>28</v>
      </c>
      <c r="Q763">
        <f>+IF(OR(Datos[[#This Row],[Diagnostico]]="Inservible",Datos[[#This Row],[Estatus]]="Preventivo"),0,Datos[[#This Row],[Fecha_Final]]-Datos[[#This Row],[Día_Inicio]])</f>
        <v>0</v>
      </c>
      <c r="R763" s="2">
        <v>0</v>
      </c>
      <c r="S763" s="2">
        <v>0</v>
      </c>
      <c r="T763" t="s">
        <v>29</v>
      </c>
    </row>
    <row r="764" spans="1:20" x14ac:dyDescent="0.25">
      <c r="A764" t="s">
        <v>947</v>
      </c>
      <c r="B764" s="1">
        <v>45181</v>
      </c>
      <c r="C764" t="s">
        <v>910</v>
      </c>
      <c r="D764">
        <v>9</v>
      </c>
      <c r="E764" t="str">
        <f>+CONCATENATE("T",ROUNDUP(MONTH(Datos[[#This Row],[Fecha]])/3,0))</f>
        <v>T3</v>
      </c>
      <c r="F764" t="str">
        <f>+CONCATENATE("Sem"," ",ROUNDUP(MONTH(Datos[[#This Row],[Fecha]])/6,0))</f>
        <v>Sem 2</v>
      </c>
      <c r="G764" t="s">
        <v>260</v>
      </c>
      <c r="H764" t="s">
        <v>261</v>
      </c>
      <c r="I764" t="s">
        <v>24</v>
      </c>
      <c r="J764" t="s">
        <v>33</v>
      </c>
      <c r="K764" t="s">
        <v>39</v>
      </c>
      <c r="L764" t="s">
        <v>40</v>
      </c>
      <c r="M764" t="s">
        <v>188</v>
      </c>
      <c r="N764" s="1">
        <v>45181</v>
      </c>
      <c r="O764" s="1">
        <v>45361</v>
      </c>
      <c r="P764" t="s">
        <v>29</v>
      </c>
      <c r="Q764">
        <f>+IF(OR(Datos[[#This Row],[Diagnostico]]="Inservible",Datos[[#This Row],[Estatus]]="Preventivo"),0,Datos[[#This Row],[Fecha_Final]]-Datos[[#This Row],[Día_Inicio]])</f>
        <v>0</v>
      </c>
      <c r="R764" s="2">
        <v>843</v>
      </c>
      <c r="S764" s="2">
        <v>224</v>
      </c>
      <c r="T764" t="s">
        <v>42</v>
      </c>
    </row>
    <row r="765" spans="1:20" x14ac:dyDescent="0.25">
      <c r="A765" t="s">
        <v>948</v>
      </c>
      <c r="B765" s="1">
        <v>45181</v>
      </c>
      <c r="C765" t="s">
        <v>910</v>
      </c>
      <c r="D765">
        <v>9</v>
      </c>
      <c r="E765" t="str">
        <f>+CONCATENATE("T",ROUNDUP(MONTH(Datos[[#This Row],[Fecha]])/3,0))</f>
        <v>T3</v>
      </c>
      <c r="F765" t="str">
        <f>+CONCATENATE("Sem"," ",ROUNDUP(MONTH(Datos[[#This Row],[Fecha]])/6,0))</f>
        <v>Sem 2</v>
      </c>
      <c r="G765" t="s">
        <v>77</v>
      </c>
      <c r="H765" t="s">
        <v>78</v>
      </c>
      <c r="I765" t="s">
        <v>24</v>
      </c>
      <c r="J765" t="s">
        <v>79</v>
      </c>
      <c r="K765" t="s">
        <v>147</v>
      </c>
      <c r="L765" t="s">
        <v>27</v>
      </c>
      <c r="M765">
        <v>0</v>
      </c>
      <c r="N765" s="1">
        <v>45181</v>
      </c>
      <c r="O765" s="1">
        <v>45197</v>
      </c>
      <c r="P765" t="s">
        <v>28</v>
      </c>
      <c r="Q765">
        <f>+IF(OR(Datos[[#This Row],[Diagnostico]]="Inservible",Datos[[#This Row],[Estatus]]="Preventivo"),0,Datos[[#This Row],[Fecha_Final]]-Datos[[#This Row],[Día_Inicio]])</f>
        <v>0</v>
      </c>
      <c r="R765" s="2">
        <v>0</v>
      </c>
      <c r="S765" s="2">
        <v>0</v>
      </c>
      <c r="T765" t="s">
        <v>29</v>
      </c>
    </row>
    <row r="766" spans="1:20" x14ac:dyDescent="0.25">
      <c r="A766" t="s">
        <v>949</v>
      </c>
      <c r="B766" s="1">
        <v>45181</v>
      </c>
      <c r="C766" t="s">
        <v>910</v>
      </c>
      <c r="D766">
        <v>9</v>
      </c>
      <c r="E766" t="str">
        <f>+CONCATENATE("T",ROUNDUP(MONTH(Datos[[#This Row],[Fecha]])/3,0))</f>
        <v>T3</v>
      </c>
      <c r="F766" t="str">
        <f>+CONCATENATE("Sem"," ",ROUNDUP(MONTH(Datos[[#This Row],[Fecha]])/6,0))</f>
        <v>Sem 2</v>
      </c>
      <c r="G766" t="s">
        <v>53</v>
      </c>
      <c r="H766" t="s">
        <v>54</v>
      </c>
      <c r="I766" t="s">
        <v>55</v>
      </c>
      <c r="J766" t="s">
        <v>56</v>
      </c>
      <c r="K766" t="s">
        <v>57</v>
      </c>
      <c r="L766" t="s">
        <v>27</v>
      </c>
      <c r="M766">
        <v>0</v>
      </c>
      <c r="N766" s="1">
        <v>45181</v>
      </c>
      <c r="O766" s="1">
        <v>45182</v>
      </c>
      <c r="P766" t="s">
        <v>28</v>
      </c>
      <c r="Q766">
        <f>+IF(OR(Datos[[#This Row],[Diagnostico]]="Inservible",Datos[[#This Row],[Estatus]]="Preventivo"),0,Datos[[#This Row],[Fecha_Final]]-Datos[[#This Row],[Día_Inicio]])</f>
        <v>0</v>
      </c>
      <c r="R766" s="2">
        <v>0</v>
      </c>
      <c r="S766" s="2">
        <v>0</v>
      </c>
      <c r="T766" t="s">
        <v>29</v>
      </c>
    </row>
    <row r="767" spans="1:20" x14ac:dyDescent="0.25">
      <c r="A767" t="s">
        <v>950</v>
      </c>
      <c r="B767" s="1">
        <v>45181</v>
      </c>
      <c r="C767" t="s">
        <v>910</v>
      </c>
      <c r="D767">
        <v>9</v>
      </c>
      <c r="E767" t="str">
        <f>+CONCATENATE("T",ROUNDUP(MONTH(Datos[[#This Row],[Fecha]])/3,0))</f>
        <v>T3</v>
      </c>
      <c r="F767" t="str">
        <f>+CONCATENATE("Sem"," ",ROUNDUP(MONTH(Datos[[#This Row],[Fecha]])/6,0))</f>
        <v>Sem 2</v>
      </c>
      <c r="G767" t="s">
        <v>22</v>
      </c>
      <c r="H767" t="s">
        <v>23</v>
      </c>
      <c r="I767" t="s">
        <v>24</v>
      </c>
      <c r="J767" t="s">
        <v>25</v>
      </c>
      <c r="K767" t="s">
        <v>63</v>
      </c>
      <c r="L767" t="s">
        <v>27</v>
      </c>
      <c r="M767">
        <v>0</v>
      </c>
      <c r="N767" s="1">
        <v>45181</v>
      </c>
      <c r="O767" s="1">
        <v>45196</v>
      </c>
      <c r="P767" t="s">
        <v>58</v>
      </c>
      <c r="Q767">
        <f>+IF(OR(Datos[[#This Row],[Diagnostico]]="Inservible",Datos[[#This Row],[Estatus]]="Preventivo"),0,Datos[[#This Row],[Fecha_Final]]-Datos[[#This Row],[Día_Inicio]])</f>
        <v>15</v>
      </c>
      <c r="R767" s="2">
        <v>423</v>
      </c>
      <c r="S767" s="2">
        <v>420</v>
      </c>
      <c r="T767" t="s">
        <v>42</v>
      </c>
    </row>
    <row r="768" spans="1:20" x14ac:dyDescent="0.25">
      <c r="A768" t="s">
        <v>951</v>
      </c>
      <c r="B768" s="1">
        <v>45181</v>
      </c>
      <c r="C768" t="s">
        <v>910</v>
      </c>
      <c r="D768">
        <v>9</v>
      </c>
      <c r="E768" t="str">
        <f>+CONCATENATE("T",ROUNDUP(MONTH(Datos[[#This Row],[Fecha]])/3,0))</f>
        <v>T3</v>
      </c>
      <c r="F768" t="str">
        <f>+CONCATENATE("Sem"," ",ROUNDUP(MONTH(Datos[[#This Row],[Fecha]])/6,0))</f>
        <v>Sem 2</v>
      </c>
      <c r="G768" t="s">
        <v>132</v>
      </c>
      <c r="H768" t="s">
        <v>133</v>
      </c>
      <c r="I768" t="s">
        <v>24</v>
      </c>
      <c r="J768" t="s">
        <v>134</v>
      </c>
      <c r="K768" t="s">
        <v>39</v>
      </c>
      <c r="L768" t="s">
        <v>40</v>
      </c>
      <c r="M768" t="s">
        <v>41</v>
      </c>
      <c r="N768" s="1">
        <v>45181</v>
      </c>
      <c r="O768" s="1">
        <v>45271</v>
      </c>
      <c r="P768" t="s">
        <v>29</v>
      </c>
      <c r="Q768">
        <f>+IF(OR(Datos[[#This Row],[Diagnostico]]="Inservible",Datos[[#This Row],[Estatus]]="Preventivo"),0,Datos[[#This Row],[Fecha_Final]]-Datos[[#This Row],[Día_Inicio]])</f>
        <v>0</v>
      </c>
      <c r="R768" s="2">
        <v>582</v>
      </c>
      <c r="S768" s="2">
        <v>371</v>
      </c>
      <c r="T768" t="s">
        <v>42</v>
      </c>
    </row>
    <row r="769" spans="1:20" x14ac:dyDescent="0.25">
      <c r="A769" t="s">
        <v>952</v>
      </c>
      <c r="B769" s="1">
        <v>45181</v>
      </c>
      <c r="C769" t="s">
        <v>910</v>
      </c>
      <c r="D769">
        <v>9</v>
      </c>
      <c r="E769" t="str">
        <f>+CONCATENATE("T",ROUNDUP(MONTH(Datos[[#This Row],[Fecha]])/3,0))</f>
        <v>T3</v>
      </c>
      <c r="F769" t="str">
        <f>+CONCATENATE("Sem"," ",ROUNDUP(MONTH(Datos[[#This Row],[Fecha]])/6,0))</f>
        <v>Sem 2</v>
      </c>
      <c r="G769" t="s">
        <v>237</v>
      </c>
      <c r="H769" t="s">
        <v>238</v>
      </c>
      <c r="I769" t="s">
        <v>24</v>
      </c>
      <c r="J769" t="s">
        <v>177</v>
      </c>
      <c r="K769" t="s">
        <v>161</v>
      </c>
      <c r="L769" t="s">
        <v>27</v>
      </c>
      <c r="M769">
        <v>0</v>
      </c>
      <c r="N769" s="1">
        <v>45181</v>
      </c>
      <c r="O769" s="1">
        <v>45182</v>
      </c>
      <c r="P769" t="s">
        <v>58</v>
      </c>
      <c r="Q769">
        <f>+IF(OR(Datos[[#This Row],[Diagnostico]]="Inservible",Datos[[#This Row],[Estatus]]="Preventivo"),0,Datos[[#This Row],[Fecha_Final]]-Datos[[#This Row],[Día_Inicio]])</f>
        <v>1</v>
      </c>
      <c r="R769" s="2">
        <v>839</v>
      </c>
      <c r="S769" s="2">
        <v>400</v>
      </c>
      <c r="T769" t="s">
        <v>64</v>
      </c>
    </row>
    <row r="770" spans="1:20" x14ac:dyDescent="0.25">
      <c r="A770" t="s">
        <v>953</v>
      </c>
      <c r="B770" s="1">
        <v>45181</v>
      </c>
      <c r="C770" t="s">
        <v>910</v>
      </c>
      <c r="D770">
        <v>9</v>
      </c>
      <c r="E770" t="str">
        <f>+CONCATENATE("T",ROUNDUP(MONTH(Datos[[#This Row],[Fecha]])/3,0))</f>
        <v>T3</v>
      </c>
      <c r="F770" t="str">
        <f>+CONCATENATE("Sem"," ",ROUNDUP(MONTH(Datos[[#This Row],[Fecha]])/6,0))</f>
        <v>Sem 2</v>
      </c>
      <c r="G770" t="s">
        <v>283</v>
      </c>
      <c r="H770" t="s">
        <v>284</v>
      </c>
      <c r="I770" t="s">
        <v>24</v>
      </c>
      <c r="J770" t="s">
        <v>192</v>
      </c>
      <c r="K770" t="s">
        <v>39</v>
      </c>
      <c r="L770" t="s">
        <v>40</v>
      </c>
      <c r="M770" t="s">
        <v>196</v>
      </c>
      <c r="N770" s="1">
        <v>45181</v>
      </c>
      <c r="O770" s="1">
        <v>45211</v>
      </c>
      <c r="P770" t="s">
        <v>29</v>
      </c>
      <c r="Q770">
        <f>+IF(OR(Datos[[#This Row],[Diagnostico]]="Inservible",Datos[[#This Row],[Estatus]]="Preventivo"),0,Datos[[#This Row],[Fecha_Final]]-Datos[[#This Row],[Día_Inicio]])</f>
        <v>0</v>
      </c>
      <c r="R770" s="2">
        <v>1092</v>
      </c>
      <c r="S770" s="2">
        <v>664</v>
      </c>
      <c r="T770" t="s">
        <v>42</v>
      </c>
    </row>
    <row r="771" spans="1:20" x14ac:dyDescent="0.25">
      <c r="A771" t="s">
        <v>954</v>
      </c>
      <c r="B771" s="1">
        <v>45182</v>
      </c>
      <c r="C771" t="s">
        <v>910</v>
      </c>
      <c r="D771">
        <v>9</v>
      </c>
      <c r="E771" t="str">
        <f>+CONCATENATE("T",ROUNDUP(MONTH(Datos[[#This Row],[Fecha]])/3,0))</f>
        <v>T3</v>
      </c>
      <c r="F771" t="str">
        <f>+CONCATENATE("Sem"," ",ROUNDUP(MONTH(Datos[[#This Row],[Fecha]])/6,0))</f>
        <v>Sem 2</v>
      </c>
      <c r="G771" t="s">
        <v>206</v>
      </c>
      <c r="H771" t="s">
        <v>207</v>
      </c>
      <c r="I771" t="s">
        <v>24</v>
      </c>
      <c r="J771" t="s">
        <v>160</v>
      </c>
      <c r="K771" t="s">
        <v>85</v>
      </c>
      <c r="L771" t="s">
        <v>27</v>
      </c>
      <c r="M771">
        <v>0</v>
      </c>
      <c r="N771" s="1">
        <v>45182</v>
      </c>
      <c r="O771" s="1">
        <v>45206</v>
      </c>
      <c r="P771" t="s">
        <v>58</v>
      </c>
      <c r="Q771">
        <f>+IF(OR(Datos[[#This Row],[Diagnostico]]="Inservible",Datos[[#This Row],[Estatus]]="Preventivo"),0,Datos[[#This Row],[Fecha_Final]]-Datos[[#This Row],[Día_Inicio]])</f>
        <v>24</v>
      </c>
      <c r="R771" s="2">
        <v>664</v>
      </c>
      <c r="S771" s="2">
        <v>866</v>
      </c>
      <c r="T771" t="s">
        <v>42</v>
      </c>
    </row>
    <row r="772" spans="1:20" x14ac:dyDescent="0.25">
      <c r="A772" t="s">
        <v>955</v>
      </c>
      <c r="B772" s="1">
        <v>45182</v>
      </c>
      <c r="C772" t="s">
        <v>910</v>
      </c>
      <c r="D772">
        <v>9</v>
      </c>
      <c r="E772" t="str">
        <f>+CONCATENATE("T",ROUNDUP(MONTH(Datos[[#This Row],[Fecha]])/3,0))</f>
        <v>T3</v>
      </c>
      <c r="F772" t="str">
        <f>+CONCATENATE("Sem"," ",ROUNDUP(MONTH(Datos[[#This Row],[Fecha]])/6,0))</f>
        <v>Sem 2</v>
      </c>
      <c r="G772" t="s">
        <v>158</v>
      </c>
      <c r="H772" t="s">
        <v>159</v>
      </c>
      <c r="I772" t="s">
        <v>101</v>
      </c>
      <c r="J772" t="s">
        <v>160</v>
      </c>
      <c r="K772" t="s">
        <v>39</v>
      </c>
      <c r="L772" t="s">
        <v>40</v>
      </c>
      <c r="M772" t="s">
        <v>196</v>
      </c>
      <c r="N772" s="1">
        <v>45182</v>
      </c>
      <c r="O772" s="1">
        <v>45212</v>
      </c>
      <c r="P772" t="s">
        <v>29</v>
      </c>
      <c r="Q772">
        <f>+IF(OR(Datos[[#This Row],[Diagnostico]]="Inservible",Datos[[#This Row],[Estatus]]="Preventivo"),0,Datos[[#This Row],[Fecha_Final]]-Datos[[#This Row],[Día_Inicio]])</f>
        <v>0</v>
      </c>
      <c r="R772" s="2">
        <v>1179</v>
      </c>
      <c r="S772" s="2">
        <v>710</v>
      </c>
      <c r="T772" t="s">
        <v>42</v>
      </c>
    </row>
    <row r="773" spans="1:20" x14ac:dyDescent="0.25">
      <c r="A773" t="s">
        <v>956</v>
      </c>
      <c r="B773" s="1">
        <v>45182</v>
      </c>
      <c r="C773" t="s">
        <v>910</v>
      </c>
      <c r="D773">
        <v>9</v>
      </c>
      <c r="E773" t="str">
        <f>+CONCATENATE("T",ROUNDUP(MONTH(Datos[[#This Row],[Fecha]])/3,0))</f>
        <v>T3</v>
      </c>
      <c r="F773" t="str">
        <f>+CONCATENATE("Sem"," ",ROUNDUP(MONTH(Datos[[#This Row],[Fecha]])/6,0))</f>
        <v>Sem 2</v>
      </c>
      <c r="G773" t="s">
        <v>99</v>
      </c>
      <c r="H773" t="s">
        <v>100</v>
      </c>
      <c r="I773" t="s">
        <v>101</v>
      </c>
      <c r="J773" t="s">
        <v>102</v>
      </c>
      <c r="K773" t="s">
        <v>172</v>
      </c>
      <c r="L773" t="s">
        <v>27</v>
      </c>
      <c r="M773">
        <v>0</v>
      </c>
      <c r="N773" s="1">
        <v>45182</v>
      </c>
      <c r="O773" s="1">
        <v>45193</v>
      </c>
      <c r="P773" t="s">
        <v>28</v>
      </c>
      <c r="Q773">
        <f>+IF(OR(Datos[[#This Row],[Diagnostico]]="Inservible",Datos[[#This Row],[Estatus]]="Preventivo"),0,Datos[[#This Row],[Fecha_Final]]-Datos[[#This Row],[Día_Inicio]])</f>
        <v>0</v>
      </c>
      <c r="R773" s="2">
        <v>0</v>
      </c>
      <c r="S773" s="2">
        <v>0</v>
      </c>
      <c r="T773" t="s">
        <v>29</v>
      </c>
    </row>
    <row r="774" spans="1:20" x14ac:dyDescent="0.25">
      <c r="A774" t="s">
        <v>957</v>
      </c>
      <c r="B774" s="1">
        <v>45182</v>
      </c>
      <c r="C774" t="s">
        <v>910</v>
      </c>
      <c r="D774">
        <v>9</v>
      </c>
      <c r="E774" t="str">
        <f>+CONCATENATE("T",ROUNDUP(MONTH(Datos[[#This Row],[Fecha]])/3,0))</f>
        <v>T3</v>
      </c>
      <c r="F774" t="str">
        <f>+CONCATENATE("Sem"," ",ROUNDUP(MONTH(Datos[[#This Row],[Fecha]])/6,0))</f>
        <v>Sem 2</v>
      </c>
      <c r="G774" t="s">
        <v>260</v>
      </c>
      <c r="H774" t="s">
        <v>261</v>
      </c>
      <c r="I774" t="s">
        <v>24</v>
      </c>
      <c r="J774" t="s">
        <v>33</v>
      </c>
      <c r="K774" t="s">
        <v>39</v>
      </c>
      <c r="L774" t="s">
        <v>40</v>
      </c>
      <c r="M774" t="s">
        <v>196</v>
      </c>
      <c r="N774" s="1">
        <v>45182</v>
      </c>
      <c r="O774" s="1">
        <v>45212</v>
      </c>
      <c r="P774" t="s">
        <v>29</v>
      </c>
      <c r="Q774">
        <f>+IF(OR(Datos[[#This Row],[Diagnostico]]="Inservible",Datos[[#This Row],[Estatus]]="Preventivo"),0,Datos[[#This Row],[Fecha_Final]]-Datos[[#This Row],[Día_Inicio]])</f>
        <v>0</v>
      </c>
      <c r="R774" s="2">
        <v>427</v>
      </c>
      <c r="S774" s="2">
        <v>145</v>
      </c>
      <c r="T774" t="s">
        <v>42</v>
      </c>
    </row>
    <row r="775" spans="1:20" x14ac:dyDescent="0.25">
      <c r="A775" t="s">
        <v>958</v>
      </c>
      <c r="B775" s="1">
        <v>45183</v>
      </c>
      <c r="C775" t="s">
        <v>910</v>
      </c>
      <c r="D775">
        <v>9</v>
      </c>
      <c r="E775" t="str">
        <f>+CONCATENATE("T",ROUNDUP(MONTH(Datos[[#This Row],[Fecha]])/3,0))</f>
        <v>T3</v>
      </c>
      <c r="F775" t="str">
        <f>+CONCATENATE("Sem"," ",ROUNDUP(MONTH(Datos[[#This Row],[Fecha]])/6,0))</f>
        <v>Sem 2</v>
      </c>
      <c r="G775" t="s">
        <v>215</v>
      </c>
      <c r="H775" t="s">
        <v>216</v>
      </c>
      <c r="I775" t="s">
        <v>24</v>
      </c>
      <c r="J775" t="s">
        <v>50</v>
      </c>
      <c r="K775" t="s">
        <v>178</v>
      </c>
      <c r="L775" t="s">
        <v>27</v>
      </c>
      <c r="M775">
        <v>0</v>
      </c>
      <c r="N775" s="1">
        <v>45183</v>
      </c>
      <c r="O775" s="1">
        <v>45211</v>
      </c>
      <c r="P775" t="s">
        <v>28</v>
      </c>
      <c r="Q775">
        <f>+IF(OR(Datos[[#This Row],[Diagnostico]]="Inservible",Datos[[#This Row],[Estatus]]="Preventivo"),0,Datos[[#This Row],[Fecha_Final]]-Datos[[#This Row],[Día_Inicio]])</f>
        <v>0</v>
      </c>
      <c r="R775" s="2">
        <v>0</v>
      </c>
      <c r="S775" s="2">
        <v>0</v>
      </c>
      <c r="T775" t="s">
        <v>29</v>
      </c>
    </row>
    <row r="776" spans="1:20" x14ac:dyDescent="0.25">
      <c r="A776" t="s">
        <v>959</v>
      </c>
      <c r="B776" s="1">
        <v>45183</v>
      </c>
      <c r="C776" t="s">
        <v>910</v>
      </c>
      <c r="D776">
        <v>9</v>
      </c>
      <c r="E776" t="str">
        <f>+CONCATENATE("T",ROUNDUP(MONTH(Datos[[#This Row],[Fecha]])/3,0))</f>
        <v>T3</v>
      </c>
      <c r="F776" t="str">
        <f>+CONCATENATE("Sem"," ",ROUNDUP(MONTH(Datos[[#This Row],[Fecha]])/6,0))</f>
        <v>Sem 2</v>
      </c>
      <c r="G776" t="s">
        <v>246</v>
      </c>
      <c r="H776" t="s">
        <v>247</v>
      </c>
      <c r="I776" t="s">
        <v>24</v>
      </c>
      <c r="J776" t="s">
        <v>156</v>
      </c>
      <c r="K776" t="s">
        <v>39</v>
      </c>
      <c r="L776" t="s">
        <v>40</v>
      </c>
      <c r="M776" t="s">
        <v>196</v>
      </c>
      <c r="N776" s="1">
        <v>45183</v>
      </c>
      <c r="O776" s="1">
        <v>45213</v>
      </c>
      <c r="P776" t="s">
        <v>29</v>
      </c>
      <c r="Q776">
        <f>+IF(OR(Datos[[#This Row],[Diagnostico]]="Inservible",Datos[[#This Row],[Estatus]]="Preventivo"),0,Datos[[#This Row],[Fecha_Final]]-Datos[[#This Row],[Día_Inicio]])</f>
        <v>0</v>
      </c>
      <c r="R776" s="2">
        <v>1186</v>
      </c>
      <c r="S776" s="2">
        <v>553</v>
      </c>
      <c r="T776" t="s">
        <v>42</v>
      </c>
    </row>
    <row r="777" spans="1:20" x14ac:dyDescent="0.25">
      <c r="A777" t="s">
        <v>960</v>
      </c>
      <c r="B777" s="1">
        <v>45183</v>
      </c>
      <c r="C777" t="s">
        <v>910</v>
      </c>
      <c r="D777">
        <v>9</v>
      </c>
      <c r="E777" t="str">
        <f>+CONCATENATE("T",ROUNDUP(MONTH(Datos[[#This Row],[Fecha]])/3,0))</f>
        <v>T3</v>
      </c>
      <c r="F777" t="str">
        <f>+CONCATENATE("Sem"," ",ROUNDUP(MONTH(Datos[[#This Row],[Fecha]])/6,0))</f>
        <v>Sem 2</v>
      </c>
      <c r="G777" t="s">
        <v>82</v>
      </c>
      <c r="H777" t="s">
        <v>83</v>
      </c>
      <c r="I777" t="s">
        <v>24</v>
      </c>
      <c r="J777" t="s">
        <v>84</v>
      </c>
      <c r="K777" t="s">
        <v>110</v>
      </c>
      <c r="L777" t="s">
        <v>27</v>
      </c>
      <c r="M777">
        <v>0</v>
      </c>
      <c r="N777" s="1">
        <v>45183</v>
      </c>
      <c r="O777" s="1">
        <v>45211</v>
      </c>
      <c r="P777" t="s">
        <v>28</v>
      </c>
      <c r="Q777">
        <f>+IF(OR(Datos[[#This Row],[Diagnostico]]="Inservible",Datos[[#This Row],[Estatus]]="Preventivo"),0,Datos[[#This Row],[Fecha_Final]]-Datos[[#This Row],[Día_Inicio]])</f>
        <v>0</v>
      </c>
      <c r="R777" s="2">
        <v>0</v>
      </c>
      <c r="S777" s="2">
        <v>0</v>
      </c>
      <c r="T777" t="s">
        <v>29</v>
      </c>
    </row>
    <row r="778" spans="1:20" x14ac:dyDescent="0.25">
      <c r="A778" t="s">
        <v>961</v>
      </c>
      <c r="B778" s="1">
        <v>45183</v>
      </c>
      <c r="C778" t="s">
        <v>910</v>
      </c>
      <c r="D778">
        <v>9</v>
      </c>
      <c r="E778" t="str">
        <f>+CONCATENATE("T",ROUNDUP(MONTH(Datos[[#This Row],[Fecha]])/3,0))</f>
        <v>T3</v>
      </c>
      <c r="F778" t="str">
        <f>+CONCATENATE("Sem"," ",ROUNDUP(MONTH(Datos[[#This Row],[Fecha]])/6,0))</f>
        <v>Sem 2</v>
      </c>
      <c r="G778" t="s">
        <v>141</v>
      </c>
      <c r="H778" t="s">
        <v>142</v>
      </c>
      <c r="I778" t="s">
        <v>24</v>
      </c>
      <c r="J778" t="s">
        <v>143</v>
      </c>
      <c r="K778" t="s">
        <v>114</v>
      </c>
      <c r="L778" t="s">
        <v>27</v>
      </c>
      <c r="M778">
        <v>0</v>
      </c>
      <c r="N778" s="1">
        <v>45183</v>
      </c>
      <c r="O778" s="1">
        <v>45202</v>
      </c>
      <c r="P778" t="s">
        <v>58</v>
      </c>
      <c r="Q778">
        <f>+IF(OR(Datos[[#This Row],[Diagnostico]]="Inservible",Datos[[#This Row],[Estatus]]="Preventivo"),0,Datos[[#This Row],[Fecha_Final]]-Datos[[#This Row],[Día_Inicio]])</f>
        <v>19</v>
      </c>
      <c r="R778" s="2">
        <v>860</v>
      </c>
      <c r="S778" s="2">
        <v>212</v>
      </c>
      <c r="T778" t="s">
        <v>64</v>
      </c>
    </row>
    <row r="779" spans="1:20" x14ac:dyDescent="0.25">
      <c r="A779" t="s">
        <v>962</v>
      </c>
      <c r="B779" s="1">
        <v>45184</v>
      </c>
      <c r="C779" t="s">
        <v>910</v>
      </c>
      <c r="D779">
        <v>9</v>
      </c>
      <c r="E779" t="str">
        <f>+CONCATENATE("T",ROUNDUP(MONTH(Datos[[#This Row],[Fecha]])/3,0))</f>
        <v>T3</v>
      </c>
      <c r="F779" t="str">
        <f>+CONCATENATE("Sem"," ",ROUNDUP(MONTH(Datos[[#This Row],[Fecha]])/6,0))</f>
        <v>Sem 2</v>
      </c>
      <c r="G779" t="s">
        <v>66</v>
      </c>
      <c r="H779" t="s">
        <v>67</v>
      </c>
      <c r="I779" t="s">
        <v>68</v>
      </c>
      <c r="J779" t="s">
        <v>69</v>
      </c>
      <c r="K779" t="s">
        <v>119</v>
      </c>
      <c r="L779" t="s">
        <v>27</v>
      </c>
      <c r="M779">
        <v>0</v>
      </c>
      <c r="N779" s="1">
        <v>45184</v>
      </c>
      <c r="O779" s="1">
        <v>45210</v>
      </c>
      <c r="P779" t="s">
        <v>28</v>
      </c>
      <c r="Q779">
        <f>+IF(OR(Datos[[#This Row],[Diagnostico]]="Inservible",Datos[[#This Row],[Estatus]]="Preventivo"),0,Datos[[#This Row],[Fecha_Final]]-Datos[[#This Row],[Día_Inicio]])</f>
        <v>0</v>
      </c>
      <c r="R779" s="2">
        <v>0</v>
      </c>
      <c r="S779" s="2">
        <v>0</v>
      </c>
      <c r="T779" t="s">
        <v>29</v>
      </c>
    </row>
    <row r="780" spans="1:20" x14ac:dyDescent="0.25">
      <c r="A780" t="s">
        <v>963</v>
      </c>
      <c r="B780" s="1">
        <v>45184</v>
      </c>
      <c r="C780" t="s">
        <v>910</v>
      </c>
      <c r="D780">
        <v>9</v>
      </c>
      <c r="E780" t="str">
        <f>+CONCATENATE("T",ROUNDUP(MONTH(Datos[[#This Row],[Fecha]])/3,0))</f>
        <v>T3</v>
      </c>
      <c r="F780" t="str">
        <f>+CONCATENATE("Sem"," ",ROUNDUP(MONTH(Datos[[#This Row],[Fecha]])/6,0))</f>
        <v>Sem 2</v>
      </c>
      <c r="G780" t="s">
        <v>190</v>
      </c>
      <c r="H780" t="s">
        <v>191</v>
      </c>
      <c r="I780" t="s">
        <v>24</v>
      </c>
      <c r="J780" t="s">
        <v>192</v>
      </c>
      <c r="K780" t="s">
        <v>123</v>
      </c>
      <c r="L780" t="s">
        <v>27</v>
      </c>
      <c r="M780">
        <v>0</v>
      </c>
      <c r="N780" s="1">
        <v>45184</v>
      </c>
      <c r="O780" s="1">
        <v>45188</v>
      </c>
      <c r="P780" t="s">
        <v>58</v>
      </c>
      <c r="Q780">
        <f>+IF(OR(Datos[[#This Row],[Diagnostico]]="Inservible",Datos[[#This Row],[Estatus]]="Preventivo"),0,Datos[[#This Row],[Fecha_Final]]-Datos[[#This Row],[Día_Inicio]])</f>
        <v>4</v>
      </c>
      <c r="R780" s="2">
        <v>289</v>
      </c>
      <c r="S780" s="2">
        <v>188</v>
      </c>
      <c r="T780" t="s">
        <v>59</v>
      </c>
    </row>
    <row r="781" spans="1:20" x14ac:dyDescent="0.25">
      <c r="A781" t="s">
        <v>964</v>
      </c>
      <c r="B781" s="1">
        <v>45184</v>
      </c>
      <c r="C781" t="s">
        <v>910</v>
      </c>
      <c r="D781">
        <v>9</v>
      </c>
      <c r="E781" t="str">
        <f>+CONCATENATE("T",ROUNDUP(MONTH(Datos[[#This Row],[Fecha]])/3,0))</f>
        <v>T3</v>
      </c>
      <c r="F781" t="str">
        <f>+CONCATENATE("Sem"," ",ROUNDUP(MONTH(Datos[[#This Row],[Fecha]])/6,0))</f>
        <v>Sem 2</v>
      </c>
      <c r="G781" t="s">
        <v>121</v>
      </c>
      <c r="H781" t="s">
        <v>122</v>
      </c>
      <c r="I781" t="s">
        <v>24</v>
      </c>
      <c r="J781" t="s">
        <v>102</v>
      </c>
      <c r="K781" t="s">
        <v>128</v>
      </c>
      <c r="L781" t="s">
        <v>27</v>
      </c>
      <c r="M781">
        <v>0</v>
      </c>
      <c r="N781" s="1">
        <v>45184</v>
      </c>
      <c r="O781" s="1">
        <v>45191</v>
      </c>
      <c r="P781" t="s">
        <v>58</v>
      </c>
      <c r="Q781">
        <f>+IF(OR(Datos[[#This Row],[Diagnostico]]="Inservible",Datos[[#This Row],[Estatus]]="Preventivo"),0,Datos[[#This Row],[Fecha_Final]]-Datos[[#This Row],[Día_Inicio]])</f>
        <v>7</v>
      </c>
      <c r="R781" s="2">
        <v>1028</v>
      </c>
      <c r="S781" s="2">
        <v>577</v>
      </c>
      <c r="T781" t="s">
        <v>42</v>
      </c>
    </row>
    <row r="782" spans="1:20" x14ac:dyDescent="0.25">
      <c r="A782" t="s">
        <v>965</v>
      </c>
      <c r="B782" s="1">
        <v>45184</v>
      </c>
      <c r="C782" t="s">
        <v>910</v>
      </c>
      <c r="D782">
        <v>9</v>
      </c>
      <c r="E782" t="str">
        <f>+CONCATENATE("T",ROUNDUP(MONTH(Datos[[#This Row],[Fecha]])/3,0))</f>
        <v>T3</v>
      </c>
      <c r="F782" t="str">
        <f>+CONCATENATE("Sem"," ",ROUNDUP(MONTH(Datos[[#This Row],[Fecha]])/6,0))</f>
        <v>Sem 2</v>
      </c>
      <c r="G782" t="s">
        <v>22</v>
      </c>
      <c r="H782" t="s">
        <v>23</v>
      </c>
      <c r="I782" t="s">
        <v>24</v>
      </c>
      <c r="J782" t="s">
        <v>25</v>
      </c>
      <c r="K782" t="s">
        <v>130</v>
      </c>
      <c r="L782" t="s">
        <v>27</v>
      </c>
      <c r="M782">
        <v>0</v>
      </c>
      <c r="N782" s="1">
        <v>45184</v>
      </c>
      <c r="O782" s="1">
        <v>45209</v>
      </c>
      <c r="P782" t="s">
        <v>58</v>
      </c>
      <c r="Q782">
        <f>+IF(OR(Datos[[#This Row],[Diagnostico]]="Inservible",Datos[[#This Row],[Estatus]]="Preventivo"),0,Datos[[#This Row],[Fecha_Final]]-Datos[[#This Row],[Día_Inicio]])</f>
        <v>25</v>
      </c>
      <c r="R782" s="2">
        <v>1097</v>
      </c>
      <c r="S782" s="2">
        <v>198</v>
      </c>
      <c r="T782" t="s">
        <v>91</v>
      </c>
    </row>
    <row r="783" spans="1:20" x14ac:dyDescent="0.25">
      <c r="A783" t="s">
        <v>966</v>
      </c>
      <c r="B783" s="1">
        <v>45185</v>
      </c>
      <c r="C783" t="s">
        <v>910</v>
      </c>
      <c r="D783">
        <v>9</v>
      </c>
      <c r="E783" t="str">
        <f>+CONCATENATE("T",ROUNDUP(MONTH(Datos[[#This Row],[Fecha]])/3,0))</f>
        <v>T3</v>
      </c>
      <c r="F783" t="str">
        <f>+CONCATENATE("Sem"," ",ROUNDUP(MONTH(Datos[[#This Row],[Fecha]])/6,0))</f>
        <v>Sem 2</v>
      </c>
      <c r="G783" t="s">
        <v>190</v>
      </c>
      <c r="H783" t="s">
        <v>191</v>
      </c>
      <c r="I783" t="s">
        <v>24</v>
      </c>
      <c r="J783" t="s">
        <v>192</v>
      </c>
      <c r="K783" t="s">
        <v>135</v>
      </c>
      <c r="L783" t="s">
        <v>27</v>
      </c>
      <c r="M783">
        <v>0</v>
      </c>
      <c r="N783" s="1">
        <v>45185</v>
      </c>
      <c r="O783" s="1">
        <v>45187</v>
      </c>
      <c r="P783" t="s">
        <v>58</v>
      </c>
      <c r="Q783">
        <f>+IF(OR(Datos[[#This Row],[Diagnostico]]="Inservible",Datos[[#This Row],[Estatus]]="Preventivo"),0,Datos[[#This Row],[Fecha_Final]]-Datos[[#This Row],[Día_Inicio]])</f>
        <v>2</v>
      </c>
      <c r="R783" s="2">
        <v>793</v>
      </c>
      <c r="S783" s="2">
        <v>509</v>
      </c>
      <c r="T783" t="s">
        <v>64</v>
      </c>
    </row>
    <row r="784" spans="1:20" x14ac:dyDescent="0.25">
      <c r="A784" t="s">
        <v>967</v>
      </c>
      <c r="B784" s="1">
        <v>45185</v>
      </c>
      <c r="C784" t="s">
        <v>910</v>
      </c>
      <c r="D784">
        <v>9</v>
      </c>
      <c r="E784" t="str">
        <f>+CONCATENATE("T",ROUNDUP(MONTH(Datos[[#This Row],[Fecha]])/3,0))</f>
        <v>T3</v>
      </c>
      <c r="F784" t="str">
        <f>+CONCATENATE("Sem"," ",ROUNDUP(MONTH(Datos[[#This Row],[Fecha]])/6,0))</f>
        <v>Sem 2</v>
      </c>
      <c r="G784" t="s">
        <v>87</v>
      </c>
      <c r="H784" t="s">
        <v>88</v>
      </c>
      <c r="I784" t="s">
        <v>68</v>
      </c>
      <c r="J784" t="s">
        <v>89</v>
      </c>
      <c r="K784" t="s">
        <v>26</v>
      </c>
      <c r="L784" t="s">
        <v>27</v>
      </c>
      <c r="M784">
        <v>0</v>
      </c>
      <c r="N784" s="1">
        <v>45185</v>
      </c>
      <c r="O784" s="1">
        <v>45202</v>
      </c>
      <c r="P784" t="s">
        <v>28</v>
      </c>
      <c r="Q784">
        <f>+IF(OR(Datos[[#This Row],[Diagnostico]]="Inservible",Datos[[#This Row],[Estatus]]="Preventivo"),0,Datos[[#This Row],[Fecha_Final]]-Datos[[#This Row],[Día_Inicio]])</f>
        <v>0</v>
      </c>
      <c r="R784" s="2">
        <v>0</v>
      </c>
      <c r="S784" s="2">
        <v>0</v>
      </c>
      <c r="T784" t="s">
        <v>29</v>
      </c>
    </row>
    <row r="785" spans="1:20" x14ac:dyDescent="0.25">
      <c r="A785" t="s">
        <v>968</v>
      </c>
      <c r="B785" s="1">
        <v>45187</v>
      </c>
      <c r="C785" t="s">
        <v>910</v>
      </c>
      <c r="D785">
        <v>9</v>
      </c>
      <c r="E785" t="str">
        <f>+CONCATENATE("T",ROUNDUP(MONTH(Datos[[#This Row],[Fecha]])/3,0))</f>
        <v>T3</v>
      </c>
      <c r="F785" t="str">
        <f>+CONCATENATE("Sem"," ",ROUNDUP(MONTH(Datos[[#This Row],[Fecha]])/6,0))</f>
        <v>Sem 2</v>
      </c>
      <c r="G785" t="s">
        <v>331</v>
      </c>
      <c r="H785" t="s">
        <v>332</v>
      </c>
      <c r="I785" t="s">
        <v>68</v>
      </c>
      <c r="J785" t="s">
        <v>74</v>
      </c>
      <c r="K785" t="s">
        <v>34</v>
      </c>
      <c r="L785" t="s">
        <v>27</v>
      </c>
      <c r="M785">
        <v>0</v>
      </c>
      <c r="N785" s="1">
        <v>45187</v>
      </c>
      <c r="O785" s="1">
        <v>45213</v>
      </c>
      <c r="P785" t="s">
        <v>58</v>
      </c>
      <c r="Q785">
        <f>+IF(OR(Datos[[#This Row],[Diagnostico]]="Inservible",Datos[[#This Row],[Estatus]]="Preventivo"),0,Datos[[#This Row],[Fecha_Final]]-Datos[[#This Row],[Día_Inicio]])</f>
        <v>26</v>
      </c>
      <c r="R785" s="2">
        <v>360</v>
      </c>
      <c r="S785" s="2">
        <v>400</v>
      </c>
      <c r="T785" t="s">
        <v>59</v>
      </c>
    </row>
    <row r="786" spans="1:20" x14ac:dyDescent="0.25">
      <c r="A786" t="s">
        <v>969</v>
      </c>
      <c r="B786" s="1">
        <v>45188</v>
      </c>
      <c r="C786" t="s">
        <v>910</v>
      </c>
      <c r="D786">
        <v>9</v>
      </c>
      <c r="E786" t="str">
        <f>+CONCATENATE("T",ROUNDUP(MONTH(Datos[[#This Row],[Fecha]])/3,0))</f>
        <v>T3</v>
      </c>
      <c r="F786" t="str">
        <f>+CONCATENATE("Sem"," ",ROUNDUP(MONTH(Datos[[#This Row],[Fecha]])/6,0))</f>
        <v>Sem 2</v>
      </c>
      <c r="G786" t="s">
        <v>286</v>
      </c>
      <c r="H786" t="s">
        <v>287</v>
      </c>
      <c r="I786" t="s">
        <v>24</v>
      </c>
      <c r="J786" t="s">
        <v>38</v>
      </c>
      <c r="K786" t="s">
        <v>39</v>
      </c>
      <c r="L786" t="s">
        <v>40</v>
      </c>
      <c r="M786" t="s">
        <v>208</v>
      </c>
      <c r="N786" s="1">
        <v>45188</v>
      </c>
      <c r="O786" s="1">
        <v>45195</v>
      </c>
      <c r="P786" t="s">
        <v>29</v>
      </c>
      <c r="Q786">
        <f>+IF(OR(Datos[[#This Row],[Diagnostico]]="Inservible",Datos[[#This Row],[Estatus]]="Preventivo"),0,Datos[[#This Row],[Fecha_Final]]-Datos[[#This Row],[Día_Inicio]])</f>
        <v>0</v>
      </c>
      <c r="R786" s="2">
        <v>914</v>
      </c>
      <c r="S786" s="2">
        <v>768</v>
      </c>
      <c r="T786" t="s">
        <v>42</v>
      </c>
    </row>
    <row r="787" spans="1:20" x14ac:dyDescent="0.25">
      <c r="A787" t="s">
        <v>970</v>
      </c>
      <c r="B787" s="1">
        <v>45188</v>
      </c>
      <c r="C787" t="s">
        <v>910</v>
      </c>
      <c r="D787">
        <v>9</v>
      </c>
      <c r="E787" t="str">
        <f>+CONCATENATE("T",ROUNDUP(MONTH(Datos[[#This Row],[Fecha]])/3,0))</f>
        <v>T3</v>
      </c>
      <c r="F787" t="str">
        <f>+CONCATENATE("Sem"," ",ROUNDUP(MONTH(Datos[[#This Row],[Fecha]])/6,0))</f>
        <v>Sem 2</v>
      </c>
      <c r="G787" t="s">
        <v>335</v>
      </c>
      <c r="H787" t="s">
        <v>336</v>
      </c>
      <c r="I787" t="s">
        <v>24</v>
      </c>
      <c r="J787" t="s">
        <v>118</v>
      </c>
      <c r="K787" t="s">
        <v>47</v>
      </c>
      <c r="L787" t="s">
        <v>27</v>
      </c>
      <c r="M787">
        <v>0</v>
      </c>
      <c r="N787" s="1">
        <v>45188</v>
      </c>
      <c r="O787" s="1">
        <v>45202</v>
      </c>
      <c r="P787" t="s">
        <v>28</v>
      </c>
      <c r="Q787">
        <f>+IF(OR(Datos[[#This Row],[Diagnostico]]="Inservible",Datos[[#This Row],[Estatus]]="Preventivo"),0,Datos[[#This Row],[Fecha_Final]]-Datos[[#This Row],[Día_Inicio]])</f>
        <v>0</v>
      </c>
      <c r="R787" s="2">
        <v>0</v>
      </c>
      <c r="S787" s="2">
        <v>0</v>
      </c>
      <c r="T787" t="s">
        <v>29</v>
      </c>
    </row>
    <row r="788" spans="1:20" x14ac:dyDescent="0.25">
      <c r="A788" t="s">
        <v>971</v>
      </c>
      <c r="B788" s="1">
        <v>45188</v>
      </c>
      <c r="C788" t="s">
        <v>910</v>
      </c>
      <c r="D788">
        <v>9</v>
      </c>
      <c r="E788" t="str">
        <f>+CONCATENATE("T",ROUNDUP(MONTH(Datos[[#This Row],[Fecha]])/3,0))</f>
        <v>T3</v>
      </c>
      <c r="F788" t="str">
        <f>+CONCATENATE("Sem"," ",ROUNDUP(MONTH(Datos[[#This Row],[Fecha]])/6,0))</f>
        <v>Sem 2</v>
      </c>
      <c r="G788" t="s">
        <v>53</v>
      </c>
      <c r="H788" t="s">
        <v>54</v>
      </c>
      <c r="I788" t="s">
        <v>55</v>
      </c>
      <c r="J788" t="s">
        <v>56</v>
      </c>
      <c r="K788" t="s">
        <v>39</v>
      </c>
      <c r="L788" t="s">
        <v>40</v>
      </c>
      <c r="M788" t="s">
        <v>208</v>
      </c>
      <c r="N788" s="1">
        <v>45188</v>
      </c>
      <c r="O788" s="1">
        <v>45195</v>
      </c>
      <c r="P788" t="s">
        <v>29</v>
      </c>
      <c r="Q788">
        <f>+IF(OR(Datos[[#This Row],[Diagnostico]]="Inservible",Datos[[#This Row],[Estatus]]="Preventivo"),0,Datos[[#This Row],[Fecha_Final]]-Datos[[#This Row],[Día_Inicio]])</f>
        <v>0</v>
      </c>
      <c r="R788" s="2">
        <v>816</v>
      </c>
      <c r="S788" s="2">
        <v>611</v>
      </c>
      <c r="T788" t="s">
        <v>42</v>
      </c>
    </row>
    <row r="789" spans="1:20" x14ac:dyDescent="0.25">
      <c r="A789" t="s">
        <v>972</v>
      </c>
      <c r="B789" s="1">
        <v>45188</v>
      </c>
      <c r="C789" t="s">
        <v>910</v>
      </c>
      <c r="D789">
        <v>9</v>
      </c>
      <c r="E789" t="str">
        <f>+CONCATENATE("T",ROUNDUP(MONTH(Datos[[#This Row],[Fecha]])/3,0))</f>
        <v>T3</v>
      </c>
      <c r="F789" t="str">
        <f>+CONCATENATE("Sem"," ",ROUNDUP(MONTH(Datos[[#This Row],[Fecha]])/6,0))</f>
        <v>Sem 2</v>
      </c>
      <c r="G789" t="s">
        <v>183</v>
      </c>
      <c r="H789" t="s">
        <v>184</v>
      </c>
      <c r="I789" t="s">
        <v>24</v>
      </c>
      <c r="J789" t="s">
        <v>139</v>
      </c>
      <c r="K789" t="s">
        <v>57</v>
      </c>
      <c r="L789" t="s">
        <v>27</v>
      </c>
      <c r="M789">
        <v>0</v>
      </c>
      <c r="N789" s="1">
        <v>45188</v>
      </c>
      <c r="O789" s="1">
        <v>45193</v>
      </c>
      <c r="P789" t="s">
        <v>28</v>
      </c>
      <c r="Q789">
        <f>+IF(OR(Datos[[#This Row],[Diagnostico]]="Inservible",Datos[[#This Row],[Estatus]]="Preventivo"),0,Datos[[#This Row],[Fecha_Final]]-Datos[[#This Row],[Día_Inicio]])</f>
        <v>0</v>
      </c>
      <c r="R789" s="2">
        <v>0</v>
      </c>
      <c r="S789" s="2">
        <v>0</v>
      </c>
      <c r="T789" t="s">
        <v>29</v>
      </c>
    </row>
    <row r="790" spans="1:20" x14ac:dyDescent="0.25">
      <c r="A790" t="s">
        <v>973</v>
      </c>
      <c r="B790" s="1">
        <v>45188</v>
      </c>
      <c r="C790" t="s">
        <v>910</v>
      </c>
      <c r="D790">
        <v>9</v>
      </c>
      <c r="E790" t="str">
        <f>+CONCATENATE("T",ROUNDUP(MONTH(Datos[[#This Row],[Fecha]])/3,0))</f>
        <v>T3</v>
      </c>
      <c r="F790" t="str">
        <f>+CONCATENATE("Sem"," ",ROUNDUP(MONTH(Datos[[#This Row],[Fecha]])/6,0))</f>
        <v>Sem 2</v>
      </c>
      <c r="G790" t="s">
        <v>99</v>
      </c>
      <c r="H790" t="s">
        <v>100</v>
      </c>
      <c r="I790" t="s">
        <v>101</v>
      </c>
      <c r="J790" t="s">
        <v>102</v>
      </c>
      <c r="K790" t="s">
        <v>39</v>
      </c>
      <c r="L790" t="s">
        <v>40</v>
      </c>
      <c r="M790" t="s">
        <v>41</v>
      </c>
      <c r="N790" s="1">
        <v>45188</v>
      </c>
      <c r="O790" s="1">
        <v>45278</v>
      </c>
      <c r="P790" t="s">
        <v>29</v>
      </c>
      <c r="Q790">
        <f>+IF(OR(Datos[[#This Row],[Diagnostico]]="Inservible",Datos[[#This Row],[Estatus]]="Preventivo"),0,Datos[[#This Row],[Fecha_Final]]-Datos[[#This Row],[Día_Inicio]])</f>
        <v>0</v>
      </c>
      <c r="R790" s="2">
        <v>457</v>
      </c>
      <c r="S790" s="2">
        <v>713</v>
      </c>
      <c r="T790" t="s">
        <v>42</v>
      </c>
    </row>
    <row r="791" spans="1:20" x14ac:dyDescent="0.25">
      <c r="A791" t="s">
        <v>974</v>
      </c>
      <c r="B791" s="1">
        <v>45189</v>
      </c>
      <c r="C791" t="s">
        <v>910</v>
      </c>
      <c r="D791">
        <v>9</v>
      </c>
      <c r="E791" t="str">
        <f>+CONCATENATE("T",ROUNDUP(MONTH(Datos[[#This Row],[Fecha]])/3,0))</f>
        <v>T3</v>
      </c>
      <c r="F791" t="str">
        <f>+CONCATENATE("Sem"," ",ROUNDUP(MONTH(Datos[[#This Row],[Fecha]])/6,0))</f>
        <v>Sem 2</v>
      </c>
      <c r="G791" t="s">
        <v>246</v>
      </c>
      <c r="H791" t="s">
        <v>247</v>
      </c>
      <c r="I791" t="s">
        <v>24</v>
      </c>
      <c r="J791" t="s">
        <v>156</v>
      </c>
      <c r="K791" t="s">
        <v>70</v>
      </c>
      <c r="L791" t="s">
        <v>27</v>
      </c>
      <c r="M791">
        <v>0</v>
      </c>
      <c r="N791" s="1">
        <v>45189</v>
      </c>
      <c r="O791" s="1">
        <v>45197</v>
      </c>
      <c r="P791" t="s">
        <v>28</v>
      </c>
      <c r="Q791">
        <f>+IF(OR(Datos[[#This Row],[Diagnostico]]="Inservible",Datos[[#This Row],[Estatus]]="Preventivo"),0,Datos[[#This Row],[Fecha_Final]]-Datos[[#This Row],[Día_Inicio]])</f>
        <v>0</v>
      </c>
      <c r="R791" s="2">
        <v>0</v>
      </c>
      <c r="S791" s="2">
        <v>0</v>
      </c>
      <c r="T791" t="s">
        <v>29</v>
      </c>
    </row>
    <row r="792" spans="1:20" x14ac:dyDescent="0.25">
      <c r="A792" t="s">
        <v>975</v>
      </c>
      <c r="B792" s="1">
        <v>45189</v>
      </c>
      <c r="C792" t="s">
        <v>910</v>
      </c>
      <c r="D792">
        <v>9</v>
      </c>
      <c r="E792" t="str">
        <f>+CONCATENATE("T",ROUNDUP(MONTH(Datos[[#This Row],[Fecha]])/3,0))</f>
        <v>T3</v>
      </c>
      <c r="F792" t="str">
        <f>+CONCATENATE("Sem"," ",ROUNDUP(MONTH(Datos[[#This Row],[Fecha]])/6,0))</f>
        <v>Sem 2</v>
      </c>
      <c r="G792" t="s">
        <v>206</v>
      </c>
      <c r="H792" t="s">
        <v>207</v>
      </c>
      <c r="I792" t="s">
        <v>24</v>
      </c>
      <c r="J792" t="s">
        <v>160</v>
      </c>
      <c r="K792" t="s">
        <v>39</v>
      </c>
      <c r="L792" t="s">
        <v>40</v>
      </c>
      <c r="M792" t="s">
        <v>196</v>
      </c>
      <c r="N792" s="1">
        <v>45189</v>
      </c>
      <c r="O792" s="1">
        <v>45219</v>
      </c>
      <c r="P792" t="s">
        <v>29</v>
      </c>
      <c r="Q792">
        <f>+IF(OR(Datos[[#This Row],[Diagnostico]]="Inservible",Datos[[#This Row],[Estatus]]="Preventivo"),0,Datos[[#This Row],[Fecha_Final]]-Datos[[#This Row],[Día_Inicio]])</f>
        <v>0</v>
      </c>
      <c r="R792" s="2">
        <v>678</v>
      </c>
      <c r="S792" s="2">
        <v>720</v>
      </c>
      <c r="T792" t="s">
        <v>42</v>
      </c>
    </row>
    <row r="793" spans="1:20" x14ac:dyDescent="0.25">
      <c r="A793" t="s">
        <v>976</v>
      </c>
      <c r="B793" s="1">
        <v>45189</v>
      </c>
      <c r="C793" t="s">
        <v>910</v>
      </c>
      <c r="D793">
        <v>9</v>
      </c>
      <c r="E793" t="str">
        <f>+CONCATENATE("T",ROUNDUP(MONTH(Datos[[#This Row],[Fecha]])/3,0))</f>
        <v>T3</v>
      </c>
      <c r="F793" t="str">
        <f>+CONCATENATE("Sem"," ",ROUNDUP(MONTH(Datos[[#This Row],[Fecha]])/6,0))</f>
        <v>Sem 2</v>
      </c>
      <c r="G793" t="s">
        <v>121</v>
      </c>
      <c r="H793" t="s">
        <v>122</v>
      </c>
      <c r="I793" t="s">
        <v>24</v>
      </c>
      <c r="J793" t="s">
        <v>102</v>
      </c>
      <c r="K793" t="s">
        <v>80</v>
      </c>
      <c r="L793" t="s">
        <v>27</v>
      </c>
      <c r="M793">
        <v>0</v>
      </c>
      <c r="N793" s="1">
        <v>45189</v>
      </c>
      <c r="O793" s="1">
        <v>45215</v>
      </c>
      <c r="P793" t="s">
        <v>28</v>
      </c>
      <c r="Q793">
        <f>+IF(OR(Datos[[#This Row],[Diagnostico]]="Inservible",Datos[[#This Row],[Estatus]]="Preventivo"),0,Datos[[#This Row],[Fecha_Final]]-Datos[[#This Row],[Día_Inicio]])</f>
        <v>0</v>
      </c>
      <c r="R793" s="2">
        <v>0</v>
      </c>
      <c r="S793" s="2">
        <v>0</v>
      </c>
      <c r="T793" t="s">
        <v>29</v>
      </c>
    </row>
    <row r="794" spans="1:20" x14ac:dyDescent="0.25">
      <c r="A794" t="s">
        <v>977</v>
      </c>
      <c r="B794" s="1">
        <v>45189</v>
      </c>
      <c r="C794" t="s">
        <v>910</v>
      </c>
      <c r="D794">
        <v>9</v>
      </c>
      <c r="E794" t="str">
        <f>+CONCATENATE("T",ROUNDUP(MONTH(Datos[[#This Row],[Fecha]])/3,0))</f>
        <v>T3</v>
      </c>
      <c r="F794" t="str">
        <f>+CONCATENATE("Sem"," ",ROUNDUP(MONTH(Datos[[#This Row],[Fecha]])/6,0))</f>
        <v>Sem 2</v>
      </c>
      <c r="G794" t="s">
        <v>215</v>
      </c>
      <c r="H794" t="s">
        <v>216</v>
      </c>
      <c r="I794" t="s">
        <v>24</v>
      </c>
      <c r="J794" t="s">
        <v>50</v>
      </c>
      <c r="K794" t="s">
        <v>85</v>
      </c>
      <c r="L794" t="s">
        <v>27</v>
      </c>
      <c r="M794">
        <v>0</v>
      </c>
      <c r="N794" s="1">
        <v>45189</v>
      </c>
      <c r="O794" s="1">
        <v>45218</v>
      </c>
      <c r="P794" t="s">
        <v>58</v>
      </c>
      <c r="Q794">
        <f>+IF(OR(Datos[[#This Row],[Diagnostico]]="Inservible",Datos[[#This Row],[Estatus]]="Preventivo"),0,Datos[[#This Row],[Fecha_Final]]-Datos[[#This Row],[Día_Inicio]])</f>
        <v>29</v>
      </c>
      <c r="R794" s="2">
        <v>904</v>
      </c>
      <c r="S794" s="2">
        <v>435</v>
      </c>
      <c r="T794" t="s">
        <v>91</v>
      </c>
    </row>
    <row r="795" spans="1:20" x14ac:dyDescent="0.25">
      <c r="A795" t="s">
        <v>978</v>
      </c>
      <c r="B795" s="1">
        <v>45189</v>
      </c>
      <c r="C795" t="s">
        <v>910</v>
      </c>
      <c r="D795">
        <v>9</v>
      </c>
      <c r="E795" t="str">
        <f>+CONCATENATE("T",ROUNDUP(MONTH(Datos[[#This Row],[Fecha]])/3,0))</f>
        <v>T3</v>
      </c>
      <c r="F795" t="str">
        <f>+CONCATENATE("Sem"," ",ROUNDUP(MONTH(Datos[[#This Row],[Fecha]])/6,0))</f>
        <v>Sem 2</v>
      </c>
      <c r="G795" t="s">
        <v>141</v>
      </c>
      <c r="H795" t="s">
        <v>142</v>
      </c>
      <c r="I795" t="s">
        <v>24</v>
      </c>
      <c r="J795" t="s">
        <v>143</v>
      </c>
      <c r="K795" t="s">
        <v>90</v>
      </c>
      <c r="L795" t="s">
        <v>27</v>
      </c>
      <c r="M795">
        <v>0</v>
      </c>
      <c r="N795" s="1">
        <v>45189</v>
      </c>
      <c r="O795" s="1">
        <v>45190</v>
      </c>
      <c r="P795" t="s">
        <v>58</v>
      </c>
      <c r="Q795">
        <f>+IF(OR(Datos[[#This Row],[Diagnostico]]="Inservible",Datos[[#This Row],[Estatus]]="Preventivo"),0,Datos[[#This Row],[Fecha_Final]]-Datos[[#This Row],[Día_Inicio]])</f>
        <v>1</v>
      </c>
      <c r="R795" s="2">
        <v>1156</v>
      </c>
      <c r="S795" s="2">
        <v>879</v>
      </c>
      <c r="T795" t="s">
        <v>91</v>
      </c>
    </row>
    <row r="796" spans="1:20" x14ac:dyDescent="0.25">
      <c r="A796" t="s">
        <v>979</v>
      </c>
      <c r="B796" s="1">
        <v>45190</v>
      </c>
      <c r="C796" t="s">
        <v>910</v>
      </c>
      <c r="D796">
        <v>9</v>
      </c>
      <c r="E796" t="str">
        <f>+CONCATENATE("T",ROUNDUP(MONTH(Datos[[#This Row],[Fecha]])/3,0))</f>
        <v>T3</v>
      </c>
      <c r="F796" t="str">
        <f>+CONCATENATE("Sem"," ",ROUNDUP(MONTH(Datos[[#This Row],[Fecha]])/6,0))</f>
        <v>Sem 2</v>
      </c>
      <c r="G796" t="s">
        <v>335</v>
      </c>
      <c r="H796" t="s">
        <v>336</v>
      </c>
      <c r="I796" t="s">
        <v>24</v>
      </c>
      <c r="J796" t="s">
        <v>118</v>
      </c>
      <c r="K796" t="s">
        <v>39</v>
      </c>
      <c r="L796" t="s">
        <v>40</v>
      </c>
      <c r="M796" t="s">
        <v>75</v>
      </c>
      <c r="N796" s="1">
        <v>45190</v>
      </c>
      <c r="O796" s="1">
        <v>45550</v>
      </c>
      <c r="P796" t="s">
        <v>29</v>
      </c>
      <c r="Q796">
        <f>+IF(OR(Datos[[#This Row],[Diagnostico]]="Inservible",Datos[[#This Row],[Estatus]]="Preventivo"),0,Datos[[#This Row],[Fecha_Final]]-Datos[[#This Row],[Día_Inicio]])</f>
        <v>0</v>
      </c>
      <c r="R796" s="2">
        <v>627</v>
      </c>
      <c r="S796" s="2">
        <v>648</v>
      </c>
      <c r="T796" t="s">
        <v>42</v>
      </c>
    </row>
    <row r="797" spans="1:20" x14ac:dyDescent="0.25">
      <c r="A797" t="s">
        <v>980</v>
      </c>
      <c r="B797" s="1">
        <v>45191</v>
      </c>
      <c r="C797" t="s">
        <v>910</v>
      </c>
      <c r="D797">
        <v>9</v>
      </c>
      <c r="E797" t="str">
        <f>+CONCATENATE("T",ROUNDUP(MONTH(Datos[[#This Row],[Fecha]])/3,0))</f>
        <v>T3</v>
      </c>
      <c r="F797" t="str">
        <f>+CONCATENATE("Sem"," ",ROUNDUP(MONTH(Datos[[#This Row],[Fecha]])/6,0))</f>
        <v>Sem 2</v>
      </c>
      <c r="G797" t="s">
        <v>283</v>
      </c>
      <c r="H797" t="s">
        <v>284</v>
      </c>
      <c r="I797" t="s">
        <v>24</v>
      </c>
      <c r="J797" t="s">
        <v>192</v>
      </c>
      <c r="K797" t="s">
        <v>97</v>
      </c>
      <c r="L797" t="s">
        <v>27</v>
      </c>
      <c r="M797">
        <v>0</v>
      </c>
      <c r="N797" s="1">
        <v>45191</v>
      </c>
      <c r="O797" s="1">
        <v>45220</v>
      </c>
      <c r="P797" t="s">
        <v>58</v>
      </c>
      <c r="Q797">
        <f>+IF(OR(Datos[[#This Row],[Diagnostico]]="Inservible",Datos[[#This Row],[Estatus]]="Preventivo"),0,Datos[[#This Row],[Fecha_Final]]-Datos[[#This Row],[Día_Inicio]])</f>
        <v>29</v>
      </c>
      <c r="R797" s="2">
        <v>303</v>
      </c>
      <c r="S797" s="2">
        <v>825</v>
      </c>
      <c r="T797" t="s">
        <v>59</v>
      </c>
    </row>
    <row r="798" spans="1:20" x14ac:dyDescent="0.25">
      <c r="A798" t="s">
        <v>981</v>
      </c>
      <c r="B798" s="1">
        <v>45191</v>
      </c>
      <c r="C798" t="s">
        <v>910</v>
      </c>
      <c r="D798">
        <v>9</v>
      </c>
      <c r="E798" t="str">
        <f>+CONCATENATE("T",ROUNDUP(MONTH(Datos[[#This Row],[Fecha]])/3,0))</f>
        <v>T3</v>
      </c>
      <c r="F798" t="str">
        <f>+CONCATENATE("Sem"," ",ROUNDUP(MONTH(Datos[[#This Row],[Fecha]])/6,0))</f>
        <v>Sem 2</v>
      </c>
      <c r="G798" t="s">
        <v>180</v>
      </c>
      <c r="H798" t="s">
        <v>181</v>
      </c>
      <c r="I798" t="s">
        <v>24</v>
      </c>
      <c r="J798" t="s">
        <v>127</v>
      </c>
      <c r="K798" t="s">
        <v>178</v>
      </c>
      <c r="L798" t="s">
        <v>27</v>
      </c>
      <c r="M798">
        <v>0</v>
      </c>
      <c r="N798" s="1">
        <v>45191</v>
      </c>
      <c r="O798" s="1">
        <v>45220</v>
      </c>
      <c r="P798" t="s">
        <v>58</v>
      </c>
      <c r="Q798">
        <f>+IF(OR(Datos[[#This Row],[Diagnostico]]="Inservible",Datos[[#This Row],[Estatus]]="Preventivo"),0,Datos[[#This Row],[Fecha_Final]]-Datos[[#This Row],[Día_Inicio]])</f>
        <v>29</v>
      </c>
      <c r="R798" s="2">
        <v>1110</v>
      </c>
      <c r="S798" s="2">
        <v>644</v>
      </c>
      <c r="T798" t="s">
        <v>64</v>
      </c>
    </row>
    <row r="799" spans="1:20" x14ac:dyDescent="0.25">
      <c r="A799" t="s">
        <v>982</v>
      </c>
      <c r="B799" s="1">
        <v>45191</v>
      </c>
      <c r="C799" t="s">
        <v>910</v>
      </c>
      <c r="D799">
        <v>9</v>
      </c>
      <c r="E799" t="str">
        <f>+CONCATENATE("T",ROUNDUP(MONTH(Datos[[#This Row],[Fecha]])/3,0))</f>
        <v>T3</v>
      </c>
      <c r="F799" t="str">
        <f>+CONCATENATE("Sem"," ",ROUNDUP(MONTH(Datos[[#This Row],[Fecha]])/6,0))</f>
        <v>Sem 2</v>
      </c>
      <c r="G799" t="s">
        <v>31</v>
      </c>
      <c r="H799" t="s">
        <v>32</v>
      </c>
      <c r="I799" t="s">
        <v>24</v>
      </c>
      <c r="J799" t="s">
        <v>33</v>
      </c>
      <c r="K799" t="s">
        <v>108</v>
      </c>
      <c r="L799" t="s">
        <v>27</v>
      </c>
      <c r="M799">
        <v>0</v>
      </c>
      <c r="N799" s="1">
        <v>45191</v>
      </c>
      <c r="O799" s="1">
        <v>45196</v>
      </c>
      <c r="P799" t="s">
        <v>58</v>
      </c>
      <c r="Q799">
        <f>+IF(OR(Datos[[#This Row],[Diagnostico]]="Inservible",Datos[[#This Row],[Estatus]]="Preventivo"),0,Datos[[#This Row],[Fecha_Final]]-Datos[[#This Row],[Día_Inicio]])</f>
        <v>5</v>
      </c>
      <c r="R799" s="2">
        <v>1069</v>
      </c>
      <c r="S799" s="2">
        <v>549</v>
      </c>
      <c r="T799" t="s">
        <v>64</v>
      </c>
    </row>
    <row r="800" spans="1:20" x14ac:dyDescent="0.25">
      <c r="A800" t="s">
        <v>983</v>
      </c>
      <c r="B800" s="1">
        <v>45191</v>
      </c>
      <c r="C800" t="s">
        <v>910</v>
      </c>
      <c r="D800">
        <v>9</v>
      </c>
      <c r="E800" t="str">
        <f>+CONCATENATE("T",ROUNDUP(MONTH(Datos[[#This Row],[Fecha]])/3,0))</f>
        <v>T3</v>
      </c>
      <c r="F800" t="str">
        <f>+CONCATENATE("Sem"," ",ROUNDUP(MONTH(Datos[[#This Row],[Fecha]])/6,0))</f>
        <v>Sem 2</v>
      </c>
      <c r="G800" t="s">
        <v>202</v>
      </c>
      <c r="H800" t="s">
        <v>203</v>
      </c>
      <c r="I800" t="s">
        <v>24</v>
      </c>
      <c r="J800" t="s">
        <v>204</v>
      </c>
      <c r="K800" t="s">
        <v>110</v>
      </c>
      <c r="L800" t="s">
        <v>27</v>
      </c>
      <c r="M800">
        <v>0</v>
      </c>
      <c r="N800" s="1">
        <v>45191</v>
      </c>
      <c r="O800" s="1">
        <v>45203</v>
      </c>
      <c r="P800" t="s">
        <v>28</v>
      </c>
      <c r="Q800">
        <f>+IF(OR(Datos[[#This Row],[Diagnostico]]="Inservible",Datos[[#This Row],[Estatus]]="Preventivo"),0,Datos[[#This Row],[Fecha_Final]]-Datos[[#This Row],[Día_Inicio]])</f>
        <v>0</v>
      </c>
      <c r="R800" s="2">
        <v>0</v>
      </c>
      <c r="S800" s="2">
        <v>0</v>
      </c>
      <c r="T800" t="s">
        <v>29</v>
      </c>
    </row>
    <row r="801" spans="1:20" x14ac:dyDescent="0.25">
      <c r="A801" t="s">
        <v>984</v>
      </c>
      <c r="B801" s="1">
        <v>45191</v>
      </c>
      <c r="C801" t="s">
        <v>910</v>
      </c>
      <c r="D801">
        <v>9</v>
      </c>
      <c r="E801" t="str">
        <f>+CONCATENATE("T",ROUNDUP(MONTH(Datos[[#This Row],[Fecha]])/3,0))</f>
        <v>T3</v>
      </c>
      <c r="F801" t="str">
        <f>+CONCATENATE("Sem"," ",ROUNDUP(MONTH(Datos[[#This Row],[Fecha]])/6,0))</f>
        <v>Sem 2</v>
      </c>
      <c r="G801" t="s">
        <v>125</v>
      </c>
      <c r="H801" t="s">
        <v>126</v>
      </c>
      <c r="I801" t="s">
        <v>24</v>
      </c>
      <c r="J801" t="s">
        <v>127</v>
      </c>
      <c r="K801" t="s">
        <v>114</v>
      </c>
      <c r="L801" t="s">
        <v>27</v>
      </c>
      <c r="M801">
        <v>0</v>
      </c>
      <c r="N801" s="1">
        <v>45191</v>
      </c>
      <c r="O801" s="1">
        <v>45217</v>
      </c>
      <c r="P801" t="s">
        <v>28</v>
      </c>
      <c r="Q801">
        <f>+IF(OR(Datos[[#This Row],[Diagnostico]]="Inservible",Datos[[#This Row],[Estatus]]="Preventivo"),0,Datos[[#This Row],[Fecha_Final]]-Datos[[#This Row],[Día_Inicio]])</f>
        <v>0</v>
      </c>
      <c r="R801" s="2">
        <v>0</v>
      </c>
      <c r="S801" s="2">
        <v>0</v>
      </c>
      <c r="T801" t="s">
        <v>29</v>
      </c>
    </row>
    <row r="802" spans="1:20" x14ac:dyDescent="0.25">
      <c r="A802" t="s">
        <v>985</v>
      </c>
      <c r="B802" s="1">
        <v>45193</v>
      </c>
      <c r="C802" t="s">
        <v>910</v>
      </c>
      <c r="D802">
        <v>9</v>
      </c>
      <c r="E802" t="str">
        <f>+CONCATENATE("T",ROUNDUP(MONTH(Datos[[#This Row],[Fecha]])/3,0))</f>
        <v>T3</v>
      </c>
      <c r="F802" t="str">
        <f>+CONCATENATE("Sem"," ",ROUNDUP(MONTH(Datos[[#This Row],[Fecha]])/6,0))</f>
        <v>Sem 2</v>
      </c>
      <c r="G802" t="s">
        <v>164</v>
      </c>
      <c r="H802" t="s">
        <v>165</v>
      </c>
      <c r="I802" t="s">
        <v>24</v>
      </c>
      <c r="J802" t="s">
        <v>166</v>
      </c>
      <c r="K802" t="s">
        <v>119</v>
      </c>
      <c r="L802" t="s">
        <v>27</v>
      </c>
      <c r="M802">
        <v>0</v>
      </c>
      <c r="N802" s="1">
        <v>45193</v>
      </c>
      <c r="O802" s="1">
        <v>45210</v>
      </c>
      <c r="P802" t="s">
        <v>58</v>
      </c>
      <c r="Q802">
        <f>+IF(OR(Datos[[#This Row],[Diagnostico]]="Inservible",Datos[[#This Row],[Estatus]]="Preventivo"),0,Datos[[#This Row],[Fecha_Final]]-Datos[[#This Row],[Día_Inicio]])</f>
        <v>17</v>
      </c>
      <c r="R802" s="2">
        <v>756</v>
      </c>
      <c r="S802" s="2">
        <v>917</v>
      </c>
      <c r="T802" t="s">
        <v>59</v>
      </c>
    </row>
    <row r="803" spans="1:20" x14ac:dyDescent="0.25">
      <c r="A803" t="s">
        <v>986</v>
      </c>
      <c r="B803" s="1">
        <v>45193</v>
      </c>
      <c r="C803" t="s">
        <v>910</v>
      </c>
      <c r="D803">
        <v>9</v>
      </c>
      <c r="E803" t="str">
        <f>+CONCATENATE("T",ROUNDUP(MONTH(Datos[[#This Row],[Fecha]])/3,0))</f>
        <v>T3</v>
      </c>
      <c r="F803" t="str">
        <f>+CONCATENATE("Sem"," ",ROUNDUP(MONTH(Datos[[#This Row],[Fecha]])/6,0))</f>
        <v>Sem 2</v>
      </c>
      <c r="G803" t="s">
        <v>225</v>
      </c>
      <c r="H803" t="s">
        <v>226</v>
      </c>
      <c r="I803" t="s">
        <v>227</v>
      </c>
      <c r="J803" t="s">
        <v>89</v>
      </c>
      <c r="K803" t="s">
        <v>123</v>
      </c>
      <c r="L803" t="s">
        <v>27</v>
      </c>
      <c r="M803">
        <v>0</v>
      </c>
      <c r="N803" s="1">
        <v>45193</v>
      </c>
      <c r="O803" s="1">
        <v>45218</v>
      </c>
      <c r="P803" t="s">
        <v>28</v>
      </c>
      <c r="Q803">
        <f>+IF(OR(Datos[[#This Row],[Diagnostico]]="Inservible",Datos[[#This Row],[Estatus]]="Preventivo"),0,Datos[[#This Row],[Fecha_Final]]-Datos[[#This Row],[Día_Inicio]])</f>
        <v>0</v>
      </c>
      <c r="R803" s="2">
        <v>0</v>
      </c>
      <c r="S803" s="2">
        <v>0</v>
      </c>
      <c r="T803" t="s">
        <v>29</v>
      </c>
    </row>
    <row r="804" spans="1:20" x14ac:dyDescent="0.25">
      <c r="A804" t="s">
        <v>987</v>
      </c>
      <c r="B804" s="1">
        <v>45193</v>
      </c>
      <c r="C804" t="s">
        <v>910</v>
      </c>
      <c r="D804">
        <v>9</v>
      </c>
      <c r="E804" t="str">
        <f>+CONCATENATE("T",ROUNDUP(MONTH(Datos[[#This Row],[Fecha]])/3,0))</f>
        <v>T3</v>
      </c>
      <c r="F804" t="str">
        <f>+CONCATENATE("Sem"," ",ROUNDUP(MONTH(Datos[[#This Row],[Fecha]])/6,0))</f>
        <v>Sem 2</v>
      </c>
      <c r="G804" t="s">
        <v>180</v>
      </c>
      <c r="H804" t="s">
        <v>181</v>
      </c>
      <c r="I804" t="s">
        <v>24</v>
      </c>
      <c r="J804" t="s">
        <v>127</v>
      </c>
      <c r="K804" t="s">
        <v>128</v>
      </c>
      <c r="L804" t="s">
        <v>27</v>
      </c>
      <c r="M804">
        <v>0</v>
      </c>
      <c r="N804" s="1">
        <v>45193</v>
      </c>
      <c r="O804" s="1">
        <v>45199</v>
      </c>
      <c r="P804" t="s">
        <v>58</v>
      </c>
      <c r="Q804">
        <f>+IF(OR(Datos[[#This Row],[Diagnostico]]="Inservible",Datos[[#This Row],[Estatus]]="Preventivo"),0,Datos[[#This Row],[Fecha_Final]]-Datos[[#This Row],[Día_Inicio]])</f>
        <v>6</v>
      </c>
      <c r="R804" s="2">
        <v>288</v>
      </c>
      <c r="S804" s="2">
        <v>947</v>
      </c>
      <c r="T804" t="s">
        <v>91</v>
      </c>
    </row>
    <row r="805" spans="1:20" x14ac:dyDescent="0.25">
      <c r="A805" t="s">
        <v>988</v>
      </c>
      <c r="B805" s="1">
        <v>45194</v>
      </c>
      <c r="C805" t="s">
        <v>910</v>
      </c>
      <c r="D805">
        <v>9</v>
      </c>
      <c r="E805" t="str">
        <f>+CONCATENATE("T",ROUNDUP(MONTH(Datos[[#This Row],[Fecha]])/3,0))</f>
        <v>T3</v>
      </c>
      <c r="F805" t="str">
        <f>+CONCATENATE("Sem"," ",ROUNDUP(MONTH(Datos[[#This Row],[Fecha]])/6,0))</f>
        <v>Sem 2</v>
      </c>
      <c r="G805" t="s">
        <v>36</v>
      </c>
      <c r="H805" t="s">
        <v>37</v>
      </c>
      <c r="I805" t="s">
        <v>24</v>
      </c>
      <c r="J805" t="s">
        <v>38</v>
      </c>
      <c r="K805" t="s">
        <v>130</v>
      </c>
      <c r="L805" t="s">
        <v>27</v>
      </c>
      <c r="M805">
        <v>0</v>
      </c>
      <c r="N805" s="1">
        <v>45194</v>
      </c>
      <c r="O805" s="1">
        <v>45206</v>
      </c>
      <c r="P805" t="s">
        <v>28</v>
      </c>
      <c r="Q805">
        <f>+IF(OR(Datos[[#This Row],[Diagnostico]]="Inservible",Datos[[#This Row],[Estatus]]="Preventivo"),0,Datos[[#This Row],[Fecha_Final]]-Datos[[#This Row],[Día_Inicio]])</f>
        <v>0</v>
      </c>
      <c r="R805" s="2">
        <v>0</v>
      </c>
      <c r="S805" s="2">
        <v>0</v>
      </c>
      <c r="T805" t="s">
        <v>29</v>
      </c>
    </row>
    <row r="806" spans="1:20" x14ac:dyDescent="0.25">
      <c r="A806" t="s">
        <v>989</v>
      </c>
      <c r="B806" s="1">
        <v>45194</v>
      </c>
      <c r="C806" t="s">
        <v>910</v>
      </c>
      <c r="D806">
        <v>9</v>
      </c>
      <c r="E806" t="str">
        <f>+CONCATENATE("T",ROUNDUP(MONTH(Datos[[#This Row],[Fecha]])/3,0))</f>
        <v>T3</v>
      </c>
      <c r="F806" t="str">
        <f>+CONCATENATE("Sem"," ",ROUNDUP(MONTH(Datos[[#This Row],[Fecha]])/6,0))</f>
        <v>Sem 2</v>
      </c>
      <c r="G806" t="s">
        <v>53</v>
      </c>
      <c r="H806" t="s">
        <v>54</v>
      </c>
      <c r="I806" t="s">
        <v>55</v>
      </c>
      <c r="J806" t="s">
        <v>56</v>
      </c>
      <c r="K806" t="s">
        <v>135</v>
      </c>
      <c r="L806" t="s">
        <v>27</v>
      </c>
      <c r="M806">
        <v>0</v>
      </c>
      <c r="N806" s="1">
        <v>45194</v>
      </c>
      <c r="O806" s="1">
        <v>45197</v>
      </c>
      <c r="P806" t="s">
        <v>58</v>
      </c>
      <c r="Q806">
        <f>+IF(OR(Datos[[#This Row],[Diagnostico]]="Inservible",Datos[[#This Row],[Estatus]]="Preventivo"),0,Datos[[#This Row],[Fecha_Final]]-Datos[[#This Row],[Día_Inicio]])</f>
        <v>3</v>
      </c>
      <c r="R806" s="2">
        <v>827</v>
      </c>
      <c r="S806" s="2">
        <v>722</v>
      </c>
      <c r="T806" t="s">
        <v>91</v>
      </c>
    </row>
    <row r="807" spans="1:20" x14ac:dyDescent="0.25">
      <c r="A807" t="s">
        <v>990</v>
      </c>
      <c r="B807" s="1">
        <v>45194</v>
      </c>
      <c r="C807" t="s">
        <v>910</v>
      </c>
      <c r="D807">
        <v>9</v>
      </c>
      <c r="E807" t="str">
        <f>+CONCATENATE("T",ROUNDUP(MONTH(Datos[[#This Row],[Fecha]])/3,0))</f>
        <v>T3</v>
      </c>
      <c r="F807" t="str">
        <f>+CONCATENATE("Sem"," ",ROUNDUP(MONTH(Datos[[#This Row],[Fecha]])/6,0))</f>
        <v>Sem 2</v>
      </c>
      <c r="G807" t="s">
        <v>169</v>
      </c>
      <c r="H807" t="s">
        <v>170</v>
      </c>
      <c r="I807" t="s">
        <v>68</v>
      </c>
      <c r="J807" t="s">
        <v>171</v>
      </c>
      <c r="K807" t="s">
        <v>26</v>
      </c>
      <c r="L807" t="s">
        <v>27</v>
      </c>
      <c r="M807">
        <v>0</v>
      </c>
      <c r="N807" s="1">
        <v>45194</v>
      </c>
      <c r="O807" s="1">
        <v>45205</v>
      </c>
      <c r="P807" t="s">
        <v>28</v>
      </c>
      <c r="Q807">
        <f>+IF(OR(Datos[[#This Row],[Diagnostico]]="Inservible",Datos[[#This Row],[Estatus]]="Preventivo"),0,Datos[[#This Row],[Fecha_Final]]-Datos[[#This Row],[Día_Inicio]])</f>
        <v>0</v>
      </c>
      <c r="R807" s="2">
        <v>0</v>
      </c>
      <c r="S807" s="2">
        <v>0</v>
      </c>
      <c r="T807" t="s">
        <v>29</v>
      </c>
    </row>
    <row r="808" spans="1:20" x14ac:dyDescent="0.25">
      <c r="A808" t="s">
        <v>991</v>
      </c>
      <c r="B808" s="1">
        <v>45195</v>
      </c>
      <c r="C808" t="s">
        <v>910</v>
      </c>
      <c r="D808">
        <v>9</v>
      </c>
      <c r="E808" t="str">
        <f>+CONCATENATE("T",ROUNDUP(MONTH(Datos[[#This Row],[Fecha]])/3,0))</f>
        <v>T3</v>
      </c>
      <c r="F808" t="str">
        <f>+CONCATENATE("Sem"," ",ROUNDUP(MONTH(Datos[[#This Row],[Fecha]])/6,0))</f>
        <v>Sem 2</v>
      </c>
      <c r="G808" t="s">
        <v>137</v>
      </c>
      <c r="H808" t="s">
        <v>138</v>
      </c>
      <c r="I808" t="s">
        <v>68</v>
      </c>
      <c r="J808" t="s">
        <v>139</v>
      </c>
      <c r="K808" t="s">
        <v>34</v>
      </c>
      <c r="L808" t="s">
        <v>27</v>
      </c>
      <c r="M808">
        <v>0</v>
      </c>
      <c r="N808" s="1">
        <v>45195</v>
      </c>
      <c r="O808" s="1">
        <v>45205</v>
      </c>
      <c r="P808" t="s">
        <v>28</v>
      </c>
      <c r="Q808">
        <f>+IF(OR(Datos[[#This Row],[Diagnostico]]="Inservible",Datos[[#This Row],[Estatus]]="Preventivo"),0,Datos[[#This Row],[Fecha_Final]]-Datos[[#This Row],[Día_Inicio]])</f>
        <v>0</v>
      </c>
      <c r="R808" s="2">
        <v>0</v>
      </c>
      <c r="S808" s="2">
        <v>0</v>
      </c>
      <c r="T808" t="s">
        <v>29</v>
      </c>
    </row>
    <row r="809" spans="1:20" x14ac:dyDescent="0.25">
      <c r="A809" t="s">
        <v>992</v>
      </c>
      <c r="B809" s="1">
        <v>45195</v>
      </c>
      <c r="C809" t="s">
        <v>910</v>
      </c>
      <c r="D809">
        <v>9</v>
      </c>
      <c r="E809" t="str">
        <f>+CONCATENATE("T",ROUNDUP(MONTH(Datos[[#This Row],[Fecha]])/3,0))</f>
        <v>T3</v>
      </c>
      <c r="F809" t="str">
        <f>+CONCATENATE("Sem"," ",ROUNDUP(MONTH(Datos[[#This Row],[Fecha]])/6,0))</f>
        <v>Sem 2</v>
      </c>
      <c r="G809" t="s">
        <v>82</v>
      </c>
      <c r="H809" t="s">
        <v>83</v>
      </c>
      <c r="I809" t="s">
        <v>24</v>
      </c>
      <c r="J809" t="s">
        <v>84</v>
      </c>
      <c r="K809" t="s">
        <v>39</v>
      </c>
      <c r="L809" t="s">
        <v>27</v>
      </c>
      <c r="M809">
        <v>0</v>
      </c>
      <c r="N809" s="1">
        <v>45195</v>
      </c>
      <c r="O809" s="1">
        <v>45207</v>
      </c>
      <c r="P809" t="s">
        <v>28</v>
      </c>
      <c r="Q809">
        <f>+IF(OR(Datos[[#This Row],[Diagnostico]]="Inservible",Datos[[#This Row],[Estatus]]="Preventivo"),0,Datos[[#This Row],[Fecha_Final]]-Datos[[#This Row],[Día_Inicio]])</f>
        <v>0</v>
      </c>
      <c r="R809" s="2">
        <v>0</v>
      </c>
      <c r="S809" s="2">
        <v>0</v>
      </c>
      <c r="T809" t="s">
        <v>29</v>
      </c>
    </row>
    <row r="810" spans="1:20" x14ac:dyDescent="0.25">
      <c r="A810" t="s">
        <v>993</v>
      </c>
      <c r="B810" s="1">
        <v>45197</v>
      </c>
      <c r="C810" t="s">
        <v>910</v>
      </c>
      <c r="D810">
        <v>9</v>
      </c>
      <c r="E810" t="str">
        <f>+CONCATENATE("T",ROUNDUP(MONTH(Datos[[#This Row],[Fecha]])/3,0))</f>
        <v>T3</v>
      </c>
      <c r="F810" t="str">
        <f>+CONCATENATE("Sem"," ",ROUNDUP(MONTH(Datos[[#This Row],[Fecha]])/6,0))</f>
        <v>Sem 2</v>
      </c>
      <c r="G810" t="s">
        <v>164</v>
      </c>
      <c r="H810" t="s">
        <v>165</v>
      </c>
      <c r="I810" t="s">
        <v>24</v>
      </c>
      <c r="J810" t="s">
        <v>166</v>
      </c>
      <c r="K810" t="s">
        <v>47</v>
      </c>
      <c r="L810" t="s">
        <v>27</v>
      </c>
      <c r="M810">
        <v>0</v>
      </c>
      <c r="N810" s="1">
        <v>45197</v>
      </c>
      <c r="O810" s="1">
        <v>45213</v>
      </c>
      <c r="P810" t="s">
        <v>28</v>
      </c>
      <c r="Q810">
        <f>+IF(OR(Datos[[#This Row],[Diagnostico]]="Inservible",Datos[[#This Row],[Estatus]]="Preventivo"),0,Datos[[#This Row],[Fecha_Final]]-Datos[[#This Row],[Día_Inicio]])</f>
        <v>0</v>
      </c>
      <c r="R810" s="2">
        <v>0</v>
      </c>
      <c r="S810" s="2">
        <v>0</v>
      </c>
      <c r="T810" t="s">
        <v>29</v>
      </c>
    </row>
    <row r="811" spans="1:20" x14ac:dyDescent="0.25">
      <c r="A811" t="s">
        <v>994</v>
      </c>
      <c r="B811" s="1">
        <v>45197</v>
      </c>
      <c r="C811" t="s">
        <v>910</v>
      </c>
      <c r="D811">
        <v>9</v>
      </c>
      <c r="E811" t="str">
        <f>+CONCATENATE("T",ROUNDUP(MONTH(Datos[[#This Row],[Fecha]])/3,0))</f>
        <v>T3</v>
      </c>
      <c r="F811" t="str">
        <f>+CONCATENATE("Sem"," ",ROUNDUP(MONTH(Datos[[#This Row],[Fecha]])/6,0))</f>
        <v>Sem 2</v>
      </c>
      <c r="G811" t="s">
        <v>82</v>
      </c>
      <c r="H811" t="s">
        <v>83</v>
      </c>
      <c r="I811" t="s">
        <v>24</v>
      </c>
      <c r="J811" t="s">
        <v>84</v>
      </c>
      <c r="K811" t="s">
        <v>147</v>
      </c>
      <c r="L811" t="s">
        <v>27</v>
      </c>
      <c r="M811">
        <v>0</v>
      </c>
      <c r="N811" s="1">
        <v>45197</v>
      </c>
      <c r="O811" s="1">
        <v>45220</v>
      </c>
      <c r="P811" t="s">
        <v>28</v>
      </c>
      <c r="Q811">
        <f>+IF(OR(Datos[[#This Row],[Diagnostico]]="Inservible",Datos[[#This Row],[Estatus]]="Preventivo"),0,Datos[[#This Row],[Fecha_Final]]-Datos[[#This Row],[Día_Inicio]])</f>
        <v>0</v>
      </c>
      <c r="R811" s="2">
        <v>0</v>
      </c>
      <c r="S811" s="2">
        <v>0</v>
      </c>
      <c r="T811" t="s">
        <v>29</v>
      </c>
    </row>
    <row r="812" spans="1:20" x14ac:dyDescent="0.25">
      <c r="A812" t="s">
        <v>995</v>
      </c>
      <c r="B812" s="1">
        <v>45197</v>
      </c>
      <c r="C812" t="s">
        <v>910</v>
      </c>
      <c r="D812">
        <v>9</v>
      </c>
      <c r="E812" t="str">
        <f>+CONCATENATE("T",ROUNDUP(MONTH(Datos[[#This Row],[Fecha]])/3,0))</f>
        <v>T3</v>
      </c>
      <c r="F812" t="str">
        <f>+CONCATENATE("Sem"," ",ROUNDUP(MONTH(Datos[[#This Row],[Fecha]])/6,0))</f>
        <v>Sem 2</v>
      </c>
      <c r="G812" t="s">
        <v>169</v>
      </c>
      <c r="H812" t="s">
        <v>170</v>
      </c>
      <c r="I812" t="s">
        <v>68</v>
      </c>
      <c r="J812" t="s">
        <v>171</v>
      </c>
      <c r="K812" t="s">
        <v>39</v>
      </c>
      <c r="L812" t="s">
        <v>40</v>
      </c>
      <c r="M812" t="s">
        <v>103</v>
      </c>
      <c r="N812" s="1">
        <v>45197</v>
      </c>
      <c r="O812" s="1">
        <v>45212</v>
      </c>
      <c r="P812" t="s">
        <v>29</v>
      </c>
      <c r="Q812">
        <f>+IF(OR(Datos[[#This Row],[Diagnostico]]="Inservible",Datos[[#This Row],[Estatus]]="Preventivo"),0,Datos[[#This Row],[Fecha_Final]]-Datos[[#This Row],[Día_Inicio]])</f>
        <v>0</v>
      </c>
      <c r="R812" s="2">
        <v>806</v>
      </c>
      <c r="S812" s="2">
        <v>256</v>
      </c>
      <c r="T812" t="s">
        <v>42</v>
      </c>
    </row>
    <row r="813" spans="1:20" x14ac:dyDescent="0.25">
      <c r="A813" t="s">
        <v>996</v>
      </c>
      <c r="B813" s="1">
        <v>45198</v>
      </c>
      <c r="C813" t="s">
        <v>910</v>
      </c>
      <c r="D813">
        <v>9</v>
      </c>
      <c r="E813" t="str">
        <f>+CONCATENATE("T",ROUNDUP(MONTH(Datos[[#This Row],[Fecha]])/3,0))</f>
        <v>T3</v>
      </c>
      <c r="F813" t="str">
        <f>+CONCATENATE("Sem"," ",ROUNDUP(MONTH(Datos[[#This Row],[Fecha]])/6,0))</f>
        <v>Sem 2</v>
      </c>
      <c r="G813" t="s">
        <v>260</v>
      </c>
      <c r="H813" t="s">
        <v>261</v>
      </c>
      <c r="I813" t="s">
        <v>24</v>
      </c>
      <c r="J813" t="s">
        <v>33</v>
      </c>
      <c r="K813" t="s">
        <v>63</v>
      </c>
      <c r="L813" t="s">
        <v>27</v>
      </c>
      <c r="M813">
        <v>0</v>
      </c>
      <c r="N813" s="1">
        <v>45198</v>
      </c>
      <c r="O813" s="1">
        <v>45215</v>
      </c>
      <c r="P813" t="s">
        <v>28</v>
      </c>
      <c r="Q813">
        <f>+IF(OR(Datos[[#This Row],[Diagnostico]]="Inservible",Datos[[#This Row],[Estatus]]="Preventivo"),0,Datos[[#This Row],[Fecha_Final]]-Datos[[#This Row],[Día_Inicio]])</f>
        <v>0</v>
      </c>
      <c r="R813" s="2">
        <v>0</v>
      </c>
      <c r="S813" s="2">
        <v>0</v>
      </c>
      <c r="T813" t="s">
        <v>29</v>
      </c>
    </row>
    <row r="814" spans="1:20" x14ac:dyDescent="0.25">
      <c r="A814" t="s">
        <v>997</v>
      </c>
      <c r="B814" s="1">
        <v>45198</v>
      </c>
      <c r="C814" t="s">
        <v>910</v>
      </c>
      <c r="D814">
        <v>9</v>
      </c>
      <c r="E814" t="str">
        <f>+CONCATENATE("T",ROUNDUP(MONTH(Datos[[#This Row],[Fecha]])/3,0))</f>
        <v>T3</v>
      </c>
      <c r="F814" t="str">
        <f>+CONCATENATE("Sem"," ",ROUNDUP(MONTH(Datos[[#This Row],[Fecha]])/6,0))</f>
        <v>Sem 2</v>
      </c>
      <c r="G814" t="s">
        <v>94</v>
      </c>
      <c r="H814" t="s">
        <v>95</v>
      </c>
      <c r="I814" t="s">
        <v>68</v>
      </c>
      <c r="J814" t="s">
        <v>96</v>
      </c>
      <c r="K814" t="s">
        <v>39</v>
      </c>
      <c r="L814" t="s">
        <v>40</v>
      </c>
      <c r="M814" t="s">
        <v>51</v>
      </c>
      <c r="N814" s="1">
        <v>45198</v>
      </c>
      <c r="O814" s="1">
        <v>45258</v>
      </c>
      <c r="P814" t="s">
        <v>29</v>
      </c>
      <c r="Q814">
        <f>+IF(OR(Datos[[#This Row],[Diagnostico]]="Inservible",Datos[[#This Row],[Estatus]]="Preventivo"),0,Datos[[#This Row],[Fecha_Final]]-Datos[[#This Row],[Día_Inicio]])</f>
        <v>0</v>
      </c>
      <c r="R814" s="2">
        <v>1006</v>
      </c>
      <c r="S814" s="2">
        <v>464</v>
      </c>
      <c r="T814" t="s">
        <v>42</v>
      </c>
    </row>
    <row r="815" spans="1:20" x14ac:dyDescent="0.25">
      <c r="A815" t="s">
        <v>998</v>
      </c>
      <c r="B815" s="1">
        <v>45198</v>
      </c>
      <c r="C815" t="s">
        <v>910</v>
      </c>
      <c r="D815">
        <v>9</v>
      </c>
      <c r="E815" t="str">
        <f>+CONCATENATE("T",ROUNDUP(MONTH(Datos[[#This Row],[Fecha]])/3,0))</f>
        <v>T3</v>
      </c>
      <c r="F815" t="str">
        <f>+CONCATENATE("Sem"," ",ROUNDUP(MONTH(Datos[[#This Row],[Fecha]])/6,0))</f>
        <v>Sem 2</v>
      </c>
      <c r="G815" t="s">
        <v>237</v>
      </c>
      <c r="H815" t="s">
        <v>238</v>
      </c>
      <c r="I815" t="s">
        <v>24</v>
      </c>
      <c r="J815" t="s">
        <v>177</v>
      </c>
      <c r="K815" t="s">
        <v>161</v>
      </c>
      <c r="L815" t="s">
        <v>27</v>
      </c>
      <c r="M815">
        <v>0</v>
      </c>
      <c r="N815" s="1">
        <v>45198</v>
      </c>
      <c r="O815" s="1">
        <v>45208</v>
      </c>
      <c r="P815" t="s">
        <v>28</v>
      </c>
      <c r="Q815">
        <f>+IF(OR(Datos[[#This Row],[Diagnostico]]="Inservible",Datos[[#This Row],[Estatus]]="Preventivo"),0,Datos[[#This Row],[Fecha_Final]]-Datos[[#This Row],[Día_Inicio]])</f>
        <v>0</v>
      </c>
      <c r="R815" s="2">
        <v>0</v>
      </c>
      <c r="S815" s="2">
        <v>0</v>
      </c>
      <c r="T815" t="s">
        <v>29</v>
      </c>
    </row>
    <row r="816" spans="1:20" x14ac:dyDescent="0.25">
      <c r="A816" t="s">
        <v>999</v>
      </c>
      <c r="B816" s="1">
        <v>45198</v>
      </c>
      <c r="C816" t="s">
        <v>910</v>
      </c>
      <c r="D816">
        <v>9</v>
      </c>
      <c r="E816" t="str">
        <f>+CONCATENATE("T",ROUNDUP(MONTH(Datos[[#This Row],[Fecha]])/3,0))</f>
        <v>T3</v>
      </c>
      <c r="F816" t="str">
        <f>+CONCATENATE("Sem"," ",ROUNDUP(MONTH(Datos[[#This Row],[Fecha]])/6,0))</f>
        <v>Sem 2</v>
      </c>
      <c r="G816" t="s">
        <v>190</v>
      </c>
      <c r="H816" t="s">
        <v>191</v>
      </c>
      <c r="I816" t="s">
        <v>24</v>
      </c>
      <c r="J816" t="s">
        <v>192</v>
      </c>
      <c r="K816" t="s">
        <v>80</v>
      </c>
      <c r="L816" t="s">
        <v>27</v>
      </c>
      <c r="M816">
        <v>0</v>
      </c>
      <c r="N816" s="1">
        <v>45198</v>
      </c>
      <c r="O816" s="1">
        <v>45199</v>
      </c>
      <c r="P816" t="s">
        <v>58</v>
      </c>
      <c r="Q816">
        <f>+IF(OR(Datos[[#This Row],[Diagnostico]]="Inservible",Datos[[#This Row],[Estatus]]="Preventivo"),0,Datos[[#This Row],[Fecha_Final]]-Datos[[#This Row],[Día_Inicio]])</f>
        <v>1</v>
      </c>
      <c r="R816" s="2">
        <v>470</v>
      </c>
      <c r="S816" s="2">
        <v>666</v>
      </c>
      <c r="T816" t="s">
        <v>91</v>
      </c>
    </row>
    <row r="817" spans="1:20" x14ac:dyDescent="0.25">
      <c r="A817" t="s">
        <v>1000</v>
      </c>
      <c r="B817" s="1">
        <v>45199</v>
      </c>
      <c r="C817" t="s">
        <v>910</v>
      </c>
      <c r="D817">
        <v>9</v>
      </c>
      <c r="E817" t="str">
        <f>+CONCATENATE("T",ROUNDUP(MONTH(Datos[[#This Row],[Fecha]])/3,0))</f>
        <v>T3</v>
      </c>
      <c r="F817" t="str">
        <f>+CONCATENATE("Sem"," ",ROUNDUP(MONTH(Datos[[#This Row],[Fecha]])/6,0))</f>
        <v>Sem 2</v>
      </c>
      <c r="G817" t="s">
        <v>53</v>
      </c>
      <c r="H817" t="s">
        <v>54</v>
      </c>
      <c r="I817" t="s">
        <v>55</v>
      </c>
      <c r="J817" t="s">
        <v>56</v>
      </c>
      <c r="K817" t="s">
        <v>85</v>
      </c>
      <c r="L817" t="s">
        <v>27</v>
      </c>
      <c r="M817">
        <v>0</v>
      </c>
      <c r="N817" s="1">
        <v>45199</v>
      </c>
      <c r="O817" s="1">
        <v>45205</v>
      </c>
      <c r="P817" t="s">
        <v>28</v>
      </c>
      <c r="Q817">
        <f>+IF(OR(Datos[[#This Row],[Diagnostico]]="Inservible",Datos[[#This Row],[Estatus]]="Preventivo"),0,Datos[[#This Row],[Fecha_Final]]-Datos[[#This Row],[Día_Inicio]])</f>
        <v>0</v>
      </c>
      <c r="R817" s="2">
        <v>0</v>
      </c>
      <c r="S817" s="2">
        <v>0</v>
      </c>
      <c r="T817" t="s">
        <v>29</v>
      </c>
    </row>
    <row r="818" spans="1:20" x14ac:dyDescent="0.25">
      <c r="A818" t="s">
        <v>1001</v>
      </c>
      <c r="B818" s="1">
        <v>45199</v>
      </c>
      <c r="C818" t="s">
        <v>910</v>
      </c>
      <c r="D818">
        <v>9</v>
      </c>
      <c r="E818" t="str">
        <f>+CONCATENATE("T",ROUNDUP(MONTH(Datos[[#This Row],[Fecha]])/3,0))</f>
        <v>T3</v>
      </c>
      <c r="F818" t="str">
        <f>+CONCATENATE("Sem"," ",ROUNDUP(MONTH(Datos[[#This Row],[Fecha]])/6,0))</f>
        <v>Sem 2</v>
      </c>
      <c r="G818" t="s">
        <v>283</v>
      </c>
      <c r="H818" t="s">
        <v>284</v>
      </c>
      <c r="I818" t="s">
        <v>24</v>
      </c>
      <c r="J818" t="s">
        <v>192</v>
      </c>
      <c r="K818" t="s">
        <v>90</v>
      </c>
      <c r="L818" t="s">
        <v>27</v>
      </c>
      <c r="M818">
        <v>0</v>
      </c>
      <c r="N818" s="1">
        <v>45199</v>
      </c>
      <c r="O818" s="1">
        <v>45206</v>
      </c>
      <c r="P818" t="s">
        <v>28</v>
      </c>
      <c r="Q818">
        <f>+IF(OR(Datos[[#This Row],[Diagnostico]]="Inservible",Datos[[#This Row],[Estatus]]="Preventivo"),0,Datos[[#This Row],[Fecha_Final]]-Datos[[#This Row],[Día_Inicio]])</f>
        <v>0</v>
      </c>
      <c r="R818" s="2">
        <v>0</v>
      </c>
      <c r="S818" s="2">
        <v>0</v>
      </c>
      <c r="T818" t="s">
        <v>29</v>
      </c>
    </row>
    <row r="819" spans="1:20" x14ac:dyDescent="0.25">
      <c r="A819" t="s">
        <v>1002</v>
      </c>
      <c r="B819" s="1">
        <v>45199</v>
      </c>
      <c r="C819" t="s">
        <v>910</v>
      </c>
      <c r="D819">
        <v>9</v>
      </c>
      <c r="E819" t="str">
        <f>+CONCATENATE("T",ROUNDUP(MONTH(Datos[[#This Row],[Fecha]])/3,0))</f>
        <v>T3</v>
      </c>
      <c r="F819" t="str">
        <f>+CONCATENATE("Sem"," ",ROUNDUP(MONTH(Datos[[#This Row],[Fecha]])/6,0))</f>
        <v>Sem 2</v>
      </c>
      <c r="G819" t="s">
        <v>149</v>
      </c>
      <c r="H819" t="s">
        <v>150</v>
      </c>
      <c r="I819" t="s">
        <v>68</v>
      </c>
      <c r="J819" t="s">
        <v>151</v>
      </c>
      <c r="K819" t="s">
        <v>172</v>
      </c>
      <c r="L819" t="s">
        <v>27</v>
      </c>
      <c r="M819">
        <v>0</v>
      </c>
      <c r="N819" s="1">
        <v>45199</v>
      </c>
      <c r="O819" s="1">
        <v>45227</v>
      </c>
      <c r="P819" t="s">
        <v>28</v>
      </c>
      <c r="Q819">
        <f>+IF(OR(Datos[[#This Row],[Diagnostico]]="Inservible",Datos[[#This Row],[Estatus]]="Preventivo"),0,Datos[[#This Row],[Fecha_Final]]-Datos[[#This Row],[Día_Inicio]])</f>
        <v>0</v>
      </c>
      <c r="R819" s="2">
        <v>0</v>
      </c>
      <c r="S819" s="2">
        <v>0</v>
      </c>
      <c r="T819" t="s">
        <v>29</v>
      </c>
    </row>
    <row r="820" spans="1:20" x14ac:dyDescent="0.25">
      <c r="A820" t="s">
        <v>1003</v>
      </c>
      <c r="B820" s="1">
        <v>45199</v>
      </c>
      <c r="C820" t="s">
        <v>910</v>
      </c>
      <c r="D820">
        <v>9</v>
      </c>
      <c r="E820" t="str">
        <f>+CONCATENATE("T",ROUNDUP(MONTH(Datos[[#This Row],[Fecha]])/3,0))</f>
        <v>T3</v>
      </c>
      <c r="F820" t="str">
        <f>+CONCATENATE("Sem"," ",ROUNDUP(MONTH(Datos[[#This Row],[Fecha]])/6,0))</f>
        <v>Sem 2</v>
      </c>
      <c r="G820" t="s">
        <v>331</v>
      </c>
      <c r="H820" t="s">
        <v>332</v>
      </c>
      <c r="I820" t="s">
        <v>68</v>
      </c>
      <c r="J820" t="s">
        <v>74</v>
      </c>
      <c r="K820" t="s">
        <v>39</v>
      </c>
      <c r="L820" t="s">
        <v>40</v>
      </c>
      <c r="M820" t="s">
        <v>75</v>
      </c>
      <c r="N820" s="1">
        <v>45199</v>
      </c>
      <c r="O820" s="1">
        <v>45559</v>
      </c>
      <c r="P820" t="s">
        <v>29</v>
      </c>
      <c r="Q820">
        <f>+IF(OR(Datos[[#This Row],[Diagnostico]]="Inservible",Datos[[#This Row],[Estatus]]="Preventivo"),0,Datos[[#This Row],[Fecha_Final]]-Datos[[#This Row],[Día_Inicio]])</f>
        <v>0</v>
      </c>
      <c r="R820" s="2">
        <v>333</v>
      </c>
      <c r="S820" s="2">
        <v>858</v>
      </c>
      <c r="T820" t="s">
        <v>42</v>
      </c>
    </row>
    <row r="821" spans="1:20" x14ac:dyDescent="0.25">
      <c r="A821" t="s">
        <v>1004</v>
      </c>
      <c r="B821" s="1">
        <v>45200</v>
      </c>
      <c r="C821" t="s">
        <v>1005</v>
      </c>
      <c r="D821">
        <v>10</v>
      </c>
      <c r="E821" t="str">
        <f>+CONCATENATE("T",ROUNDUP(MONTH(Datos[[#This Row],[Fecha]])/3,0))</f>
        <v>T4</v>
      </c>
      <c r="F821" t="str">
        <f>+CONCATENATE("Sem"," ",ROUNDUP(MONTH(Datos[[#This Row],[Fecha]])/6,0))</f>
        <v>Sem 2</v>
      </c>
      <c r="G821" t="s">
        <v>206</v>
      </c>
      <c r="H821" t="s">
        <v>207</v>
      </c>
      <c r="I821" t="s">
        <v>24</v>
      </c>
      <c r="J821" t="s">
        <v>160</v>
      </c>
      <c r="K821" t="s">
        <v>178</v>
      </c>
      <c r="L821" t="s">
        <v>27</v>
      </c>
      <c r="M821">
        <v>0</v>
      </c>
      <c r="N821" s="1">
        <v>45200</v>
      </c>
      <c r="O821" s="1">
        <v>45216</v>
      </c>
      <c r="P821" t="s">
        <v>58</v>
      </c>
      <c r="Q821">
        <f>+IF(OR(Datos[[#This Row],[Diagnostico]]="Inservible",Datos[[#This Row],[Estatus]]="Preventivo"),0,Datos[[#This Row],[Fecha_Final]]-Datos[[#This Row],[Día_Inicio]])</f>
        <v>16</v>
      </c>
      <c r="R821" s="2">
        <v>702</v>
      </c>
      <c r="S821" s="2">
        <v>925</v>
      </c>
      <c r="T821" t="s">
        <v>59</v>
      </c>
    </row>
    <row r="822" spans="1:20" x14ac:dyDescent="0.25">
      <c r="A822" t="s">
        <v>1006</v>
      </c>
      <c r="B822" s="1">
        <v>45200</v>
      </c>
      <c r="C822" t="s">
        <v>1005</v>
      </c>
      <c r="D822">
        <v>10</v>
      </c>
      <c r="E822" t="str">
        <f>+CONCATENATE("T",ROUNDUP(MONTH(Datos[[#This Row],[Fecha]])/3,0))</f>
        <v>T4</v>
      </c>
      <c r="F822" t="str">
        <f>+CONCATENATE("Sem"," ",ROUNDUP(MONTH(Datos[[#This Row],[Fecha]])/6,0))</f>
        <v>Sem 2</v>
      </c>
      <c r="G822" t="s">
        <v>237</v>
      </c>
      <c r="H822" t="s">
        <v>238</v>
      </c>
      <c r="I822" t="s">
        <v>24</v>
      </c>
      <c r="J822" t="s">
        <v>177</v>
      </c>
      <c r="K822" t="s">
        <v>39</v>
      </c>
      <c r="L822" t="s">
        <v>40</v>
      </c>
      <c r="M822" t="s">
        <v>103</v>
      </c>
      <c r="N822" s="1">
        <v>45200</v>
      </c>
      <c r="O822" s="1">
        <v>45215</v>
      </c>
      <c r="P822" t="s">
        <v>29</v>
      </c>
      <c r="Q822">
        <f>+IF(OR(Datos[[#This Row],[Diagnostico]]="Inservible",Datos[[#This Row],[Estatus]]="Preventivo"),0,Datos[[#This Row],[Fecha_Final]]-Datos[[#This Row],[Día_Inicio]])</f>
        <v>0</v>
      </c>
      <c r="R822" s="2">
        <v>340</v>
      </c>
      <c r="S822" s="2">
        <v>735</v>
      </c>
      <c r="T822" t="s">
        <v>42</v>
      </c>
    </row>
    <row r="823" spans="1:20" x14ac:dyDescent="0.25">
      <c r="A823" t="s">
        <v>1007</v>
      </c>
      <c r="B823" s="1">
        <v>45201</v>
      </c>
      <c r="C823" t="s">
        <v>1005</v>
      </c>
      <c r="D823">
        <v>10</v>
      </c>
      <c r="E823" t="str">
        <f>+CONCATENATE("T",ROUNDUP(MONTH(Datos[[#This Row],[Fecha]])/3,0))</f>
        <v>T4</v>
      </c>
      <c r="F823" t="str">
        <f>+CONCATENATE("Sem"," ",ROUNDUP(MONTH(Datos[[#This Row],[Fecha]])/6,0))</f>
        <v>Sem 2</v>
      </c>
      <c r="G823" t="s">
        <v>154</v>
      </c>
      <c r="H823" t="s">
        <v>155</v>
      </c>
      <c r="I823" t="s">
        <v>68</v>
      </c>
      <c r="J823" t="s">
        <v>156</v>
      </c>
      <c r="K823" t="s">
        <v>110</v>
      </c>
      <c r="L823" t="s">
        <v>27</v>
      </c>
      <c r="M823">
        <v>0</v>
      </c>
      <c r="N823" s="1">
        <v>45201</v>
      </c>
      <c r="O823" s="1">
        <v>45216</v>
      </c>
      <c r="P823" t="s">
        <v>28</v>
      </c>
      <c r="Q823">
        <f>+IF(OR(Datos[[#This Row],[Diagnostico]]="Inservible",Datos[[#This Row],[Estatus]]="Preventivo"),0,Datos[[#This Row],[Fecha_Final]]-Datos[[#This Row],[Día_Inicio]])</f>
        <v>0</v>
      </c>
      <c r="R823" s="2">
        <v>0</v>
      </c>
      <c r="S823" s="2">
        <v>0</v>
      </c>
      <c r="T823" t="s">
        <v>29</v>
      </c>
    </row>
    <row r="824" spans="1:20" x14ac:dyDescent="0.25">
      <c r="A824" t="s">
        <v>1008</v>
      </c>
      <c r="B824" s="1">
        <v>45201</v>
      </c>
      <c r="C824" t="s">
        <v>1005</v>
      </c>
      <c r="D824">
        <v>10</v>
      </c>
      <c r="E824" t="str">
        <f>+CONCATENATE("T",ROUNDUP(MONTH(Datos[[#This Row],[Fecha]])/3,0))</f>
        <v>T4</v>
      </c>
      <c r="F824" t="str">
        <f>+CONCATENATE("Sem"," ",ROUNDUP(MONTH(Datos[[#This Row],[Fecha]])/6,0))</f>
        <v>Sem 2</v>
      </c>
      <c r="G824" t="s">
        <v>260</v>
      </c>
      <c r="H824" t="s">
        <v>261</v>
      </c>
      <c r="I824" t="s">
        <v>24</v>
      </c>
      <c r="J824" t="s">
        <v>33</v>
      </c>
      <c r="K824" t="s">
        <v>114</v>
      </c>
      <c r="L824" t="s">
        <v>27</v>
      </c>
      <c r="M824">
        <v>0</v>
      </c>
      <c r="N824" s="1">
        <v>45201</v>
      </c>
      <c r="O824" s="1">
        <v>45225</v>
      </c>
      <c r="P824" t="s">
        <v>28</v>
      </c>
      <c r="Q824">
        <f>+IF(OR(Datos[[#This Row],[Diagnostico]]="Inservible",Datos[[#This Row],[Estatus]]="Preventivo"),0,Datos[[#This Row],[Fecha_Final]]-Datos[[#This Row],[Día_Inicio]])</f>
        <v>0</v>
      </c>
      <c r="R824" s="2">
        <v>0</v>
      </c>
      <c r="S824" s="2">
        <v>0</v>
      </c>
      <c r="T824" t="s">
        <v>29</v>
      </c>
    </row>
    <row r="825" spans="1:20" x14ac:dyDescent="0.25">
      <c r="A825" t="s">
        <v>1009</v>
      </c>
      <c r="B825" s="1">
        <v>45201</v>
      </c>
      <c r="C825" t="s">
        <v>1005</v>
      </c>
      <c r="D825">
        <v>10</v>
      </c>
      <c r="E825" t="str">
        <f>+CONCATENATE("T",ROUNDUP(MONTH(Datos[[#This Row],[Fecha]])/3,0))</f>
        <v>T4</v>
      </c>
      <c r="F825" t="str">
        <f>+CONCATENATE("Sem"," ",ROUNDUP(MONTH(Datos[[#This Row],[Fecha]])/6,0))</f>
        <v>Sem 2</v>
      </c>
      <c r="G825" t="s">
        <v>180</v>
      </c>
      <c r="H825" t="s">
        <v>181</v>
      </c>
      <c r="I825" t="s">
        <v>24</v>
      </c>
      <c r="J825" t="s">
        <v>127</v>
      </c>
      <c r="K825" t="s">
        <v>119</v>
      </c>
      <c r="L825" t="s">
        <v>27</v>
      </c>
      <c r="M825">
        <v>0</v>
      </c>
      <c r="N825" s="1">
        <v>45201</v>
      </c>
      <c r="O825" s="1">
        <v>45209</v>
      </c>
      <c r="P825" t="s">
        <v>58</v>
      </c>
      <c r="Q825">
        <f>+IF(OR(Datos[[#This Row],[Diagnostico]]="Inservible",Datos[[#This Row],[Estatus]]="Preventivo"),0,Datos[[#This Row],[Fecha_Final]]-Datos[[#This Row],[Día_Inicio]])</f>
        <v>8</v>
      </c>
      <c r="R825" s="2">
        <v>751</v>
      </c>
      <c r="S825" s="2">
        <v>613</v>
      </c>
      <c r="T825" t="s">
        <v>42</v>
      </c>
    </row>
    <row r="826" spans="1:20" x14ac:dyDescent="0.25">
      <c r="A826" t="s">
        <v>1010</v>
      </c>
      <c r="B826" s="1">
        <v>45203</v>
      </c>
      <c r="C826" t="s">
        <v>1005</v>
      </c>
      <c r="D826">
        <v>10</v>
      </c>
      <c r="E826" t="str">
        <f>+CONCATENATE("T",ROUNDUP(MONTH(Datos[[#This Row],[Fecha]])/3,0))</f>
        <v>T4</v>
      </c>
      <c r="F826" t="str">
        <f>+CONCATENATE("Sem"," ",ROUNDUP(MONTH(Datos[[#This Row],[Fecha]])/6,0))</f>
        <v>Sem 2</v>
      </c>
      <c r="G826" t="s">
        <v>190</v>
      </c>
      <c r="H826" t="s">
        <v>191</v>
      </c>
      <c r="I826" t="s">
        <v>24</v>
      </c>
      <c r="J826" t="s">
        <v>192</v>
      </c>
      <c r="K826" t="s">
        <v>39</v>
      </c>
      <c r="L826" t="s">
        <v>40</v>
      </c>
      <c r="M826" t="s">
        <v>188</v>
      </c>
      <c r="N826" s="1">
        <v>45203</v>
      </c>
      <c r="O826" s="1">
        <v>45383</v>
      </c>
      <c r="P826" t="s">
        <v>29</v>
      </c>
      <c r="Q826">
        <f>+IF(OR(Datos[[#This Row],[Diagnostico]]="Inservible",Datos[[#This Row],[Estatus]]="Preventivo"),0,Datos[[#This Row],[Fecha_Final]]-Datos[[#This Row],[Día_Inicio]])</f>
        <v>0</v>
      </c>
      <c r="R826" s="2">
        <v>812</v>
      </c>
      <c r="S826" s="2">
        <v>812</v>
      </c>
      <c r="T826" t="s">
        <v>42</v>
      </c>
    </row>
    <row r="827" spans="1:20" x14ac:dyDescent="0.25">
      <c r="A827" t="s">
        <v>1011</v>
      </c>
      <c r="B827" s="1">
        <v>45203</v>
      </c>
      <c r="C827" t="s">
        <v>1005</v>
      </c>
      <c r="D827">
        <v>10</v>
      </c>
      <c r="E827" t="str">
        <f>+CONCATENATE("T",ROUNDUP(MONTH(Datos[[#This Row],[Fecha]])/3,0))</f>
        <v>T4</v>
      </c>
      <c r="F827" t="str">
        <f>+CONCATENATE("Sem"," ",ROUNDUP(MONTH(Datos[[#This Row],[Fecha]])/6,0))</f>
        <v>Sem 2</v>
      </c>
      <c r="G827" t="s">
        <v>169</v>
      </c>
      <c r="H827" t="s">
        <v>170</v>
      </c>
      <c r="I827" t="s">
        <v>68</v>
      </c>
      <c r="J827" t="s">
        <v>171</v>
      </c>
      <c r="K827" t="s">
        <v>128</v>
      </c>
      <c r="L827" t="s">
        <v>27</v>
      </c>
      <c r="M827">
        <v>0</v>
      </c>
      <c r="N827" s="1">
        <v>45203</v>
      </c>
      <c r="O827" s="1">
        <v>45218</v>
      </c>
      <c r="P827" t="s">
        <v>58</v>
      </c>
      <c r="Q827">
        <f>+IF(OR(Datos[[#This Row],[Diagnostico]]="Inservible",Datos[[#This Row],[Estatus]]="Preventivo"),0,Datos[[#This Row],[Fecha_Final]]-Datos[[#This Row],[Día_Inicio]])</f>
        <v>15</v>
      </c>
      <c r="R827" s="2">
        <v>826</v>
      </c>
      <c r="S827" s="2">
        <v>294</v>
      </c>
      <c r="T827" t="s">
        <v>59</v>
      </c>
    </row>
    <row r="828" spans="1:20" x14ac:dyDescent="0.25">
      <c r="A828" t="s">
        <v>1012</v>
      </c>
      <c r="B828" s="1">
        <v>45203</v>
      </c>
      <c r="C828" t="s">
        <v>1005</v>
      </c>
      <c r="D828">
        <v>10</v>
      </c>
      <c r="E828" t="str">
        <f>+CONCATENATE("T",ROUNDUP(MONTH(Datos[[#This Row],[Fecha]])/3,0))</f>
        <v>T4</v>
      </c>
      <c r="F828" t="str">
        <f>+CONCATENATE("Sem"," ",ROUNDUP(MONTH(Datos[[#This Row],[Fecha]])/6,0))</f>
        <v>Sem 2</v>
      </c>
      <c r="G828" t="s">
        <v>283</v>
      </c>
      <c r="H828" t="s">
        <v>284</v>
      </c>
      <c r="I828" t="s">
        <v>24</v>
      </c>
      <c r="J828" t="s">
        <v>192</v>
      </c>
      <c r="K828" t="s">
        <v>130</v>
      </c>
      <c r="L828" t="s">
        <v>27</v>
      </c>
      <c r="M828">
        <v>0</v>
      </c>
      <c r="N828" s="1">
        <v>45203</v>
      </c>
      <c r="O828" s="1">
        <v>45211</v>
      </c>
      <c r="P828" t="s">
        <v>58</v>
      </c>
      <c r="Q828">
        <f>+IF(OR(Datos[[#This Row],[Diagnostico]]="Inservible",Datos[[#This Row],[Estatus]]="Preventivo"),0,Datos[[#This Row],[Fecha_Final]]-Datos[[#This Row],[Día_Inicio]])</f>
        <v>8</v>
      </c>
      <c r="R828" s="2">
        <v>503</v>
      </c>
      <c r="S828" s="2">
        <v>563</v>
      </c>
      <c r="T828" t="s">
        <v>91</v>
      </c>
    </row>
    <row r="829" spans="1:20" x14ac:dyDescent="0.25">
      <c r="A829" t="s">
        <v>1013</v>
      </c>
      <c r="B829" s="1">
        <v>45204</v>
      </c>
      <c r="C829" t="s">
        <v>1005</v>
      </c>
      <c r="D829">
        <v>10</v>
      </c>
      <c r="E829" t="str">
        <f>+CONCATENATE("T",ROUNDUP(MONTH(Datos[[#This Row],[Fecha]])/3,0))</f>
        <v>T4</v>
      </c>
      <c r="F829" t="str">
        <f>+CONCATENATE("Sem"," ",ROUNDUP(MONTH(Datos[[#This Row],[Fecha]])/6,0))</f>
        <v>Sem 2</v>
      </c>
      <c r="G829" t="s">
        <v>87</v>
      </c>
      <c r="H829" t="s">
        <v>88</v>
      </c>
      <c r="I829" t="s">
        <v>68</v>
      </c>
      <c r="J829" t="s">
        <v>89</v>
      </c>
      <c r="K829" t="s">
        <v>135</v>
      </c>
      <c r="L829" t="s">
        <v>27</v>
      </c>
      <c r="M829">
        <v>0</v>
      </c>
      <c r="N829" s="1">
        <v>45204</v>
      </c>
      <c r="O829" s="1">
        <v>45229</v>
      </c>
      <c r="P829" t="s">
        <v>28</v>
      </c>
      <c r="Q829">
        <f>+IF(OR(Datos[[#This Row],[Diagnostico]]="Inservible",Datos[[#This Row],[Estatus]]="Preventivo"),0,Datos[[#This Row],[Fecha_Final]]-Datos[[#This Row],[Día_Inicio]])</f>
        <v>0</v>
      </c>
      <c r="R829" s="2">
        <v>0</v>
      </c>
      <c r="S829" s="2">
        <v>0</v>
      </c>
      <c r="T829" t="s">
        <v>29</v>
      </c>
    </row>
    <row r="830" spans="1:20" x14ac:dyDescent="0.25">
      <c r="A830" t="s">
        <v>1014</v>
      </c>
      <c r="B830" s="1">
        <v>45204</v>
      </c>
      <c r="C830" t="s">
        <v>1005</v>
      </c>
      <c r="D830">
        <v>10</v>
      </c>
      <c r="E830" t="str">
        <f>+CONCATENATE("T",ROUNDUP(MONTH(Datos[[#This Row],[Fecha]])/3,0))</f>
        <v>T4</v>
      </c>
      <c r="F830" t="str">
        <f>+CONCATENATE("Sem"," ",ROUNDUP(MONTH(Datos[[#This Row],[Fecha]])/6,0))</f>
        <v>Sem 2</v>
      </c>
      <c r="G830" t="s">
        <v>257</v>
      </c>
      <c r="H830" t="s">
        <v>258</v>
      </c>
      <c r="I830" t="s">
        <v>24</v>
      </c>
      <c r="J830" t="s">
        <v>204</v>
      </c>
      <c r="K830" t="s">
        <v>39</v>
      </c>
      <c r="L830" t="s">
        <v>40</v>
      </c>
      <c r="M830" t="s">
        <v>188</v>
      </c>
      <c r="N830" s="1">
        <v>45204</v>
      </c>
      <c r="O830" s="1">
        <v>45384</v>
      </c>
      <c r="P830" t="s">
        <v>29</v>
      </c>
      <c r="Q830">
        <f>+IF(OR(Datos[[#This Row],[Diagnostico]]="Inservible",Datos[[#This Row],[Estatus]]="Preventivo"),0,Datos[[#This Row],[Fecha_Final]]-Datos[[#This Row],[Día_Inicio]])</f>
        <v>0</v>
      </c>
      <c r="R830" s="2">
        <v>524</v>
      </c>
      <c r="S830" s="2">
        <v>832</v>
      </c>
      <c r="T830" t="s">
        <v>42</v>
      </c>
    </row>
    <row r="831" spans="1:20" x14ac:dyDescent="0.25">
      <c r="A831" t="s">
        <v>1015</v>
      </c>
      <c r="B831" s="1">
        <v>45204</v>
      </c>
      <c r="C831" t="s">
        <v>1005</v>
      </c>
      <c r="D831">
        <v>10</v>
      </c>
      <c r="E831" t="str">
        <f>+CONCATENATE("T",ROUNDUP(MONTH(Datos[[#This Row],[Fecha]])/3,0))</f>
        <v>T4</v>
      </c>
      <c r="F831" t="str">
        <f>+CONCATENATE("Sem"," ",ROUNDUP(MONTH(Datos[[#This Row],[Fecha]])/6,0))</f>
        <v>Sem 2</v>
      </c>
      <c r="G831" t="s">
        <v>82</v>
      </c>
      <c r="H831" t="s">
        <v>83</v>
      </c>
      <c r="I831" t="s">
        <v>24</v>
      </c>
      <c r="J831" t="s">
        <v>84</v>
      </c>
      <c r="K831" t="s">
        <v>34</v>
      </c>
      <c r="L831" t="s">
        <v>27</v>
      </c>
      <c r="M831">
        <v>0</v>
      </c>
      <c r="N831" s="1">
        <v>45204</v>
      </c>
      <c r="O831" s="1">
        <v>45228</v>
      </c>
      <c r="P831" t="s">
        <v>28</v>
      </c>
      <c r="Q831">
        <f>+IF(OR(Datos[[#This Row],[Diagnostico]]="Inservible",Datos[[#This Row],[Estatus]]="Preventivo"),0,Datos[[#This Row],[Fecha_Final]]-Datos[[#This Row],[Día_Inicio]])</f>
        <v>0</v>
      </c>
      <c r="R831" s="2">
        <v>0</v>
      </c>
      <c r="S831" s="2">
        <v>0</v>
      </c>
      <c r="T831" t="s">
        <v>29</v>
      </c>
    </row>
    <row r="832" spans="1:20" x14ac:dyDescent="0.25">
      <c r="A832" t="s">
        <v>1016</v>
      </c>
      <c r="B832" s="1">
        <v>45204</v>
      </c>
      <c r="C832" t="s">
        <v>1005</v>
      </c>
      <c r="D832">
        <v>10</v>
      </c>
      <c r="E832" t="str">
        <f>+CONCATENATE("T",ROUNDUP(MONTH(Datos[[#This Row],[Fecha]])/3,0))</f>
        <v>T4</v>
      </c>
      <c r="F832" t="str">
        <f>+CONCATENATE("Sem"," ",ROUNDUP(MONTH(Datos[[#This Row],[Fecha]])/6,0))</f>
        <v>Sem 2</v>
      </c>
      <c r="G832" t="s">
        <v>158</v>
      </c>
      <c r="H832" t="s">
        <v>159</v>
      </c>
      <c r="I832" t="s">
        <v>101</v>
      </c>
      <c r="J832" t="s">
        <v>160</v>
      </c>
      <c r="K832" t="s">
        <v>39</v>
      </c>
      <c r="L832" t="s">
        <v>27</v>
      </c>
      <c r="M832">
        <v>0</v>
      </c>
      <c r="N832" s="1">
        <v>45204</v>
      </c>
      <c r="O832" s="1">
        <v>45207</v>
      </c>
      <c r="P832" t="s">
        <v>28</v>
      </c>
      <c r="Q832">
        <f>+IF(OR(Datos[[#This Row],[Diagnostico]]="Inservible",Datos[[#This Row],[Estatus]]="Preventivo"),0,Datos[[#This Row],[Fecha_Final]]-Datos[[#This Row],[Día_Inicio]])</f>
        <v>0</v>
      </c>
      <c r="R832" s="2">
        <v>0</v>
      </c>
      <c r="S832" s="2">
        <v>0</v>
      </c>
      <c r="T832" t="s">
        <v>29</v>
      </c>
    </row>
    <row r="833" spans="1:20" x14ac:dyDescent="0.25">
      <c r="A833" t="s">
        <v>1017</v>
      </c>
      <c r="B833" s="1">
        <v>45205</v>
      </c>
      <c r="C833" t="s">
        <v>1005</v>
      </c>
      <c r="D833">
        <v>10</v>
      </c>
      <c r="E833" t="str">
        <f>+CONCATENATE("T",ROUNDUP(MONTH(Datos[[#This Row],[Fecha]])/3,0))</f>
        <v>T4</v>
      </c>
      <c r="F833" t="str">
        <f>+CONCATENATE("Sem"," ",ROUNDUP(MONTH(Datos[[#This Row],[Fecha]])/6,0))</f>
        <v>Sem 2</v>
      </c>
      <c r="G833" t="s">
        <v>246</v>
      </c>
      <c r="H833" t="s">
        <v>247</v>
      </c>
      <c r="I833" t="s">
        <v>24</v>
      </c>
      <c r="J833" t="s">
        <v>156</v>
      </c>
      <c r="K833" t="s">
        <v>47</v>
      </c>
      <c r="L833" t="s">
        <v>27</v>
      </c>
      <c r="M833">
        <v>0</v>
      </c>
      <c r="N833" s="1">
        <v>45205</v>
      </c>
      <c r="O833" s="1">
        <v>45220</v>
      </c>
      <c r="P833" t="s">
        <v>28</v>
      </c>
      <c r="Q833">
        <f>+IF(OR(Datos[[#This Row],[Diagnostico]]="Inservible",Datos[[#This Row],[Estatus]]="Preventivo"),0,Datos[[#This Row],[Fecha_Final]]-Datos[[#This Row],[Día_Inicio]])</f>
        <v>0</v>
      </c>
      <c r="R833" s="2">
        <v>0</v>
      </c>
      <c r="S833" s="2">
        <v>0</v>
      </c>
      <c r="T833" t="s">
        <v>29</v>
      </c>
    </row>
    <row r="834" spans="1:20" x14ac:dyDescent="0.25">
      <c r="A834" t="s">
        <v>1018</v>
      </c>
      <c r="B834" s="1">
        <v>45206</v>
      </c>
      <c r="C834" t="s">
        <v>1005</v>
      </c>
      <c r="D834">
        <v>10</v>
      </c>
      <c r="E834" t="str">
        <f>+CONCATENATE("T",ROUNDUP(MONTH(Datos[[#This Row],[Fecha]])/3,0))</f>
        <v>T4</v>
      </c>
      <c r="F834" t="str">
        <f>+CONCATENATE("Sem"," ",ROUNDUP(MONTH(Datos[[#This Row],[Fecha]])/6,0))</f>
        <v>Sem 2</v>
      </c>
      <c r="G834" t="s">
        <v>175</v>
      </c>
      <c r="H834" t="s">
        <v>176</v>
      </c>
      <c r="I834" t="s">
        <v>24</v>
      </c>
      <c r="J834" t="s">
        <v>177</v>
      </c>
      <c r="K834" t="s">
        <v>147</v>
      </c>
      <c r="L834" t="s">
        <v>27</v>
      </c>
      <c r="M834">
        <v>0</v>
      </c>
      <c r="N834" s="1">
        <v>45206</v>
      </c>
      <c r="O834" s="1">
        <v>45221</v>
      </c>
      <c r="P834" t="s">
        <v>58</v>
      </c>
      <c r="Q834">
        <f>+IF(OR(Datos[[#This Row],[Diagnostico]]="Inservible",Datos[[#This Row],[Estatus]]="Preventivo"),0,Datos[[#This Row],[Fecha_Final]]-Datos[[#This Row],[Día_Inicio]])</f>
        <v>15</v>
      </c>
      <c r="R834" s="2">
        <v>1180</v>
      </c>
      <c r="S834" s="2">
        <v>372</v>
      </c>
      <c r="T834" t="s">
        <v>64</v>
      </c>
    </row>
    <row r="835" spans="1:20" x14ac:dyDescent="0.25">
      <c r="A835" t="s">
        <v>1019</v>
      </c>
      <c r="B835" s="1">
        <v>45206</v>
      </c>
      <c r="C835" t="s">
        <v>1005</v>
      </c>
      <c r="D835">
        <v>10</v>
      </c>
      <c r="E835" t="str">
        <f>+CONCATENATE("T",ROUNDUP(MONTH(Datos[[#This Row],[Fecha]])/3,0))</f>
        <v>T4</v>
      </c>
      <c r="F835" t="str">
        <f>+CONCATENATE("Sem"," ",ROUNDUP(MONTH(Datos[[#This Row],[Fecha]])/6,0))</f>
        <v>Sem 2</v>
      </c>
      <c r="G835" t="s">
        <v>154</v>
      </c>
      <c r="H835" t="s">
        <v>155</v>
      </c>
      <c r="I835" t="s">
        <v>68</v>
      </c>
      <c r="J835" t="s">
        <v>156</v>
      </c>
      <c r="K835" t="s">
        <v>57</v>
      </c>
      <c r="L835" t="s">
        <v>27</v>
      </c>
      <c r="M835">
        <v>0</v>
      </c>
      <c r="N835" s="1">
        <v>45206</v>
      </c>
      <c r="O835" s="1">
        <v>45222</v>
      </c>
      <c r="P835" t="s">
        <v>58</v>
      </c>
      <c r="Q835">
        <f>+IF(OR(Datos[[#This Row],[Diagnostico]]="Inservible",Datos[[#This Row],[Estatus]]="Preventivo"),0,Datos[[#This Row],[Fecha_Final]]-Datos[[#This Row],[Día_Inicio]])</f>
        <v>16</v>
      </c>
      <c r="R835" s="2">
        <v>409</v>
      </c>
      <c r="S835" s="2">
        <v>843</v>
      </c>
      <c r="T835" t="s">
        <v>91</v>
      </c>
    </row>
    <row r="836" spans="1:20" x14ac:dyDescent="0.25">
      <c r="A836" t="s">
        <v>1020</v>
      </c>
      <c r="B836" s="1">
        <v>45206</v>
      </c>
      <c r="C836" t="s">
        <v>1005</v>
      </c>
      <c r="D836">
        <v>10</v>
      </c>
      <c r="E836" t="str">
        <f>+CONCATENATE("T",ROUNDUP(MONTH(Datos[[#This Row],[Fecha]])/3,0))</f>
        <v>T4</v>
      </c>
      <c r="F836" t="str">
        <f>+CONCATENATE("Sem"," ",ROUNDUP(MONTH(Datos[[#This Row],[Fecha]])/6,0))</f>
        <v>Sem 2</v>
      </c>
      <c r="G836" t="s">
        <v>283</v>
      </c>
      <c r="H836" t="s">
        <v>284</v>
      </c>
      <c r="I836" t="s">
        <v>24</v>
      </c>
      <c r="J836" t="s">
        <v>192</v>
      </c>
      <c r="K836" t="s">
        <v>39</v>
      </c>
      <c r="L836" t="s">
        <v>40</v>
      </c>
      <c r="M836" t="s">
        <v>75</v>
      </c>
      <c r="N836" s="1">
        <v>45206</v>
      </c>
      <c r="O836" s="1">
        <v>45566</v>
      </c>
      <c r="P836" t="s">
        <v>29</v>
      </c>
      <c r="Q836">
        <f>+IF(OR(Datos[[#This Row],[Diagnostico]]="Inservible",Datos[[#This Row],[Estatus]]="Preventivo"),0,Datos[[#This Row],[Fecha_Final]]-Datos[[#This Row],[Día_Inicio]])</f>
        <v>0</v>
      </c>
      <c r="R836" s="2">
        <v>930</v>
      </c>
      <c r="S836" s="2">
        <v>765</v>
      </c>
      <c r="T836" t="s">
        <v>42</v>
      </c>
    </row>
    <row r="837" spans="1:20" x14ac:dyDescent="0.25">
      <c r="A837" t="s">
        <v>1021</v>
      </c>
      <c r="B837" s="1">
        <v>45206</v>
      </c>
      <c r="C837" t="s">
        <v>1005</v>
      </c>
      <c r="D837">
        <v>10</v>
      </c>
      <c r="E837" t="str">
        <f>+CONCATENATE("T",ROUNDUP(MONTH(Datos[[#This Row],[Fecha]])/3,0))</f>
        <v>T4</v>
      </c>
      <c r="F837" t="str">
        <f>+CONCATENATE("Sem"," ",ROUNDUP(MONTH(Datos[[#This Row],[Fecha]])/6,0))</f>
        <v>Sem 2</v>
      </c>
      <c r="G837" t="s">
        <v>215</v>
      </c>
      <c r="H837" t="s">
        <v>216</v>
      </c>
      <c r="I837" t="s">
        <v>24</v>
      </c>
      <c r="J837" t="s">
        <v>50</v>
      </c>
      <c r="K837" t="s">
        <v>70</v>
      </c>
      <c r="L837" t="s">
        <v>27</v>
      </c>
      <c r="M837">
        <v>0</v>
      </c>
      <c r="N837" s="1">
        <v>45206</v>
      </c>
      <c r="O837" s="1">
        <v>45219</v>
      </c>
      <c r="P837" t="s">
        <v>28</v>
      </c>
      <c r="Q837">
        <f>+IF(OR(Datos[[#This Row],[Diagnostico]]="Inservible",Datos[[#This Row],[Estatus]]="Preventivo"),0,Datos[[#This Row],[Fecha_Final]]-Datos[[#This Row],[Día_Inicio]])</f>
        <v>0</v>
      </c>
      <c r="R837" s="2">
        <v>0</v>
      </c>
      <c r="S837" s="2">
        <v>0</v>
      </c>
      <c r="T837" t="s">
        <v>29</v>
      </c>
    </row>
    <row r="838" spans="1:20" x14ac:dyDescent="0.25">
      <c r="A838" t="s">
        <v>1022</v>
      </c>
      <c r="B838" s="1">
        <v>45206</v>
      </c>
      <c r="C838" t="s">
        <v>1005</v>
      </c>
      <c r="D838">
        <v>10</v>
      </c>
      <c r="E838" t="str">
        <f>+CONCATENATE("T",ROUNDUP(MONTH(Datos[[#This Row],[Fecha]])/3,0))</f>
        <v>T4</v>
      </c>
      <c r="F838" t="str">
        <f>+CONCATENATE("Sem"," ",ROUNDUP(MONTH(Datos[[#This Row],[Fecha]])/6,0))</f>
        <v>Sem 2</v>
      </c>
      <c r="G838" t="s">
        <v>36</v>
      </c>
      <c r="H838" t="s">
        <v>37</v>
      </c>
      <c r="I838" t="s">
        <v>24</v>
      </c>
      <c r="J838" t="s">
        <v>38</v>
      </c>
      <c r="K838" t="s">
        <v>161</v>
      </c>
      <c r="L838" t="s">
        <v>27</v>
      </c>
      <c r="M838">
        <v>0</v>
      </c>
      <c r="N838" s="1">
        <v>45206</v>
      </c>
      <c r="O838" s="1">
        <v>45217</v>
      </c>
      <c r="P838" t="s">
        <v>28</v>
      </c>
      <c r="Q838">
        <f>+IF(OR(Datos[[#This Row],[Diagnostico]]="Inservible",Datos[[#This Row],[Estatus]]="Preventivo"),0,Datos[[#This Row],[Fecha_Final]]-Datos[[#This Row],[Día_Inicio]])</f>
        <v>0</v>
      </c>
      <c r="R838" s="2">
        <v>0</v>
      </c>
      <c r="S838" s="2">
        <v>0</v>
      </c>
      <c r="T838" t="s">
        <v>29</v>
      </c>
    </row>
    <row r="839" spans="1:20" x14ac:dyDescent="0.25">
      <c r="A839" t="s">
        <v>1023</v>
      </c>
      <c r="B839" s="1">
        <v>45206</v>
      </c>
      <c r="C839" t="s">
        <v>1005</v>
      </c>
      <c r="D839">
        <v>10</v>
      </c>
      <c r="E839" t="str">
        <f>+CONCATENATE("T",ROUNDUP(MONTH(Datos[[#This Row],[Fecha]])/3,0))</f>
        <v>T4</v>
      </c>
      <c r="F839" t="str">
        <f>+CONCATENATE("Sem"," ",ROUNDUP(MONTH(Datos[[#This Row],[Fecha]])/6,0))</f>
        <v>Sem 2</v>
      </c>
      <c r="G839" t="s">
        <v>283</v>
      </c>
      <c r="H839" t="s">
        <v>284</v>
      </c>
      <c r="I839" t="s">
        <v>24</v>
      </c>
      <c r="J839" t="s">
        <v>192</v>
      </c>
      <c r="K839" t="s">
        <v>80</v>
      </c>
      <c r="L839" t="s">
        <v>27</v>
      </c>
      <c r="M839">
        <v>0</v>
      </c>
      <c r="N839" s="1">
        <v>45206</v>
      </c>
      <c r="O839" s="1">
        <v>45228</v>
      </c>
      <c r="P839" t="s">
        <v>28</v>
      </c>
      <c r="Q839">
        <f>+IF(OR(Datos[[#This Row],[Diagnostico]]="Inservible",Datos[[#This Row],[Estatus]]="Preventivo"),0,Datos[[#This Row],[Fecha_Final]]-Datos[[#This Row],[Día_Inicio]])</f>
        <v>0</v>
      </c>
      <c r="R839" s="2">
        <v>0</v>
      </c>
      <c r="S839" s="2">
        <v>0</v>
      </c>
      <c r="T839" t="s">
        <v>29</v>
      </c>
    </row>
    <row r="840" spans="1:20" x14ac:dyDescent="0.25">
      <c r="A840" t="s">
        <v>1024</v>
      </c>
      <c r="B840" s="1">
        <v>45206</v>
      </c>
      <c r="C840" t="s">
        <v>1005</v>
      </c>
      <c r="D840">
        <v>10</v>
      </c>
      <c r="E840" t="str">
        <f>+CONCATENATE("T",ROUNDUP(MONTH(Datos[[#This Row],[Fecha]])/3,0))</f>
        <v>T4</v>
      </c>
      <c r="F840" t="str">
        <f>+CONCATENATE("Sem"," ",ROUNDUP(MONTH(Datos[[#This Row],[Fecha]])/6,0))</f>
        <v>Sem 2</v>
      </c>
      <c r="G840" t="s">
        <v>169</v>
      </c>
      <c r="H840" t="s">
        <v>170</v>
      </c>
      <c r="I840" t="s">
        <v>68</v>
      </c>
      <c r="J840" t="s">
        <v>171</v>
      </c>
      <c r="K840" t="s">
        <v>39</v>
      </c>
      <c r="L840" t="s">
        <v>40</v>
      </c>
      <c r="M840" t="s">
        <v>196</v>
      </c>
      <c r="N840" s="1">
        <v>45206</v>
      </c>
      <c r="O840" s="1">
        <v>45236</v>
      </c>
      <c r="P840" t="s">
        <v>29</v>
      </c>
      <c r="Q840">
        <f>+IF(OR(Datos[[#This Row],[Diagnostico]]="Inservible",Datos[[#This Row],[Estatus]]="Preventivo"),0,Datos[[#This Row],[Fecha_Final]]-Datos[[#This Row],[Día_Inicio]])</f>
        <v>0</v>
      </c>
      <c r="R840" s="2">
        <v>996</v>
      </c>
      <c r="S840" s="2">
        <v>205</v>
      </c>
      <c r="T840" t="s">
        <v>42</v>
      </c>
    </row>
    <row r="841" spans="1:20" x14ac:dyDescent="0.25">
      <c r="A841" t="s">
        <v>1025</v>
      </c>
      <c r="B841" s="1">
        <v>45207</v>
      </c>
      <c r="C841" t="s">
        <v>1005</v>
      </c>
      <c r="D841">
        <v>10</v>
      </c>
      <c r="E841" t="str">
        <f>+CONCATENATE("T",ROUNDUP(MONTH(Datos[[#This Row],[Fecha]])/3,0))</f>
        <v>T4</v>
      </c>
      <c r="F841" t="str">
        <f>+CONCATENATE("Sem"," ",ROUNDUP(MONTH(Datos[[#This Row],[Fecha]])/6,0))</f>
        <v>Sem 2</v>
      </c>
      <c r="G841" t="s">
        <v>112</v>
      </c>
      <c r="H841" t="s">
        <v>113</v>
      </c>
      <c r="I841" t="s">
        <v>24</v>
      </c>
      <c r="J841" t="s">
        <v>79</v>
      </c>
      <c r="K841" t="s">
        <v>90</v>
      </c>
      <c r="L841" t="s">
        <v>27</v>
      </c>
      <c r="M841">
        <v>0</v>
      </c>
      <c r="N841" s="1">
        <v>45207</v>
      </c>
      <c r="O841" s="1">
        <v>45219</v>
      </c>
      <c r="P841" t="s">
        <v>28</v>
      </c>
      <c r="Q841">
        <f>+IF(OR(Datos[[#This Row],[Diagnostico]]="Inservible",Datos[[#This Row],[Estatus]]="Preventivo"),0,Datos[[#This Row],[Fecha_Final]]-Datos[[#This Row],[Día_Inicio]])</f>
        <v>0</v>
      </c>
      <c r="R841" s="2">
        <v>0</v>
      </c>
      <c r="S841" s="2">
        <v>0</v>
      </c>
      <c r="T841" t="s">
        <v>29</v>
      </c>
    </row>
    <row r="842" spans="1:20" x14ac:dyDescent="0.25">
      <c r="A842" t="s">
        <v>1026</v>
      </c>
      <c r="B842" s="1">
        <v>45208</v>
      </c>
      <c r="C842" t="s">
        <v>1005</v>
      </c>
      <c r="D842">
        <v>10</v>
      </c>
      <c r="E842" t="str">
        <f>+CONCATENATE("T",ROUNDUP(MONTH(Datos[[#This Row],[Fecha]])/3,0))</f>
        <v>T4</v>
      </c>
      <c r="F842" t="str">
        <f>+CONCATENATE("Sem"," ",ROUNDUP(MONTH(Datos[[#This Row],[Fecha]])/6,0))</f>
        <v>Sem 2</v>
      </c>
      <c r="G842" t="s">
        <v>125</v>
      </c>
      <c r="H842" t="s">
        <v>126</v>
      </c>
      <c r="I842" t="s">
        <v>24</v>
      </c>
      <c r="J842" t="s">
        <v>127</v>
      </c>
      <c r="K842" t="s">
        <v>172</v>
      </c>
      <c r="L842" t="s">
        <v>27</v>
      </c>
      <c r="M842">
        <v>0</v>
      </c>
      <c r="N842" s="1">
        <v>45208</v>
      </c>
      <c r="O842" s="1">
        <v>45213</v>
      </c>
      <c r="P842" t="s">
        <v>28</v>
      </c>
      <c r="Q842">
        <f>+IF(OR(Datos[[#This Row],[Diagnostico]]="Inservible",Datos[[#This Row],[Estatus]]="Preventivo"),0,Datos[[#This Row],[Fecha_Final]]-Datos[[#This Row],[Día_Inicio]])</f>
        <v>0</v>
      </c>
      <c r="R842" s="2">
        <v>0</v>
      </c>
      <c r="S842" s="2">
        <v>0</v>
      </c>
      <c r="T842" t="s">
        <v>29</v>
      </c>
    </row>
    <row r="843" spans="1:20" x14ac:dyDescent="0.25">
      <c r="A843" t="s">
        <v>1027</v>
      </c>
      <c r="B843" s="1">
        <v>45208</v>
      </c>
      <c r="C843" t="s">
        <v>1005</v>
      </c>
      <c r="D843">
        <v>10</v>
      </c>
      <c r="E843" t="str">
        <f>+CONCATENATE("T",ROUNDUP(MONTH(Datos[[#This Row],[Fecha]])/3,0))</f>
        <v>T4</v>
      </c>
      <c r="F843" t="str">
        <f>+CONCATENATE("Sem"," ",ROUNDUP(MONTH(Datos[[#This Row],[Fecha]])/6,0))</f>
        <v>Sem 2</v>
      </c>
      <c r="G843" t="s">
        <v>286</v>
      </c>
      <c r="H843" t="s">
        <v>287</v>
      </c>
      <c r="I843" t="s">
        <v>24</v>
      </c>
      <c r="J843" t="s">
        <v>38</v>
      </c>
      <c r="K843" t="s">
        <v>97</v>
      </c>
      <c r="L843" t="s">
        <v>27</v>
      </c>
      <c r="M843">
        <v>0</v>
      </c>
      <c r="N843" s="1">
        <v>45208</v>
      </c>
      <c r="O843" s="1">
        <v>45220</v>
      </c>
      <c r="P843" t="s">
        <v>28</v>
      </c>
      <c r="Q843">
        <f>+IF(OR(Datos[[#This Row],[Diagnostico]]="Inservible",Datos[[#This Row],[Estatus]]="Preventivo"),0,Datos[[#This Row],[Fecha_Final]]-Datos[[#This Row],[Día_Inicio]])</f>
        <v>0</v>
      </c>
      <c r="R843" s="2">
        <v>0</v>
      </c>
      <c r="S843" s="2">
        <v>0</v>
      </c>
      <c r="T843" t="s">
        <v>29</v>
      </c>
    </row>
    <row r="844" spans="1:20" x14ac:dyDescent="0.25">
      <c r="A844" t="s">
        <v>1028</v>
      </c>
      <c r="B844" s="1">
        <v>45208</v>
      </c>
      <c r="C844" t="s">
        <v>1005</v>
      </c>
      <c r="D844">
        <v>10</v>
      </c>
      <c r="E844" t="str">
        <f>+CONCATENATE("T",ROUNDUP(MONTH(Datos[[#This Row],[Fecha]])/3,0))</f>
        <v>T4</v>
      </c>
      <c r="F844" t="str">
        <f>+CONCATENATE("Sem"," ",ROUNDUP(MONTH(Datos[[#This Row],[Fecha]])/6,0))</f>
        <v>Sem 2</v>
      </c>
      <c r="G844" t="s">
        <v>49</v>
      </c>
      <c r="H844" t="s">
        <v>23</v>
      </c>
      <c r="I844" t="s">
        <v>24</v>
      </c>
      <c r="J844" t="s">
        <v>50</v>
      </c>
      <c r="K844" t="s">
        <v>178</v>
      </c>
      <c r="L844" t="s">
        <v>27</v>
      </c>
      <c r="M844">
        <v>0</v>
      </c>
      <c r="N844" s="1">
        <v>45208</v>
      </c>
      <c r="O844" s="1">
        <v>45218</v>
      </c>
      <c r="P844" t="s">
        <v>28</v>
      </c>
      <c r="Q844">
        <f>+IF(OR(Datos[[#This Row],[Diagnostico]]="Inservible",Datos[[#This Row],[Estatus]]="Preventivo"),0,Datos[[#This Row],[Fecha_Final]]-Datos[[#This Row],[Día_Inicio]])</f>
        <v>0</v>
      </c>
      <c r="R844" s="2">
        <v>0</v>
      </c>
      <c r="S844" s="2">
        <v>0</v>
      </c>
      <c r="T844" t="s">
        <v>29</v>
      </c>
    </row>
    <row r="845" spans="1:20" x14ac:dyDescent="0.25">
      <c r="A845" t="s">
        <v>1029</v>
      </c>
      <c r="B845" s="1">
        <v>45208</v>
      </c>
      <c r="C845" t="s">
        <v>1005</v>
      </c>
      <c r="D845">
        <v>10</v>
      </c>
      <c r="E845" t="str">
        <f>+CONCATENATE("T",ROUNDUP(MONTH(Datos[[#This Row],[Fecha]])/3,0))</f>
        <v>T4</v>
      </c>
      <c r="F845" t="str">
        <f>+CONCATENATE("Sem"," ",ROUNDUP(MONTH(Datos[[#This Row],[Fecha]])/6,0))</f>
        <v>Sem 2</v>
      </c>
      <c r="G845" t="s">
        <v>49</v>
      </c>
      <c r="H845" t="s">
        <v>23</v>
      </c>
      <c r="I845" t="s">
        <v>24</v>
      </c>
      <c r="J845" t="s">
        <v>50</v>
      </c>
      <c r="K845" t="s">
        <v>108</v>
      </c>
      <c r="L845" t="s">
        <v>27</v>
      </c>
      <c r="M845">
        <v>0</v>
      </c>
      <c r="N845" s="1">
        <v>45208</v>
      </c>
      <c r="O845" s="1">
        <v>45231</v>
      </c>
      <c r="P845" t="s">
        <v>28</v>
      </c>
      <c r="Q845">
        <f>+IF(OR(Datos[[#This Row],[Diagnostico]]="Inservible",Datos[[#This Row],[Estatus]]="Preventivo"),0,Datos[[#This Row],[Fecha_Final]]-Datos[[#This Row],[Día_Inicio]])</f>
        <v>0</v>
      </c>
      <c r="R845" s="2">
        <v>0</v>
      </c>
      <c r="S845" s="2">
        <v>0</v>
      </c>
      <c r="T845" t="s">
        <v>29</v>
      </c>
    </row>
    <row r="846" spans="1:20" x14ac:dyDescent="0.25">
      <c r="A846" t="s">
        <v>1030</v>
      </c>
      <c r="B846" s="1">
        <v>45208</v>
      </c>
      <c r="C846" t="s">
        <v>1005</v>
      </c>
      <c r="D846">
        <v>10</v>
      </c>
      <c r="E846" t="str">
        <f>+CONCATENATE("T",ROUNDUP(MONTH(Datos[[#This Row],[Fecha]])/3,0))</f>
        <v>T4</v>
      </c>
      <c r="F846" t="str">
        <f>+CONCATENATE("Sem"," ",ROUNDUP(MONTH(Datos[[#This Row],[Fecha]])/6,0))</f>
        <v>Sem 2</v>
      </c>
      <c r="G846" t="s">
        <v>335</v>
      </c>
      <c r="H846" t="s">
        <v>336</v>
      </c>
      <c r="I846" t="s">
        <v>24</v>
      </c>
      <c r="J846" t="s">
        <v>118</v>
      </c>
      <c r="K846" t="s">
        <v>39</v>
      </c>
      <c r="L846" t="s">
        <v>40</v>
      </c>
      <c r="M846" t="s">
        <v>51</v>
      </c>
      <c r="N846" s="1">
        <v>45208</v>
      </c>
      <c r="O846" s="1">
        <v>45268</v>
      </c>
      <c r="P846" t="s">
        <v>29</v>
      </c>
      <c r="Q846">
        <f>+IF(OR(Datos[[#This Row],[Diagnostico]]="Inservible",Datos[[#This Row],[Estatus]]="Preventivo"),0,Datos[[#This Row],[Fecha_Final]]-Datos[[#This Row],[Día_Inicio]])</f>
        <v>0</v>
      </c>
      <c r="R846" s="2">
        <v>560</v>
      </c>
      <c r="S846" s="2">
        <v>544</v>
      </c>
      <c r="T846" t="s">
        <v>42</v>
      </c>
    </row>
    <row r="847" spans="1:20" x14ac:dyDescent="0.25">
      <c r="A847" t="s">
        <v>1031</v>
      </c>
      <c r="B847" s="1">
        <v>45209</v>
      </c>
      <c r="C847" t="s">
        <v>1005</v>
      </c>
      <c r="D847">
        <v>10</v>
      </c>
      <c r="E847" t="str">
        <f>+CONCATENATE("T",ROUNDUP(MONTH(Datos[[#This Row],[Fecha]])/3,0))</f>
        <v>T4</v>
      </c>
      <c r="F847" t="str">
        <f>+CONCATENATE("Sem"," ",ROUNDUP(MONTH(Datos[[#This Row],[Fecha]])/6,0))</f>
        <v>Sem 2</v>
      </c>
      <c r="G847" t="s">
        <v>237</v>
      </c>
      <c r="H847" t="s">
        <v>238</v>
      </c>
      <c r="I847" t="s">
        <v>24</v>
      </c>
      <c r="J847" t="s">
        <v>177</v>
      </c>
      <c r="K847" t="s">
        <v>114</v>
      </c>
      <c r="L847" t="s">
        <v>27</v>
      </c>
      <c r="M847">
        <v>0</v>
      </c>
      <c r="N847" s="1">
        <v>45209</v>
      </c>
      <c r="O847" s="1">
        <v>45235</v>
      </c>
      <c r="P847" t="s">
        <v>28</v>
      </c>
      <c r="Q847">
        <f>+IF(OR(Datos[[#This Row],[Diagnostico]]="Inservible",Datos[[#This Row],[Estatus]]="Preventivo"),0,Datos[[#This Row],[Fecha_Final]]-Datos[[#This Row],[Día_Inicio]])</f>
        <v>0</v>
      </c>
      <c r="R847" s="2">
        <v>0</v>
      </c>
      <c r="S847" s="2">
        <v>0</v>
      </c>
      <c r="T847" t="s">
        <v>29</v>
      </c>
    </row>
    <row r="848" spans="1:20" x14ac:dyDescent="0.25">
      <c r="A848" t="s">
        <v>1032</v>
      </c>
      <c r="B848" s="1">
        <v>45209</v>
      </c>
      <c r="C848" t="s">
        <v>1005</v>
      </c>
      <c r="D848">
        <v>10</v>
      </c>
      <c r="E848" t="str">
        <f>+CONCATENATE("T",ROUNDUP(MONTH(Datos[[#This Row],[Fecha]])/3,0))</f>
        <v>T4</v>
      </c>
      <c r="F848" t="str">
        <f>+CONCATENATE("Sem"," ",ROUNDUP(MONTH(Datos[[#This Row],[Fecha]])/6,0))</f>
        <v>Sem 2</v>
      </c>
      <c r="G848" t="s">
        <v>206</v>
      </c>
      <c r="H848" t="s">
        <v>207</v>
      </c>
      <c r="I848" t="s">
        <v>24</v>
      </c>
      <c r="J848" t="s">
        <v>160</v>
      </c>
      <c r="K848" t="s">
        <v>39</v>
      </c>
      <c r="L848" t="s">
        <v>40</v>
      </c>
      <c r="M848" t="s">
        <v>188</v>
      </c>
      <c r="N848" s="1">
        <v>45209</v>
      </c>
      <c r="O848" s="1">
        <v>45389</v>
      </c>
      <c r="P848" t="s">
        <v>29</v>
      </c>
      <c r="Q848">
        <f>+IF(OR(Datos[[#This Row],[Diagnostico]]="Inservible",Datos[[#This Row],[Estatus]]="Preventivo"),0,Datos[[#This Row],[Fecha_Final]]-Datos[[#This Row],[Día_Inicio]])</f>
        <v>0</v>
      </c>
      <c r="R848" s="2">
        <v>423</v>
      </c>
      <c r="S848" s="2">
        <v>987</v>
      </c>
      <c r="T848" t="s">
        <v>42</v>
      </c>
    </row>
    <row r="849" spans="1:20" x14ac:dyDescent="0.25">
      <c r="A849" t="s">
        <v>1033</v>
      </c>
      <c r="B849" s="1">
        <v>45209</v>
      </c>
      <c r="C849" t="s">
        <v>1005</v>
      </c>
      <c r="D849">
        <v>10</v>
      </c>
      <c r="E849" t="str">
        <f>+CONCATENATE("T",ROUNDUP(MONTH(Datos[[#This Row],[Fecha]])/3,0))</f>
        <v>T4</v>
      </c>
      <c r="F849" t="str">
        <f>+CONCATENATE("Sem"," ",ROUNDUP(MONTH(Datos[[#This Row],[Fecha]])/6,0))</f>
        <v>Sem 2</v>
      </c>
      <c r="G849" t="s">
        <v>121</v>
      </c>
      <c r="H849" t="s">
        <v>122</v>
      </c>
      <c r="I849" t="s">
        <v>24</v>
      </c>
      <c r="J849" t="s">
        <v>102</v>
      </c>
      <c r="K849" t="s">
        <v>123</v>
      </c>
      <c r="L849" t="s">
        <v>27</v>
      </c>
      <c r="M849">
        <v>0</v>
      </c>
      <c r="N849" s="1">
        <v>45209</v>
      </c>
      <c r="O849" s="1">
        <v>45219</v>
      </c>
      <c r="P849" t="s">
        <v>58</v>
      </c>
      <c r="Q849">
        <f>+IF(OR(Datos[[#This Row],[Diagnostico]]="Inservible",Datos[[#This Row],[Estatus]]="Preventivo"),0,Datos[[#This Row],[Fecha_Final]]-Datos[[#This Row],[Día_Inicio]])</f>
        <v>10</v>
      </c>
      <c r="R849" s="2">
        <v>449</v>
      </c>
      <c r="S849" s="2">
        <v>947</v>
      </c>
      <c r="T849" t="s">
        <v>64</v>
      </c>
    </row>
    <row r="850" spans="1:20" x14ac:dyDescent="0.25">
      <c r="A850" t="s">
        <v>1034</v>
      </c>
      <c r="B850" s="1">
        <v>45209</v>
      </c>
      <c r="C850" t="s">
        <v>1005</v>
      </c>
      <c r="D850">
        <v>10</v>
      </c>
      <c r="E850" t="str">
        <f>+CONCATENATE("T",ROUNDUP(MONTH(Datos[[#This Row],[Fecha]])/3,0))</f>
        <v>T4</v>
      </c>
      <c r="F850" t="str">
        <f>+CONCATENATE("Sem"," ",ROUNDUP(MONTH(Datos[[#This Row],[Fecha]])/6,0))</f>
        <v>Sem 2</v>
      </c>
      <c r="G850" t="s">
        <v>36</v>
      </c>
      <c r="H850" t="s">
        <v>37</v>
      </c>
      <c r="I850" t="s">
        <v>24</v>
      </c>
      <c r="J850" t="s">
        <v>38</v>
      </c>
      <c r="K850" t="s">
        <v>39</v>
      </c>
      <c r="L850" t="s">
        <v>40</v>
      </c>
      <c r="M850" t="s">
        <v>41</v>
      </c>
      <c r="N850" s="1">
        <v>45209</v>
      </c>
      <c r="O850" s="1">
        <v>45299</v>
      </c>
      <c r="P850" t="s">
        <v>29</v>
      </c>
      <c r="Q850">
        <f>+IF(OR(Datos[[#This Row],[Diagnostico]]="Inservible",Datos[[#This Row],[Estatus]]="Preventivo"),0,Datos[[#This Row],[Fecha_Final]]-Datos[[#This Row],[Día_Inicio]])</f>
        <v>0</v>
      </c>
      <c r="R850" s="2">
        <v>606</v>
      </c>
      <c r="S850" s="2">
        <v>230</v>
      </c>
      <c r="T850" t="s">
        <v>42</v>
      </c>
    </row>
    <row r="851" spans="1:20" x14ac:dyDescent="0.25">
      <c r="A851" t="s">
        <v>1035</v>
      </c>
      <c r="B851" s="1">
        <v>45209</v>
      </c>
      <c r="C851" t="s">
        <v>1005</v>
      </c>
      <c r="D851">
        <v>10</v>
      </c>
      <c r="E851" t="str">
        <f>+CONCATENATE("T",ROUNDUP(MONTH(Datos[[#This Row],[Fecha]])/3,0))</f>
        <v>T4</v>
      </c>
      <c r="F851" t="str">
        <f>+CONCATENATE("Sem"," ",ROUNDUP(MONTH(Datos[[#This Row],[Fecha]])/6,0))</f>
        <v>Sem 2</v>
      </c>
      <c r="G851" t="s">
        <v>66</v>
      </c>
      <c r="H851" t="s">
        <v>67</v>
      </c>
      <c r="I851" t="s">
        <v>68</v>
      </c>
      <c r="J851" t="s">
        <v>69</v>
      </c>
      <c r="K851" t="s">
        <v>130</v>
      </c>
      <c r="L851" t="s">
        <v>27</v>
      </c>
      <c r="M851">
        <v>0</v>
      </c>
      <c r="N851" s="1">
        <v>45209</v>
      </c>
      <c r="O851" s="1">
        <v>45230</v>
      </c>
      <c r="P851" t="s">
        <v>28</v>
      </c>
      <c r="Q851">
        <f>+IF(OR(Datos[[#This Row],[Diagnostico]]="Inservible",Datos[[#This Row],[Estatus]]="Preventivo"),0,Datos[[#This Row],[Fecha_Final]]-Datos[[#This Row],[Día_Inicio]])</f>
        <v>0</v>
      </c>
      <c r="R851" s="2">
        <v>0</v>
      </c>
      <c r="S851" s="2">
        <v>0</v>
      </c>
      <c r="T851" t="s">
        <v>29</v>
      </c>
    </row>
    <row r="852" spans="1:20" x14ac:dyDescent="0.25">
      <c r="A852" t="s">
        <v>1036</v>
      </c>
      <c r="B852" s="1">
        <v>45210</v>
      </c>
      <c r="C852" t="s">
        <v>1005</v>
      </c>
      <c r="D852">
        <v>10</v>
      </c>
      <c r="E852" t="str">
        <f>+CONCATENATE("T",ROUNDUP(MONTH(Datos[[#This Row],[Fecha]])/3,0))</f>
        <v>T4</v>
      </c>
      <c r="F852" t="str">
        <f>+CONCATENATE("Sem"," ",ROUNDUP(MONTH(Datos[[#This Row],[Fecha]])/6,0))</f>
        <v>Sem 2</v>
      </c>
      <c r="G852" t="s">
        <v>215</v>
      </c>
      <c r="H852" t="s">
        <v>216</v>
      </c>
      <c r="I852" t="s">
        <v>24</v>
      </c>
      <c r="J852" t="s">
        <v>50</v>
      </c>
      <c r="K852" t="s">
        <v>135</v>
      </c>
      <c r="L852" t="s">
        <v>27</v>
      </c>
      <c r="M852">
        <v>0</v>
      </c>
      <c r="N852" s="1">
        <v>45210</v>
      </c>
      <c r="O852" s="1">
        <v>45239</v>
      </c>
      <c r="P852" t="s">
        <v>28</v>
      </c>
      <c r="Q852">
        <f>+IF(OR(Datos[[#This Row],[Diagnostico]]="Inservible",Datos[[#This Row],[Estatus]]="Preventivo"),0,Datos[[#This Row],[Fecha_Final]]-Datos[[#This Row],[Día_Inicio]])</f>
        <v>0</v>
      </c>
      <c r="R852" s="2">
        <v>0</v>
      </c>
      <c r="S852" s="2">
        <v>0</v>
      </c>
      <c r="T852" t="s">
        <v>29</v>
      </c>
    </row>
    <row r="853" spans="1:20" x14ac:dyDescent="0.25">
      <c r="A853" t="s">
        <v>1037</v>
      </c>
      <c r="B853" s="1">
        <v>45210</v>
      </c>
      <c r="C853" t="s">
        <v>1005</v>
      </c>
      <c r="D853">
        <v>10</v>
      </c>
      <c r="E853" t="str">
        <f>+CONCATENATE("T",ROUNDUP(MONTH(Datos[[#This Row],[Fecha]])/3,0))</f>
        <v>T4</v>
      </c>
      <c r="F853" t="str">
        <f>+CONCATENATE("Sem"," ",ROUNDUP(MONTH(Datos[[#This Row],[Fecha]])/6,0))</f>
        <v>Sem 2</v>
      </c>
      <c r="G853" t="s">
        <v>112</v>
      </c>
      <c r="H853" t="s">
        <v>113</v>
      </c>
      <c r="I853" t="s">
        <v>24</v>
      </c>
      <c r="J853" t="s">
        <v>79</v>
      </c>
      <c r="K853" t="s">
        <v>26</v>
      </c>
      <c r="L853" t="s">
        <v>27</v>
      </c>
      <c r="M853">
        <v>0</v>
      </c>
      <c r="N853" s="1">
        <v>45210</v>
      </c>
      <c r="O853" s="1">
        <v>45231</v>
      </c>
      <c r="P853" t="s">
        <v>58</v>
      </c>
      <c r="Q853">
        <f>+IF(OR(Datos[[#This Row],[Diagnostico]]="Inservible",Datos[[#This Row],[Estatus]]="Preventivo"),0,Datos[[#This Row],[Fecha_Final]]-Datos[[#This Row],[Día_Inicio]])</f>
        <v>21</v>
      </c>
      <c r="R853" s="2">
        <v>717</v>
      </c>
      <c r="S853" s="2">
        <v>432</v>
      </c>
      <c r="T853" t="s">
        <v>64</v>
      </c>
    </row>
    <row r="854" spans="1:20" x14ac:dyDescent="0.25">
      <c r="A854" t="s">
        <v>1038</v>
      </c>
      <c r="B854" s="1">
        <v>45210</v>
      </c>
      <c r="C854" t="s">
        <v>1005</v>
      </c>
      <c r="D854">
        <v>10</v>
      </c>
      <c r="E854" t="str">
        <f>+CONCATENATE("T",ROUNDUP(MONTH(Datos[[#This Row],[Fecha]])/3,0))</f>
        <v>T4</v>
      </c>
      <c r="F854" t="str">
        <f>+CONCATENATE("Sem"," ",ROUNDUP(MONTH(Datos[[#This Row],[Fecha]])/6,0))</f>
        <v>Sem 2</v>
      </c>
      <c r="G854" t="s">
        <v>99</v>
      </c>
      <c r="H854" t="s">
        <v>100</v>
      </c>
      <c r="I854" t="s">
        <v>101</v>
      </c>
      <c r="J854" t="s">
        <v>102</v>
      </c>
      <c r="K854" t="s">
        <v>34</v>
      </c>
      <c r="L854" t="s">
        <v>27</v>
      </c>
      <c r="M854">
        <v>0</v>
      </c>
      <c r="N854" s="1">
        <v>45210</v>
      </c>
      <c r="O854" s="1">
        <v>45221</v>
      </c>
      <c r="P854" t="s">
        <v>58</v>
      </c>
      <c r="Q854">
        <f>+IF(OR(Datos[[#This Row],[Diagnostico]]="Inservible",Datos[[#This Row],[Estatus]]="Preventivo"),0,Datos[[#This Row],[Fecha_Final]]-Datos[[#This Row],[Día_Inicio]])</f>
        <v>11</v>
      </c>
      <c r="R854" s="2">
        <v>952</v>
      </c>
      <c r="S854" s="2">
        <v>185</v>
      </c>
      <c r="T854" t="s">
        <v>91</v>
      </c>
    </row>
    <row r="855" spans="1:20" x14ac:dyDescent="0.25">
      <c r="A855" t="s">
        <v>1039</v>
      </c>
      <c r="B855" s="1">
        <v>45211</v>
      </c>
      <c r="C855" t="s">
        <v>1005</v>
      </c>
      <c r="D855">
        <v>10</v>
      </c>
      <c r="E855" t="str">
        <f>+CONCATENATE("T",ROUNDUP(MONTH(Datos[[#This Row],[Fecha]])/3,0))</f>
        <v>T4</v>
      </c>
      <c r="F855" t="str">
        <f>+CONCATENATE("Sem"," ",ROUNDUP(MONTH(Datos[[#This Row],[Fecha]])/6,0))</f>
        <v>Sem 2</v>
      </c>
      <c r="G855" t="s">
        <v>154</v>
      </c>
      <c r="H855" t="s">
        <v>155</v>
      </c>
      <c r="I855" t="s">
        <v>68</v>
      </c>
      <c r="J855" t="s">
        <v>156</v>
      </c>
      <c r="K855" t="s">
        <v>39</v>
      </c>
      <c r="L855" t="s">
        <v>27</v>
      </c>
      <c r="M855">
        <v>0</v>
      </c>
      <c r="N855" s="1">
        <v>45211</v>
      </c>
      <c r="O855" s="1">
        <v>45239</v>
      </c>
      <c r="P855" t="s">
        <v>28</v>
      </c>
      <c r="Q855">
        <f>+IF(OR(Datos[[#This Row],[Diagnostico]]="Inservible",Datos[[#This Row],[Estatus]]="Preventivo"),0,Datos[[#This Row],[Fecha_Final]]-Datos[[#This Row],[Día_Inicio]])</f>
        <v>0</v>
      </c>
      <c r="R855" s="2">
        <v>0</v>
      </c>
      <c r="S855" s="2">
        <v>0</v>
      </c>
      <c r="T855" t="s">
        <v>29</v>
      </c>
    </row>
    <row r="856" spans="1:20" x14ac:dyDescent="0.25">
      <c r="A856" t="s">
        <v>1040</v>
      </c>
      <c r="B856" s="1">
        <v>45211</v>
      </c>
      <c r="C856" t="s">
        <v>1005</v>
      </c>
      <c r="D856">
        <v>10</v>
      </c>
      <c r="E856" t="str">
        <f>+CONCATENATE("T",ROUNDUP(MONTH(Datos[[#This Row],[Fecha]])/3,0))</f>
        <v>T4</v>
      </c>
      <c r="F856" t="str">
        <f>+CONCATENATE("Sem"," ",ROUNDUP(MONTH(Datos[[#This Row],[Fecha]])/6,0))</f>
        <v>Sem 2</v>
      </c>
      <c r="G856" t="s">
        <v>283</v>
      </c>
      <c r="H856" t="s">
        <v>284</v>
      </c>
      <c r="I856" t="s">
        <v>24</v>
      </c>
      <c r="J856" t="s">
        <v>192</v>
      </c>
      <c r="K856" t="s">
        <v>47</v>
      </c>
      <c r="L856" t="s">
        <v>27</v>
      </c>
      <c r="M856">
        <v>0</v>
      </c>
      <c r="N856" s="1">
        <v>45211</v>
      </c>
      <c r="O856" s="1">
        <v>45225</v>
      </c>
      <c r="P856" t="s">
        <v>28</v>
      </c>
      <c r="Q856">
        <f>+IF(OR(Datos[[#This Row],[Diagnostico]]="Inservible",Datos[[#This Row],[Estatus]]="Preventivo"),0,Datos[[#This Row],[Fecha_Final]]-Datos[[#This Row],[Día_Inicio]])</f>
        <v>0</v>
      </c>
      <c r="R856" s="2">
        <v>0</v>
      </c>
      <c r="S856" s="2">
        <v>0</v>
      </c>
      <c r="T856" t="s">
        <v>29</v>
      </c>
    </row>
    <row r="857" spans="1:20" x14ac:dyDescent="0.25">
      <c r="A857" t="s">
        <v>1041</v>
      </c>
      <c r="B857" s="1">
        <v>45211</v>
      </c>
      <c r="C857" t="s">
        <v>1005</v>
      </c>
      <c r="D857">
        <v>10</v>
      </c>
      <c r="E857" t="str">
        <f>+CONCATENATE("T",ROUNDUP(MONTH(Datos[[#This Row],[Fecha]])/3,0))</f>
        <v>T4</v>
      </c>
      <c r="F857" t="str">
        <f>+CONCATENATE("Sem"," ",ROUNDUP(MONTH(Datos[[#This Row],[Fecha]])/6,0))</f>
        <v>Sem 2</v>
      </c>
      <c r="G857" t="s">
        <v>331</v>
      </c>
      <c r="H857" t="s">
        <v>332</v>
      </c>
      <c r="I857" t="s">
        <v>68</v>
      </c>
      <c r="J857" t="s">
        <v>74</v>
      </c>
      <c r="K857" t="s">
        <v>147</v>
      </c>
      <c r="L857" t="s">
        <v>27</v>
      </c>
      <c r="M857">
        <v>0</v>
      </c>
      <c r="N857" s="1">
        <v>45211</v>
      </c>
      <c r="O857" s="1">
        <v>45219</v>
      </c>
      <c r="P857" t="s">
        <v>28</v>
      </c>
      <c r="Q857">
        <f>+IF(OR(Datos[[#This Row],[Diagnostico]]="Inservible",Datos[[#This Row],[Estatus]]="Preventivo"),0,Datos[[#This Row],[Fecha_Final]]-Datos[[#This Row],[Día_Inicio]])</f>
        <v>0</v>
      </c>
      <c r="R857" s="2">
        <v>0</v>
      </c>
      <c r="S857" s="2">
        <v>0</v>
      </c>
      <c r="T857" t="s">
        <v>29</v>
      </c>
    </row>
    <row r="858" spans="1:20" x14ac:dyDescent="0.25">
      <c r="A858" t="s">
        <v>1042</v>
      </c>
      <c r="B858" s="1">
        <v>45211</v>
      </c>
      <c r="C858" t="s">
        <v>1005</v>
      </c>
      <c r="D858">
        <v>10</v>
      </c>
      <c r="E858" t="str">
        <f>+CONCATENATE("T",ROUNDUP(MONTH(Datos[[#This Row],[Fecha]])/3,0))</f>
        <v>T4</v>
      </c>
      <c r="F858" t="str">
        <f>+CONCATENATE("Sem"," ",ROUNDUP(MONTH(Datos[[#This Row],[Fecha]])/6,0))</f>
        <v>Sem 2</v>
      </c>
      <c r="G858" t="s">
        <v>141</v>
      </c>
      <c r="H858" t="s">
        <v>142</v>
      </c>
      <c r="I858" t="s">
        <v>24</v>
      </c>
      <c r="J858" t="s">
        <v>143</v>
      </c>
      <c r="K858" t="s">
        <v>57</v>
      </c>
      <c r="L858" t="s">
        <v>27</v>
      </c>
      <c r="M858">
        <v>0</v>
      </c>
      <c r="N858" s="1">
        <v>45211</v>
      </c>
      <c r="O858" s="1">
        <v>45239</v>
      </c>
      <c r="P858" t="s">
        <v>58</v>
      </c>
      <c r="Q858">
        <f>+IF(OR(Datos[[#This Row],[Diagnostico]]="Inservible",Datos[[#This Row],[Estatus]]="Preventivo"),0,Datos[[#This Row],[Fecha_Final]]-Datos[[#This Row],[Día_Inicio]])</f>
        <v>28</v>
      </c>
      <c r="R858" s="2">
        <v>851</v>
      </c>
      <c r="S858" s="2">
        <v>266</v>
      </c>
      <c r="T858" t="s">
        <v>59</v>
      </c>
    </row>
    <row r="859" spans="1:20" x14ac:dyDescent="0.25">
      <c r="A859" t="s">
        <v>1043</v>
      </c>
      <c r="B859" s="1">
        <v>45211</v>
      </c>
      <c r="C859" t="s">
        <v>1005</v>
      </c>
      <c r="D859">
        <v>10</v>
      </c>
      <c r="E859" t="str">
        <f>+CONCATENATE("T",ROUNDUP(MONTH(Datos[[#This Row],[Fecha]])/3,0))</f>
        <v>T4</v>
      </c>
      <c r="F859" t="str">
        <f>+CONCATENATE("Sem"," ",ROUNDUP(MONTH(Datos[[#This Row],[Fecha]])/6,0))</f>
        <v>Sem 2</v>
      </c>
      <c r="G859" t="s">
        <v>132</v>
      </c>
      <c r="H859" t="s">
        <v>133</v>
      </c>
      <c r="I859" t="s">
        <v>24</v>
      </c>
      <c r="J859" t="s">
        <v>134</v>
      </c>
      <c r="K859" t="s">
        <v>63</v>
      </c>
      <c r="L859" t="s">
        <v>27</v>
      </c>
      <c r="M859">
        <v>0</v>
      </c>
      <c r="N859" s="1">
        <v>45211</v>
      </c>
      <c r="O859" s="1">
        <v>45220</v>
      </c>
      <c r="P859" t="s">
        <v>28</v>
      </c>
      <c r="Q859">
        <f>+IF(OR(Datos[[#This Row],[Diagnostico]]="Inservible",Datos[[#This Row],[Estatus]]="Preventivo"),0,Datos[[#This Row],[Fecha_Final]]-Datos[[#This Row],[Día_Inicio]])</f>
        <v>0</v>
      </c>
      <c r="R859" s="2">
        <v>0</v>
      </c>
      <c r="S859" s="2">
        <v>0</v>
      </c>
      <c r="T859" t="s">
        <v>29</v>
      </c>
    </row>
    <row r="860" spans="1:20" x14ac:dyDescent="0.25">
      <c r="A860" t="s">
        <v>1044</v>
      </c>
      <c r="B860" s="1">
        <v>45211</v>
      </c>
      <c r="C860" t="s">
        <v>1005</v>
      </c>
      <c r="D860">
        <v>10</v>
      </c>
      <c r="E860" t="str">
        <f>+CONCATENATE("T",ROUNDUP(MONTH(Datos[[#This Row],[Fecha]])/3,0))</f>
        <v>T4</v>
      </c>
      <c r="F860" t="str">
        <f>+CONCATENATE("Sem"," ",ROUNDUP(MONTH(Datos[[#This Row],[Fecha]])/6,0))</f>
        <v>Sem 2</v>
      </c>
      <c r="G860" t="s">
        <v>66</v>
      </c>
      <c r="H860" t="s">
        <v>67</v>
      </c>
      <c r="I860" t="s">
        <v>68</v>
      </c>
      <c r="J860" t="s">
        <v>69</v>
      </c>
      <c r="K860" t="s">
        <v>39</v>
      </c>
      <c r="L860" t="s">
        <v>40</v>
      </c>
      <c r="M860" t="s">
        <v>103</v>
      </c>
      <c r="N860" s="1">
        <v>45211</v>
      </c>
      <c r="O860" s="1">
        <v>45226</v>
      </c>
      <c r="P860" t="s">
        <v>29</v>
      </c>
      <c r="Q860">
        <f>+IF(OR(Datos[[#This Row],[Diagnostico]]="Inservible",Datos[[#This Row],[Estatus]]="Preventivo"),0,Datos[[#This Row],[Fecha_Final]]-Datos[[#This Row],[Día_Inicio]])</f>
        <v>0</v>
      </c>
      <c r="R860" s="2">
        <v>713</v>
      </c>
      <c r="S860" s="2">
        <v>352</v>
      </c>
      <c r="T860" t="s">
        <v>42</v>
      </c>
    </row>
    <row r="861" spans="1:20" x14ac:dyDescent="0.25">
      <c r="A861" t="s">
        <v>1045</v>
      </c>
      <c r="B861" s="1">
        <v>45212</v>
      </c>
      <c r="C861" t="s">
        <v>1005</v>
      </c>
      <c r="D861">
        <v>10</v>
      </c>
      <c r="E861" t="str">
        <f>+CONCATENATE("T",ROUNDUP(MONTH(Datos[[#This Row],[Fecha]])/3,0))</f>
        <v>T4</v>
      </c>
      <c r="F861" t="str">
        <f>+CONCATENATE("Sem"," ",ROUNDUP(MONTH(Datos[[#This Row],[Fecha]])/6,0))</f>
        <v>Sem 2</v>
      </c>
      <c r="G861" t="s">
        <v>206</v>
      </c>
      <c r="H861" t="s">
        <v>207</v>
      </c>
      <c r="I861" t="s">
        <v>24</v>
      </c>
      <c r="J861" t="s">
        <v>160</v>
      </c>
      <c r="K861" t="s">
        <v>161</v>
      </c>
      <c r="L861" t="s">
        <v>27</v>
      </c>
      <c r="M861">
        <v>0</v>
      </c>
      <c r="N861" s="1">
        <v>45212</v>
      </c>
      <c r="O861" s="1">
        <v>45231</v>
      </c>
      <c r="P861" t="s">
        <v>28</v>
      </c>
      <c r="Q861">
        <f>+IF(OR(Datos[[#This Row],[Diagnostico]]="Inservible",Datos[[#This Row],[Estatus]]="Preventivo"),0,Datos[[#This Row],[Fecha_Final]]-Datos[[#This Row],[Día_Inicio]])</f>
        <v>0</v>
      </c>
      <c r="R861" s="2">
        <v>0</v>
      </c>
      <c r="S861" s="2">
        <v>0</v>
      </c>
      <c r="T861" t="s">
        <v>29</v>
      </c>
    </row>
    <row r="862" spans="1:20" x14ac:dyDescent="0.25">
      <c r="A862" t="s">
        <v>1046</v>
      </c>
      <c r="B862" s="1">
        <v>45212</v>
      </c>
      <c r="C862" t="s">
        <v>1005</v>
      </c>
      <c r="D862">
        <v>10</v>
      </c>
      <c r="E862" t="str">
        <f>+CONCATENATE("T",ROUNDUP(MONTH(Datos[[#This Row],[Fecha]])/3,0))</f>
        <v>T4</v>
      </c>
      <c r="F862" t="str">
        <f>+CONCATENATE("Sem"," ",ROUNDUP(MONTH(Datos[[#This Row],[Fecha]])/6,0))</f>
        <v>Sem 2</v>
      </c>
      <c r="G862" t="s">
        <v>286</v>
      </c>
      <c r="H862" t="s">
        <v>287</v>
      </c>
      <c r="I862" t="s">
        <v>24</v>
      </c>
      <c r="J862" t="s">
        <v>38</v>
      </c>
      <c r="K862" t="s">
        <v>39</v>
      </c>
      <c r="L862" t="s">
        <v>40</v>
      </c>
      <c r="M862" t="s">
        <v>196</v>
      </c>
      <c r="N862" s="1">
        <v>45212</v>
      </c>
      <c r="O862" s="1">
        <v>45242</v>
      </c>
      <c r="P862" t="s">
        <v>29</v>
      </c>
      <c r="Q862">
        <f>+IF(OR(Datos[[#This Row],[Diagnostico]]="Inservible",Datos[[#This Row],[Estatus]]="Preventivo"),0,Datos[[#This Row],[Fecha_Final]]-Datos[[#This Row],[Día_Inicio]])</f>
        <v>0</v>
      </c>
      <c r="R862" s="2">
        <v>467</v>
      </c>
      <c r="S862" s="2">
        <v>101</v>
      </c>
      <c r="T862" t="s">
        <v>42</v>
      </c>
    </row>
    <row r="863" spans="1:20" x14ac:dyDescent="0.25">
      <c r="A863" t="s">
        <v>1047</v>
      </c>
      <c r="B863" s="1">
        <v>45214</v>
      </c>
      <c r="C863" t="s">
        <v>1005</v>
      </c>
      <c r="D863">
        <v>10</v>
      </c>
      <c r="E863" t="str">
        <f>+CONCATENATE("T",ROUNDUP(MONTH(Datos[[#This Row],[Fecha]])/3,0))</f>
        <v>T4</v>
      </c>
      <c r="F863" t="str">
        <f>+CONCATENATE("Sem"," ",ROUNDUP(MONTH(Datos[[#This Row],[Fecha]])/6,0))</f>
        <v>Sem 2</v>
      </c>
      <c r="G863" t="s">
        <v>206</v>
      </c>
      <c r="H863" t="s">
        <v>207</v>
      </c>
      <c r="I863" t="s">
        <v>24</v>
      </c>
      <c r="J863" t="s">
        <v>160</v>
      </c>
      <c r="K863" t="s">
        <v>85</v>
      </c>
      <c r="L863" t="s">
        <v>27</v>
      </c>
      <c r="M863">
        <v>0</v>
      </c>
      <c r="N863" s="1">
        <v>45214</v>
      </c>
      <c r="O863" s="1">
        <v>45222</v>
      </c>
      <c r="P863" t="s">
        <v>28</v>
      </c>
      <c r="Q863">
        <f>+IF(OR(Datos[[#This Row],[Diagnostico]]="Inservible",Datos[[#This Row],[Estatus]]="Preventivo"),0,Datos[[#This Row],[Fecha_Final]]-Datos[[#This Row],[Día_Inicio]])</f>
        <v>0</v>
      </c>
      <c r="R863" s="2">
        <v>0</v>
      </c>
      <c r="S863" s="2">
        <v>0</v>
      </c>
      <c r="T863" t="s">
        <v>29</v>
      </c>
    </row>
    <row r="864" spans="1:20" x14ac:dyDescent="0.25">
      <c r="A864" t="s">
        <v>1048</v>
      </c>
      <c r="B864" s="1">
        <v>45214</v>
      </c>
      <c r="C864" t="s">
        <v>1005</v>
      </c>
      <c r="D864">
        <v>10</v>
      </c>
      <c r="E864" t="str">
        <f>+CONCATENATE("T",ROUNDUP(MONTH(Datos[[#This Row],[Fecha]])/3,0))</f>
        <v>T4</v>
      </c>
      <c r="F864" t="str">
        <f>+CONCATENATE("Sem"," ",ROUNDUP(MONTH(Datos[[#This Row],[Fecha]])/6,0))</f>
        <v>Sem 2</v>
      </c>
      <c r="G864" t="s">
        <v>257</v>
      </c>
      <c r="H864" t="s">
        <v>258</v>
      </c>
      <c r="I864" t="s">
        <v>24</v>
      </c>
      <c r="J864" t="s">
        <v>204</v>
      </c>
      <c r="K864" t="s">
        <v>39</v>
      </c>
      <c r="L864" t="s">
        <v>40</v>
      </c>
      <c r="M864" t="s">
        <v>51</v>
      </c>
      <c r="N864" s="1">
        <v>45214</v>
      </c>
      <c r="O864" s="1">
        <v>45274</v>
      </c>
      <c r="P864" t="s">
        <v>29</v>
      </c>
      <c r="Q864">
        <f>+IF(OR(Datos[[#This Row],[Diagnostico]]="Inservible",Datos[[#This Row],[Estatus]]="Preventivo"),0,Datos[[#This Row],[Fecha_Final]]-Datos[[#This Row],[Día_Inicio]])</f>
        <v>0</v>
      </c>
      <c r="R864" s="2">
        <v>1060</v>
      </c>
      <c r="S864" s="2">
        <v>719</v>
      </c>
      <c r="T864" t="s">
        <v>42</v>
      </c>
    </row>
    <row r="865" spans="1:20" x14ac:dyDescent="0.25">
      <c r="A865" t="s">
        <v>1049</v>
      </c>
      <c r="B865" s="1">
        <v>45215</v>
      </c>
      <c r="C865" t="s">
        <v>1005</v>
      </c>
      <c r="D865">
        <v>10</v>
      </c>
      <c r="E865" t="str">
        <f>+CONCATENATE("T",ROUNDUP(MONTH(Datos[[#This Row],[Fecha]])/3,0))</f>
        <v>T4</v>
      </c>
      <c r="F865" t="str">
        <f>+CONCATENATE("Sem"," ",ROUNDUP(MONTH(Datos[[#This Row],[Fecha]])/6,0))</f>
        <v>Sem 2</v>
      </c>
      <c r="G865" t="s">
        <v>87</v>
      </c>
      <c r="H865" t="s">
        <v>88</v>
      </c>
      <c r="I865" t="s">
        <v>68</v>
      </c>
      <c r="J865" t="s">
        <v>89</v>
      </c>
      <c r="K865" t="s">
        <v>172</v>
      </c>
      <c r="L865" t="s">
        <v>27</v>
      </c>
      <c r="M865">
        <v>0</v>
      </c>
      <c r="N865" s="1">
        <v>45215</v>
      </c>
      <c r="O865" s="1">
        <v>45229</v>
      </c>
      <c r="P865" t="s">
        <v>28</v>
      </c>
      <c r="Q865">
        <f>+IF(OR(Datos[[#This Row],[Diagnostico]]="Inservible",Datos[[#This Row],[Estatus]]="Preventivo"),0,Datos[[#This Row],[Fecha_Final]]-Datos[[#This Row],[Día_Inicio]])</f>
        <v>0</v>
      </c>
      <c r="R865" s="2">
        <v>0</v>
      </c>
      <c r="S865" s="2">
        <v>0</v>
      </c>
      <c r="T865" t="s">
        <v>29</v>
      </c>
    </row>
    <row r="866" spans="1:20" x14ac:dyDescent="0.25">
      <c r="A866" t="s">
        <v>1050</v>
      </c>
      <c r="B866" s="1">
        <v>45215</v>
      </c>
      <c r="C866" t="s">
        <v>1005</v>
      </c>
      <c r="D866">
        <v>10</v>
      </c>
      <c r="E866" t="str">
        <f>+CONCATENATE("T",ROUNDUP(MONTH(Datos[[#This Row],[Fecha]])/3,0))</f>
        <v>T4</v>
      </c>
      <c r="F866" t="str">
        <f>+CONCATENATE("Sem"," ",ROUNDUP(MONTH(Datos[[#This Row],[Fecha]])/6,0))</f>
        <v>Sem 2</v>
      </c>
      <c r="G866" t="s">
        <v>164</v>
      </c>
      <c r="H866" t="s">
        <v>165</v>
      </c>
      <c r="I866" t="s">
        <v>24</v>
      </c>
      <c r="J866" t="s">
        <v>166</v>
      </c>
      <c r="K866" t="s">
        <v>97</v>
      </c>
      <c r="L866" t="s">
        <v>27</v>
      </c>
      <c r="M866">
        <v>0</v>
      </c>
      <c r="N866" s="1">
        <v>45215</v>
      </c>
      <c r="O866" s="1">
        <v>45242</v>
      </c>
      <c r="P866" t="s">
        <v>28</v>
      </c>
      <c r="Q866">
        <f>+IF(OR(Datos[[#This Row],[Diagnostico]]="Inservible",Datos[[#This Row],[Estatus]]="Preventivo"),0,Datos[[#This Row],[Fecha_Final]]-Datos[[#This Row],[Día_Inicio]])</f>
        <v>0</v>
      </c>
      <c r="R866" s="2">
        <v>0</v>
      </c>
      <c r="S866" s="2">
        <v>0</v>
      </c>
      <c r="T866" t="s">
        <v>29</v>
      </c>
    </row>
    <row r="867" spans="1:20" x14ac:dyDescent="0.25">
      <c r="A867" t="s">
        <v>1051</v>
      </c>
      <c r="B867" s="1">
        <v>45215</v>
      </c>
      <c r="C867" t="s">
        <v>1005</v>
      </c>
      <c r="D867">
        <v>10</v>
      </c>
      <c r="E867" t="str">
        <f>+CONCATENATE("T",ROUNDUP(MONTH(Datos[[#This Row],[Fecha]])/3,0))</f>
        <v>T4</v>
      </c>
      <c r="F867" t="str">
        <f>+CONCATENATE("Sem"," ",ROUNDUP(MONTH(Datos[[#This Row],[Fecha]])/6,0))</f>
        <v>Sem 2</v>
      </c>
      <c r="G867" t="s">
        <v>61</v>
      </c>
      <c r="H867" t="s">
        <v>62</v>
      </c>
      <c r="I867" t="s">
        <v>24</v>
      </c>
      <c r="J867" t="s">
        <v>46</v>
      </c>
      <c r="K867" t="s">
        <v>178</v>
      </c>
      <c r="L867" t="s">
        <v>27</v>
      </c>
      <c r="M867">
        <v>0</v>
      </c>
      <c r="N867" s="1">
        <v>45215</v>
      </c>
      <c r="O867" s="1">
        <v>45223</v>
      </c>
      <c r="P867" t="s">
        <v>58</v>
      </c>
      <c r="Q867">
        <f>+IF(OR(Datos[[#This Row],[Diagnostico]]="Inservible",Datos[[#This Row],[Estatus]]="Preventivo"),0,Datos[[#This Row],[Fecha_Final]]-Datos[[#This Row],[Día_Inicio]])</f>
        <v>8</v>
      </c>
      <c r="R867" s="2">
        <v>920</v>
      </c>
      <c r="S867" s="2">
        <v>673</v>
      </c>
      <c r="T867" t="s">
        <v>42</v>
      </c>
    </row>
    <row r="868" spans="1:20" x14ac:dyDescent="0.25">
      <c r="A868" t="s">
        <v>1052</v>
      </c>
      <c r="B868" s="1">
        <v>45215</v>
      </c>
      <c r="C868" t="s">
        <v>1005</v>
      </c>
      <c r="D868">
        <v>10</v>
      </c>
      <c r="E868" t="str">
        <f>+CONCATENATE("T",ROUNDUP(MONTH(Datos[[#This Row],[Fecha]])/3,0))</f>
        <v>T4</v>
      </c>
      <c r="F868" t="str">
        <f>+CONCATENATE("Sem"," ",ROUNDUP(MONTH(Datos[[#This Row],[Fecha]])/6,0))</f>
        <v>Sem 2</v>
      </c>
      <c r="G868" t="s">
        <v>175</v>
      </c>
      <c r="H868" t="s">
        <v>176</v>
      </c>
      <c r="I868" t="s">
        <v>24</v>
      </c>
      <c r="J868" t="s">
        <v>177</v>
      </c>
      <c r="K868" t="s">
        <v>39</v>
      </c>
      <c r="L868" t="s">
        <v>40</v>
      </c>
      <c r="M868" t="s">
        <v>208</v>
      </c>
      <c r="N868" s="1">
        <v>45215</v>
      </c>
      <c r="O868" s="1">
        <v>45222</v>
      </c>
      <c r="P868" t="s">
        <v>29</v>
      </c>
      <c r="Q868">
        <f>+IF(OR(Datos[[#This Row],[Diagnostico]]="Inservible",Datos[[#This Row],[Estatus]]="Preventivo"),0,Datos[[#This Row],[Fecha_Final]]-Datos[[#This Row],[Día_Inicio]])</f>
        <v>0</v>
      </c>
      <c r="R868" s="2">
        <v>1128</v>
      </c>
      <c r="S868" s="2">
        <v>592</v>
      </c>
      <c r="T868" t="s">
        <v>42</v>
      </c>
    </row>
    <row r="869" spans="1:20" x14ac:dyDescent="0.25">
      <c r="A869" t="s">
        <v>1053</v>
      </c>
      <c r="B869" s="1">
        <v>45216</v>
      </c>
      <c r="C869" t="s">
        <v>1005</v>
      </c>
      <c r="D869">
        <v>10</v>
      </c>
      <c r="E869" t="str">
        <f>+CONCATENATE("T",ROUNDUP(MONTH(Datos[[#This Row],[Fecha]])/3,0))</f>
        <v>T4</v>
      </c>
      <c r="F869" t="str">
        <f>+CONCATENATE("Sem"," ",ROUNDUP(MONTH(Datos[[#This Row],[Fecha]])/6,0))</f>
        <v>Sem 2</v>
      </c>
      <c r="G869" t="s">
        <v>206</v>
      </c>
      <c r="H869" t="s">
        <v>207</v>
      </c>
      <c r="I869" t="s">
        <v>24</v>
      </c>
      <c r="J869" t="s">
        <v>160</v>
      </c>
      <c r="K869" t="s">
        <v>110</v>
      </c>
      <c r="L869" t="s">
        <v>27</v>
      </c>
      <c r="M869">
        <v>0</v>
      </c>
      <c r="N869" s="1">
        <v>45216</v>
      </c>
      <c r="O869" s="1">
        <v>45219</v>
      </c>
      <c r="P869" t="s">
        <v>58</v>
      </c>
      <c r="Q869">
        <f>+IF(OR(Datos[[#This Row],[Diagnostico]]="Inservible",Datos[[#This Row],[Estatus]]="Preventivo"),0,Datos[[#This Row],[Fecha_Final]]-Datos[[#This Row],[Día_Inicio]])</f>
        <v>3</v>
      </c>
      <c r="R869" s="2">
        <v>999</v>
      </c>
      <c r="S869" s="2">
        <v>929</v>
      </c>
      <c r="T869" t="s">
        <v>64</v>
      </c>
    </row>
    <row r="870" spans="1:20" x14ac:dyDescent="0.25">
      <c r="A870" t="s">
        <v>1054</v>
      </c>
      <c r="B870" s="1">
        <v>45216</v>
      </c>
      <c r="C870" t="s">
        <v>1005</v>
      </c>
      <c r="D870">
        <v>10</v>
      </c>
      <c r="E870" t="str">
        <f>+CONCATENATE("T",ROUNDUP(MONTH(Datos[[#This Row],[Fecha]])/3,0))</f>
        <v>T4</v>
      </c>
      <c r="F870" t="str">
        <f>+CONCATENATE("Sem"," ",ROUNDUP(MONTH(Datos[[#This Row],[Fecha]])/6,0))</f>
        <v>Sem 2</v>
      </c>
      <c r="G870" t="s">
        <v>202</v>
      </c>
      <c r="H870" t="s">
        <v>203</v>
      </c>
      <c r="I870" t="s">
        <v>24</v>
      </c>
      <c r="J870" t="s">
        <v>204</v>
      </c>
      <c r="K870" t="s">
        <v>39</v>
      </c>
      <c r="L870" t="s">
        <v>40</v>
      </c>
      <c r="M870" t="s">
        <v>41</v>
      </c>
      <c r="N870" s="1">
        <v>45216</v>
      </c>
      <c r="O870" s="1">
        <v>45306</v>
      </c>
      <c r="P870" t="s">
        <v>29</v>
      </c>
      <c r="Q870">
        <f>+IF(OR(Datos[[#This Row],[Diagnostico]]="Inservible",Datos[[#This Row],[Estatus]]="Preventivo"),0,Datos[[#This Row],[Fecha_Final]]-Datos[[#This Row],[Día_Inicio]])</f>
        <v>0</v>
      </c>
      <c r="R870" s="2">
        <v>425</v>
      </c>
      <c r="S870" s="2">
        <v>793</v>
      </c>
      <c r="T870" t="s">
        <v>42</v>
      </c>
    </row>
    <row r="871" spans="1:20" x14ac:dyDescent="0.25">
      <c r="A871" t="s">
        <v>1055</v>
      </c>
      <c r="B871" s="1">
        <v>45217</v>
      </c>
      <c r="C871" t="s">
        <v>1005</v>
      </c>
      <c r="D871">
        <v>10</v>
      </c>
      <c r="E871" t="str">
        <f>+CONCATENATE("T",ROUNDUP(MONTH(Datos[[#This Row],[Fecha]])/3,0))</f>
        <v>T4</v>
      </c>
      <c r="F871" t="str">
        <f>+CONCATENATE("Sem"," ",ROUNDUP(MONTH(Datos[[#This Row],[Fecha]])/6,0))</f>
        <v>Sem 2</v>
      </c>
      <c r="G871" t="s">
        <v>154</v>
      </c>
      <c r="H871" t="s">
        <v>155</v>
      </c>
      <c r="I871" t="s">
        <v>68</v>
      </c>
      <c r="J871" t="s">
        <v>156</v>
      </c>
      <c r="K871" t="s">
        <v>119</v>
      </c>
      <c r="L871" t="s">
        <v>27</v>
      </c>
      <c r="M871">
        <v>0</v>
      </c>
      <c r="N871" s="1">
        <v>45217</v>
      </c>
      <c r="O871" s="1">
        <v>45238</v>
      </c>
      <c r="P871" t="s">
        <v>28</v>
      </c>
      <c r="Q871">
        <f>+IF(OR(Datos[[#This Row],[Diagnostico]]="Inservible",Datos[[#This Row],[Estatus]]="Preventivo"),0,Datos[[#This Row],[Fecha_Final]]-Datos[[#This Row],[Día_Inicio]])</f>
        <v>0</v>
      </c>
      <c r="R871" s="2">
        <v>0</v>
      </c>
      <c r="S871" s="2">
        <v>0</v>
      </c>
      <c r="T871" t="s">
        <v>29</v>
      </c>
    </row>
    <row r="872" spans="1:20" x14ac:dyDescent="0.25">
      <c r="A872" t="s">
        <v>1056</v>
      </c>
      <c r="B872" s="1">
        <v>45217</v>
      </c>
      <c r="C872" t="s">
        <v>1005</v>
      </c>
      <c r="D872">
        <v>10</v>
      </c>
      <c r="E872" t="str">
        <f>+CONCATENATE("T",ROUNDUP(MONTH(Datos[[#This Row],[Fecha]])/3,0))</f>
        <v>T4</v>
      </c>
      <c r="F872" t="str">
        <f>+CONCATENATE("Sem"," ",ROUNDUP(MONTH(Datos[[#This Row],[Fecha]])/6,0))</f>
        <v>Sem 2</v>
      </c>
      <c r="G872" t="s">
        <v>105</v>
      </c>
      <c r="H872" t="s">
        <v>106</v>
      </c>
      <c r="I872" t="s">
        <v>24</v>
      </c>
      <c r="J872" t="s">
        <v>107</v>
      </c>
      <c r="K872" t="s">
        <v>123</v>
      </c>
      <c r="L872" t="s">
        <v>27</v>
      </c>
      <c r="M872">
        <v>0</v>
      </c>
      <c r="N872" s="1">
        <v>45217</v>
      </c>
      <c r="O872" s="1">
        <v>45219</v>
      </c>
      <c r="P872" t="s">
        <v>58</v>
      </c>
      <c r="Q872">
        <f>+IF(OR(Datos[[#This Row],[Diagnostico]]="Inservible",Datos[[#This Row],[Estatus]]="Preventivo"),0,Datos[[#This Row],[Fecha_Final]]-Datos[[#This Row],[Día_Inicio]])</f>
        <v>2</v>
      </c>
      <c r="R872" s="2">
        <v>438</v>
      </c>
      <c r="S872" s="2">
        <v>376</v>
      </c>
      <c r="T872" t="s">
        <v>59</v>
      </c>
    </row>
    <row r="873" spans="1:20" x14ac:dyDescent="0.25">
      <c r="A873" t="s">
        <v>1057</v>
      </c>
      <c r="B873" s="1">
        <v>45217</v>
      </c>
      <c r="C873" t="s">
        <v>1005</v>
      </c>
      <c r="D873">
        <v>10</v>
      </c>
      <c r="E873" t="str">
        <f>+CONCATENATE("T",ROUNDUP(MONTH(Datos[[#This Row],[Fecha]])/3,0))</f>
        <v>T4</v>
      </c>
      <c r="F873" t="str">
        <f>+CONCATENATE("Sem"," ",ROUNDUP(MONTH(Datos[[#This Row],[Fecha]])/6,0))</f>
        <v>Sem 2</v>
      </c>
      <c r="G873" t="s">
        <v>66</v>
      </c>
      <c r="H873" t="s">
        <v>67</v>
      </c>
      <c r="I873" t="s">
        <v>68</v>
      </c>
      <c r="J873" t="s">
        <v>69</v>
      </c>
      <c r="K873" t="s">
        <v>128</v>
      </c>
      <c r="L873" t="s">
        <v>27</v>
      </c>
      <c r="M873">
        <v>0</v>
      </c>
      <c r="N873" s="1">
        <v>45217</v>
      </c>
      <c r="O873" s="1">
        <v>45239</v>
      </c>
      <c r="P873" t="s">
        <v>28</v>
      </c>
      <c r="Q873">
        <f>+IF(OR(Datos[[#This Row],[Diagnostico]]="Inservible",Datos[[#This Row],[Estatus]]="Preventivo"),0,Datos[[#This Row],[Fecha_Final]]-Datos[[#This Row],[Día_Inicio]])</f>
        <v>0</v>
      </c>
      <c r="R873" s="2">
        <v>0</v>
      </c>
      <c r="S873" s="2">
        <v>0</v>
      </c>
      <c r="T873" t="s">
        <v>29</v>
      </c>
    </row>
    <row r="874" spans="1:20" x14ac:dyDescent="0.25">
      <c r="A874" t="s">
        <v>1058</v>
      </c>
      <c r="B874" s="1">
        <v>45219</v>
      </c>
      <c r="C874" t="s">
        <v>1005</v>
      </c>
      <c r="D874">
        <v>10</v>
      </c>
      <c r="E874" t="str">
        <f>+CONCATENATE("T",ROUNDUP(MONTH(Datos[[#This Row],[Fecha]])/3,0))</f>
        <v>T4</v>
      </c>
      <c r="F874" t="str">
        <f>+CONCATENATE("Sem"," ",ROUNDUP(MONTH(Datos[[#This Row],[Fecha]])/6,0))</f>
        <v>Sem 2</v>
      </c>
      <c r="G874" t="s">
        <v>180</v>
      </c>
      <c r="H874" t="s">
        <v>181</v>
      </c>
      <c r="I874" t="s">
        <v>24</v>
      </c>
      <c r="J874" t="s">
        <v>127</v>
      </c>
      <c r="K874" t="s">
        <v>39</v>
      </c>
      <c r="L874" t="s">
        <v>40</v>
      </c>
      <c r="M874" t="s">
        <v>51</v>
      </c>
      <c r="N874" s="1">
        <v>45219</v>
      </c>
      <c r="O874" s="1">
        <v>45279</v>
      </c>
      <c r="P874" t="s">
        <v>29</v>
      </c>
      <c r="Q874">
        <f>+IF(OR(Datos[[#This Row],[Diagnostico]]="Inservible",Datos[[#This Row],[Estatus]]="Preventivo"),0,Datos[[#This Row],[Fecha_Final]]-Datos[[#This Row],[Día_Inicio]])</f>
        <v>0</v>
      </c>
      <c r="R874" s="2">
        <v>529</v>
      </c>
      <c r="S874" s="2">
        <v>646</v>
      </c>
      <c r="T874" t="s">
        <v>42</v>
      </c>
    </row>
    <row r="875" spans="1:20" x14ac:dyDescent="0.25">
      <c r="A875" t="s">
        <v>1059</v>
      </c>
      <c r="B875" s="1">
        <v>45219</v>
      </c>
      <c r="C875" t="s">
        <v>1005</v>
      </c>
      <c r="D875">
        <v>10</v>
      </c>
      <c r="E875" t="str">
        <f>+CONCATENATE("T",ROUNDUP(MONTH(Datos[[#This Row],[Fecha]])/3,0))</f>
        <v>T4</v>
      </c>
      <c r="F875" t="str">
        <f>+CONCATENATE("Sem"," ",ROUNDUP(MONTH(Datos[[#This Row],[Fecha]])/6,0))</f>
        <v>Sem 2</v>
      </c>
      <c r="G875" t="s">
        <v>132</v>
      </c>
      <c r="H875" t="s">
        <v>133</v>
      </c>
      <c r="I875" t="s">
        <v>24</v>
      </c>
      <c r="J875" t="s">
        <v>134</v>
      </c>
      <c r="K875" t="s">
        <v>135</v>
      </c>
      <c r="L875" t="s">
        <v>27</v>
      </c>
      <c r="M875">
        <v>0</v>
      </c>
      <c r="N875" s="1">
        <v>45219</v>
      </c>
      <c r="O875" s="1">
        <v>45221</v>
      </c>
      <c r="P875" t="s">
        <v>58</v>
      </c>
      <c r="Q875">
        <f>+IF(OR(Datos[[#This Row],[Diagnostico]]="Inservible",Datos[[#This Row],[Estatus]]="Preventivo"),0,Datos[[#This Row],[Fecha_Final]]-Datos[[#This Row],[Día_Inicio]])</f>
        <v>2</v>
      </c>
      <c r="R875" s="2">
        <v>511</v>
      </c>
      <c r="S875" s="2">
        <v>527</v>
      </c>
      <c r="T875" t="s">
        <v>42</v>
      </c>
    </row>
    <row r="876" spans="1:20" x14ac:dyDescent="0.25">
      <c r="A876" t="s">
        <v>1060</v>
      </c>
      <c r="B876" s="1">
        <v>45219</v>
      </c>
      <c r="C876" t="s">
        <v>1005</v>
      </c>
      <c r="D876">
        <v>10</v>
      </c>
      <c r="E876" t="str">
        <f>+CONCATENATE("T",ROUNDUP(MONTH(Datos[[#This Row],[Fecha]])/3,0))</f>
        <v>T4</v>
      </c>
      <c r="F876" t="str">
        <f>+CONCATENATE("Sem"," ",ROUNDUP(MONTH(Datos[[#This Row],[Fecha]])/6,0))</f>
        <v>Sem 2</v>
      </c>
      <c r="G876" t="s">
        <v>66</v>
      </c>
      <c r="H876" t="s">
        <v>67</v>
      </c>
      <c r="I876" t="s">
        <v>68</v>
      </c>
      <c r="J876" t="s">
        <v>69</v>
      </c>
      <c r="K876" t="s">
        <v>26</v>
      </c>
      <c r="L876" t="s">
        <v>27</v>
      </c>
      <c r="M876">
        <v>0</v>
      </c>
      <c r="N876" s="1">
        <v>45219</v>
      </c>
      <c r="O876" s="1">
        <v>45242</v>
      </c>
      <c r="P876" t="s">
        <v>58</v>
      </c>
      <c r="Q876">
        <f>+IF(OR(Datos[[#This Row],[Diagnostico]]="Inservible",Datos[[#This Row],[Estatus]]="Preventivo"),0,Datos[[#This Row],[Fecha_Final]]-Datos[[#This Row],[Día_Inicio]])</f>
        <v>23</v>
      </c>
      <c r="R876" s="2">
        <v>521</v>
      </c>
      <c r="S876" s="2">
        <v>213</v>
      </c>
      <c r="T876" t="s">
        <v>42</v>
      </c>
    </row>
    <row r="877" spans="1:20" x14ac:dyDescent="0.25">
      <c r="A877" t="s">
        <v>1061</v>
      </c>
      <c r="B877" s="1">
        <v>45219</v>
      </c>
      <c r="C877" t="s">
        <v>1005</v>
      </c>
      <c r="D877">
        <v>10</v>
      </c>
      <c r="E877" t="str">
        <f>+CONCATENATE("T",ROUNDUP(MONTH(Datos[[#This Row],[Fecha]])/3,0))</f>
        <v>T4</v>
      </c>
      <c r="F877" t="str">
        <f>+CONCATENATE("Sem"," ",ROUNDUP(MONTH(Datos[[#This Row],[Fecha]])/6,0))</f>
        <v>Sem 2</v>
      </c>
      <c r="G877" t="s">
        <v>72</v>
      </c>
      <c r="H877" t="s">
        <v>73</v>
      </c>
      <c r="I877" t="s">
        <v>24</v>
      </c>
      <c r="J877" t="s">
        <v>74</v>
      </c>
      <c r="K877" t="s">
        <v>34</v>
      </c>
      <c r="L877" t="s">
        <v>27</v>
      </c>
      <c r="M877">
        <v>0</v>
      </c>
      <c r="N877" s="1">
        <v>45219</v>
      </c>
      <c r="O877" s="1">
        <v>45245</v>
      </c>
      <c r="P877" t="s">
        <v>58</v>
      </c>
      <c r="Q877">
        <f>+IF(OR(Datos[[#This Row],[Diagnostico]]="Inservible",Datos[[#This Row],[Estatus]]="Preventivo"),0,Datos[[#This Row],[Fecha_Final]]-Datos[[#This Row],[Día_Inicio]])</f>
        <v>26</v>
      </c>
      <c r="R877" s="2">
        <v>880</v>
      </c>
      <c r="S877" s="2">
        <v>271</v>
      </c>
      <c r="T877" t="s">
        <v>59</v>
      </c>
    </row>
    <row r="878" spans="1:20" x14ac:dyDescent="0.25">
      <c r="A878" t="s">
        <v>1062</v>
      </c>
      <c r="B878" s="1">
        <v>45219</v>
      </c>
      <c r="C878" t="s">
        <v>1005</v>
      </c>
      <c r="D878">
        <v>10</v>
      </c>
      <c r="E878" t="str">
        <f>+CONCATENATE("T",ROUNDUP(MONTH(Datos[[#This Row],[Fecha]])/3,0))</f>
        <v>T4</v>
      </c>
      <c r="F878" t="str">
        <f>+CONCATENATE("Sem"," ",ROUNDUP(MONTH(Datos[[#This Row],[Fecha]])/6,0))</f>
        <v>Sem 2</v>
      </c>
      <c r="G878" t="s">
        <v>87</v>
      </c>
      <c r="H878" t="s">
        <v>88</v>
      </c>
      <c r="I878" t="s">
        <v>68</v>
      </c>
      <c r="J878" t="s">
        <v>89</v>
      </c>
      <c r="K878" t="s">
        <v>39</v>
      </c>
      <c r="L878" t="s">
        <v>27</v>
      </c>
      <c r="M878">
        <v>0</v>
      </c>
      <c r="N878" s="1">
        <v>45219</v>
      </c>
      <c r="O878" s="1">
        <v>45226</v>
      </c>
      <c r="P878" t="s">
        <v>58</v>
      </c>
      <c r="Q878">
        <f>+IF(OR(Datos[[#This Row],[Diagnostico]]="Inservible",Datos[[#This Row],[Estatus]]="Preventivo"),0,Datos[[#This Row],[Fecha_Final]]-Datos[[#This Row],[Día_Inicio]])</f>
        <v>7</v>
      </c>
      <c r="R878" s="2">
        <v>457</v>
      </c>
      <c r="S878" s="2">
        <v>327</v>
      </c>
      <c r="T878" t="s">
        <v>64</v>
      </c>
    </row>
    <row r="879" spans="1:20" x14ac:dyDescent="0.25">
      <c r="A879" t="s">
        <v>1063</v>
      </c>
      <c r="B879" s="1">
        <v>45219</v>
      </c>
      <c r="C879" t="s">
        <v>1005</v>
      </c>
      <c r="D879">
        <v>10</v>
      </c>
      <c r="E879" t="str">
        <f>+CONCATENATE("T",ROUNDUP(MONTH(Datos[[#This Row],[Fecha]])/3,0))</f>
        <v>T4</v>
      </c>
      <c r="F879" t="str">
        <f>+CONCATENATE("Sem"," ",ROUNDUP(MONTH(Datos[[#This Row],[Fecha]])/6,0))</f>
        <v>Sem 2</v>
      </c>
      <c r="G879" t="s">
        <v>49</v>
      </c>
      <c r="H879" t="s">
        <v>23</v>
      </c>
      <c r="I879" t="s">
        <v>24</v>
      </c>
      <c r="J879" t="s">
        <v>50</v>
      </c>
      <c r="K879" t="s">
        <v>47</v>
      </c>
      <c r="L879" t="s">
        <v>27</v>
      </c>
      <c r="M879">
        <v>0</v>
      </c>
      <c r="N879" s="1">
        <v>45219</v>
      </c>
      <c r="O879" s="1">
        <v>45247</v>
      </c>
      <c r="P879" t="s">
        <v>28</v>
      </c>
      <c r="Q879">
        <f>+IF(OR(Datos[[#This Row],[Diagnostico]]="Inservible",Datos[[#This Row],[Estatus]]="Preventivo"),0,Datos[[#This Row],[Fecha_Final]]-Datos[[#This Row],[Día_Inicio]])</f>
        <v>0</v>
      </c>
      <c r="R879" s="2">
        <v>0</v>
      </c>
      <c r="S879" s="2">
        <v>0</v>
      </c>
      <c r="T879" t="s">
        <v>29</v>
      </c>
    </row>
    <row r="880" spans="1:20" x14ac:dyDescent="0.25">
      <c r="A880" t="s">
        <v>1064</v>
      </c>
      <c r="B880" s="1">
        <v>45220</v>
      </c>
      <c r="C880" t="s">
        <v>1005</v>
      </c>
      <c r="D880">
        <v>10</v>
      </c>
      <c r="E880" t="str">
        <f>+CONCATENATE("T",ROUNDUP(MONTH(Datos[[#This Row],[Fecha]])/3,0))</f>
        <v>T4</v>
      </c>
      <c r="F880" t="str">
        <f>+CONCATENATE("Sem"," ",ROUNDUP(MONTH(Datos[[#This Row],[Fecha]])/6,0))</f>
        <v>Sem 2</v>
      </c>
      <c r="G880" t="s">
        <v>257</v>
      </c>
      <c r="H880" t="s">
        <v>258</v>
      </c>
      <c r="I880" t="s">
        <v>24</v>
      </c>
      <c r="J880" t="s">
        <v>204</v>
      </c>
      <c r="K880" t="s">
        <v>147</v>
      </c>
      <c r="L880" t="s">
        <v>27</v>
      </c>
      <c r="M880">
        <v>0</v>
      </c>
      <c r="N880" s="1">
        <v>45220</v>
      </c>
      <c r="O880" s="1">
        <v>45242</v>
      </c>
      <c r="P880" t="s">
        <v>28</v>
      </c>
      <c r="Q880">
        <f>+IF(OR(Datos[[#This Row],[Diagnostico]]="Inservible",Datos[[#This Row],[Estatus]]="Preventivo"),0,Datos[[#This Row],[Fecha_Final]]-Datos[[#This Row],[Día_Inicio]])</f>
        <v>0</v>
      </c>
      <c r="R880" s="2">
        <v>0</v>
      </c>
      <c r="S880" s="2">
        <v>0</v>
      </c>
      <c r="T880" t="s">
        <v>29</v>
      </c>
    </row>
    <row r="881" spans="1:20" x14ac:dyDescent="0.25">
      <c r="A881" t="s">
        <v>1065</v>
      </c>
      <c r="B881" s="1">
        <v>45220</v>
      </c>
      <c r="C881" t="s">
        <v>1005</v>
      </c>
      <c r="D881">
        <v>10</v>
      </c>
      <c r="E881" t="str">
        <f>+CONCATENATE("T",ROUNDUP(MONTH(Datos[[#This Row],[Fecha]])/3,0))</f>
        <v>T4</v>
      </c>
      <c r="F881" t="str">
        <f>+CONCATENATE("Sem"," ",ROUNDUP(MONTH(Datos[[#This Row],[Fecha]])/6,0))</f>
        <v>Sem 2</v>
      </c>
      <c r="G881" t="s">
        <v>125</v>
      </c>
      <c r="H881" t="s">
        <v>126</v>
      </c>
      <c r="I881" t="s">
        <v>24</v>
      </c>
      <c r="J881" t="s">
        <v>127</v>
      </c>
      <c r="K881" t="s">
        <v>57</v>
      </c>
      <c r="L881" t="s">
        <v>27</v>
      </c>
      <c r="M881">
        <v>0</v>
      </c>
      <c r="N881" s="1">
        <v>45220</v>
      </c>
      <c r="O881" s="1">
        <v>45222</v>
      </c>
      <c r="P881" t="s">
        <v>58</v>
      </c>
      <c r="Q881">
        <f>+IF(OR(Datos[[#This Row],[Diagnostico]]="Inservible",Datos[[#This Row],[Estatus]]="Preventivo"),0,Datos[[#This Row],[Fecha_Final]]-Datos[[#This Row],[Día_Inicio]])</f>
        <v>2</v>
      </c>
      <c r="R881" s="2">
        <v>1050</v>
      </c>
      <c r="S881" s="2">
        <v>328</v>
      </c>
      <c r="T881" t="s">
        <v>91</v>
      </c>
    </row>
    <row r="882" spans="1:20" x14ac:dyDescent="0.25">
      <c r="A882" t="s">
        <v>1066</v>
      </c>
      <c r="B882" s="1">
        <v>45220</v>
      </c>
      <c r="C882" t="s">
        <v>1005</v>
      </c>
      <c r="D882">
        <v>10</v>
      </c>
      <c r="E882" t="str">
        <f>+CONCATENATE("T",ROUNDUP(MONTH(Datos[[#This Row],[Fecha]])/3,0))</f>
        <v>T4</v>
      </c>
      <c r="F882" t="str">
        <f>+CONCATENATE("Sem"," ",ROUNDUP(MONTH(Datos[[#This Row],[Fecha]])/6,0))</f>
        <v>Sem 2</v>
      </c>
      <c r="G882" t="s">
        <v>202</v>
      </c>
      <c r="H882" t="s">
        <v>203</v>
      </c>
      <c r="I882" t="s">
        <v>24</v>
      </c>
      <c r="J882" t="s">
        <v>204</v>
      </c>
      <c r="K882" t="s">
        <v>63</v>
      </c>
      <c r="L882" t="s">
        <v>27</v>
      </c>
      <c r="M882">
        <v>0</v>
      </c>
      <c r="N882" s="1">
        <v>45220</v>
      </c>
      <c r="O882" s="1">
        <v>45221</v>
      </c>
      <c r="P882" t="s">
        <v>58</v>
      </c>
      <c r="Q882">
        <f>+IF(OR(Datos[[#This Row],[Diagnostico]]="Inservible",Datos[[#This Row],[Estatus]]="Preventivo"),0,Datos[[#This Row],[Fecha_Final]]-Datos[[#This Row],[Día_Inicio]])</f>
        <v>1</v>
      </c>
      <c r="R882" s="2">
        <v>350</v>
      </c>
      <c r="S882" s="2">
        <v>373</v>
      </c>
      <c r="T882" t="s">
        <v>59</v>
      </c>
    </row>
    <row r="883" spans="1:20" x14ac:dyDescent="0.25">
      <c r="A883" t="s">
        <v>1067</v>
      </c>
      <c r="B883" s="1">
        <v>45221</v>
      </c>
      <c r="C883" t="s">
        <v>1005</v>
      </c>
      <c r="D883">
        <v>10</v>
      </c>
      <c r="E883" t="str">
        <f>+CONCATENATE("T",ROUNDUP(MONTH(Datos[[#This Row],[Fecha]])/3,0))</f>
        <v>T4</v>
      </c>
      <c r="F883" t="str">
        <f>+CONCATENATE("Sem"," ",ROUNDUP(MONTH(Datos[[#This Row],[Fecha]])/6,0))</f>
        <v>Sem 2</v>
      </c>
      <c r="G883" t="s">
        <v>94</v>
      </c>
      <c r="H883" t="s">
        <v>95</v>
      </c>
      <c r="I883" t="s">
        <v>68</v>
      </c>
      <c r="J883" t="s">
        <v>96</v>
      </c>
      <c r="K883" t="s">
        <v>70</v>
      </c>
      <c r="L883" t="s">
        <v>27</v>
      </c>
      <c r="M883">
        <v>0</v>
      </c>
      <c r="N883" s="1">
        <v>45221</v>
      </c>
      <c r="O883" s="1">
        <v>45234</v>
      </c>
      <c r="P883" t="s">
        <v>28</v>
      </c>
      <c r="Q883">
        <f>+IF(OR(Datos[[#This Row],[Diagnostico]]="Inservible",Datos[[#This Row],[Estatus]]="Preventivo"),0,Datos[[#This Row],[Fecha_Final]]-Datos[[#This Row],[Día_Inicio]])</f>
        <v>0</v>
      </c>
      <c r="R883" s="2">
        <v>0</v>
      </c>
      <c r="S883" s="2">
        <v>0</v>
      </c>
      <c r="T883" t="s">
        <v>29</v>
      </c>
    </row>
    <row r="884" spans="1:20" x14ac:dyDescent="0.25">
      <c r="A884" t="s">
        <v>1068</v>
      </c>
      <c r="B884" s="1">
        <v>45221</v>
      </c>
      <c r="C884" t="s">
        <v>1005</v>
      </c>
      <c r="D884">
        <v>10</v>
      </c>
      <c r="E884" t="str">
        <f>+CONCATENATE("T",ROUNDUP(MONTH(Datos[[#This Row],[Fecha]])/3,0))</f>
        <v>T4</v>
      </c>
      <c r="F884" t="str">
        <f>+CONCATENATE("Sem"," ",ROUNDUP(MONTH(Datos[[#This Row],[Fecha]])/6,0))</f>
        <v>Sem 2</v>
      </c>
      <c r="G884" t="s">
        <v>121</v>
      </c>
      <c r="H884" t="s">
        <v>122</v>
      </c>
      <c r="I884" t="s">
        <v>24</v>
      </c>
      <c r="J884" t="s">
        <v>102</v>
      </c>
      <c r="K884" t="s">
        <v>161</v>
      </c>
      <c r="L884" t="s">
        <v>27</v>
      </c>
      <c r="M884">
        <v>0</v>
      </c>
      <c r="N884" s="1">
        <v>45221</v>
      </c>
      <c r="O884" s="1">
        <v>45225</v>
      </c>
      <c r="P884" t="s">
        <v>58</v>
      </c>
      <c r="Q884">
        <f>+IF(OR(Datos[[#This Row],[Diagnostico]]="Inservible",Datos[[#This Row],[Estatus]]="Preventivo"),0,Datos[[#This Row],[Fecha_Final]]-Datos[[#This Row],[Día_Inicio]])</f>
        <v>4</v>
      </c>
      <c r="R884" s="2">
        <v>449</v>
      </c>
      <c r="S884" s="2">
        <v>740</v>
      </c>
      <c r="T884" t="s">
        <v>64</v>
      </c>
    </row>
    <row r="885" spans="1:20" x14ac:dyDescent="0.25">
      <c r="A885" t="s">
        <v>1069</v>
      </c>
      <c r="B885" s="1">
        <v>45222</v>
      </c>
      <c r="C885" t="s">
        <v>1005</v>
      </c>
      <c r="D885">
        <v>10</v>
      </c>
      <c r="E885" t="str">
        <f>+CONCATENATE("T",ROUNDUP(MONTH(Datos[[#This Row],[Fecha]])/3,0))</f>
        <v>T4</v>
      </c>
      <c r="F885" t="str">
        <f>+CONCATENATE("Sem"," ",ROUNDUP(MONTH(Datos[[#This Row],[Fecha]])/6,0))</f>
        <v>Sem 2</v>
      </c>
      <c r="G885" t="s">
        <v>215</v>
      </c>
      <c r="H885" t="s">
        <v>216</v>
      </c>
      <c r="I885" t="s">
        <v>24</v>
      </c>
      <c r="J885" t="s">
        <v>50</v>
      </c>
      <c r="K885" t="s">
        <v>80</v>
      </c>
      <c r="L885" t="s">
        <v>27</v>
      </c>
      <c r="M885">
        <v>0</v>
      </c>
      <c r="N885" s="1">
        <v>45222</v>
      </c>
      <c r="O885" s="1">
        <v>45242</v>
      </c>
      <c r="P885" t="s">
        <v>28</v>
      </c>
      <c r="Q885">
        <f>+IF(OR(Datos[[#This Row],[Diagnostico]]="Inservible",Datos[[#This Row],[Estatus]]="Preventivo"),0,Datos[[#This Row],[Fecha_Final]]-Datos[[#This Row],[Día_Inicio]])</f>
        <v>0</v>
      </c>
      <c r="R885" s="2">
        <v>0</v>
      </c>
      <c r="S885" s="2">
        <v>0</v>
      </c>
      <c r="T885" t="s">
        <v>29</v>
      </c>
    </row>
    <row r="886" spans="1:20" x14ac:dyDescent="0.25">
      <c r="A886" t="s">
        <v>1070</v>
      </c>
      <c r="B886" s="1">
        <v>45222</v>
      </c>
      <c r="C886" t="s">
        <v>1005</v>
      </c>
      <c r="D886">
        <v>10</v>
      </c>
      <c r="E886" t="str">
        <f>+CONCATENATE("T",ROUNDUP(MONTH(Datos[[#This Row],[Fecha]])/3,0))</f>
        <v>T4</v>
      </c>
      <c r="F886" t="str">
        <f>+CONCATENATE("Sem"," ",ROUNDUP(MONTH(Datos[[#This Row],[Fecha]])/6,0))</f>
        <v>Sem 2</v>
      </c>
      <c r="G886" t="s">
        <v>246</v>
      </c>
      <c r="H886" t="s">
        <v>247</v>
      </c>
      <c r="I886" t="s">
        <v>24</v>
      </c>
      <c r="J886" t="s">
        <v>156</v>
      </c>
      <c r="K886" t="s">
        <v>39</v>
      </c>
      <c r="L886" t="s">
        <v>40</v>
      </c>
      <c r="M886" t="s">
        <v>75</v>
      </c>
      <c r="N886" s="1">
        <v>45222</v>
      </c>
      <c r="O886" s="1">
        <v>45582</v>
      </c>
      <c r="P886" t="s">
        <v>29</v>
      </c>
      <c r="Q886">
        <f>+IF(OR(Datos[[#This Row],[Diagnostico]]="Inservible",Datos[[#This Row],[Estatus]]="Preventivo"),0,Datos[[#This Row],[Fecha_Final]]-Datos[[#This Row],[Día_Inicio]])</f>
        <v>0</v>
      </c>
      <c r="R886" s="2">
        <v>991</v>
      </c>
      <c r="S886" s="2">
        <v>325</v>
      </c>
      <c r="T886" t="s">
        <v>42</v>
      </c>
    </row>
    <row r="887" spans="1:20" x14ac:dyDescent="0.25">
      <c r="A887" t="s">
        <v>1071</v>
      </c>
      <c r="B887" s="1">
        <v>45222</v>
      </c>
      <c r="C887" t="s">
        <v>1005</v>
      </c>
      <c r="D887">
        <v>10</v>
      </c>
      <c r="E887" t="str">
        <f>+CONCATENATE("T",ROUNDUP(MONTH(Datos[[#This Row],[Fecha]])/3,0))</f>
        <v>T4</v>
      </c>
      <c r="F887" t="str">
        <f>+CONCATENATE("Sem"," ",ROUNDUP(MONTH(Datos[[#This Row],[Fecha]])/6,0))</f>
        <v>Sem 2</v>
      </c>
      <c r="G887" t="s">
        <v>121</v>
      </c>
      <c r="H887" t="s">
        <v>122</v>
      </c>
      <c r="I887" t="s">
        <v>24</v>
      </c>
      <c r="J887" t="s">
        <v>102</v>
      </c>
      <c r="K887" t="s">
        <v>90</v>
      </c>
      <c r="L887" t="s">
        <v>27</v>
      </c>
      <c r="M887">
        <v>0</v>
      </c>
      <c r="N887" s="1">
        <v>45222</v>
      </c>
      <c r="O887" s="1">
        <v>45233</v>
      </c>
      <c r="P887" t="s">
        <v>58</v>
      </c>
      <c r="Q887">
        <f>+IF(OR(Datos[[#This Row],[Diagnostico]]="Inservible",Datos[[#This Row],[Estatus]]="Preventivo"),0,Datos[[#This Row],[Fecha_Final]]-Datos[[#This Row],[Día_Inicio]])</f>
        <v>11</v>
      </c>
      <c r="R887" s="2">
        <v>578</v>
      </c>
      <c r="S887" s="2">
        <v>141</v>
      </c>
      <c r="T887" t="s">
        <v>91</v>
      </c>
    </row>
    <row r="888" spans="1:20" x14ac:dyDescent="0.25">
      <c r="A888" t="s">
        <v>1072</v>
      </c>
      <c r="B888" s="1">
        <v>45222</v>
      </c>
      <c r="C888" t="s">
        <v>1005</v>
      </c>
      <c r="D888">
        <v>10</v>
      </c>
      <c r="E888" t="str">
        <f>+CONCATENATE("T",ROUNDUP(MONTH(Datos[[#This Row],[Fecha]])/3,0))</f>
        <v>T4</v>
      </c>
      <c r="F888" t="str">
        <f>+CONCATENATE("Sem"," ",ROUNDUP(MONTH(Datos[[#This Row],[Fecha]])/6,0))</f>
        <v>Sem 2</v>
      </c>
      <c r="G888" t="s">
        <v>286</v>
      </c>
      <c r="H888" t="s">
        <v>287</v>
      </c>
      <c r="I888" t="s">
        <v>24</v>
      </c>
      <c r="J888" t="s">
        <v>38</v>
      </c>
      <c r="K888" t="s">
        <v>172</v>
      </c>
      <c r="L888" t="s">
        <v>27</v>
      </c>
      <c r="M888">
        <v>0</v>
      </c>
      <c r="N888" s="1">
        <v>45222</v>
      </c>
      <c r="O888" s="1">
        <v>45229</v>
      </c>
      <c r="P888" t="s">
        <v>28</v>
      </c>
      <c r="Q888">
        <f>+IF(OR(Datos[[#This Row],[Diagnostico]]="Inservible",Datos[[#This Row],[Estatus]]="Preventivo"),0,Datos[[#This Row],[Fecha_Final]]-Datos[[#This Row],[Día_Inicio]])</f>
        <v>0</v>
      </c>
      <c r="R888" s="2">
        <v>0</v>
      </c>
      <c r="S888" s="2">
        <v>0</v>
      </c>
      <c r="T888" t="s">
        <v>29</v>
      </c>
    </row>
    <row r="889" spans="1:20" x14ac:dyDescent="0.25">
      <c r="A889" t="s">
        <v>1073</v>
      </c>
      <c r="B889" s="1">
        <v>45222</v>
      </c>
      <c r="C889" t="s">
        <v>1005</v>
      </c>
      <c r="D889">
        <v>10</v>
      </c>
      <c r="E889" t="str">
        <f>+CONCATENATE("T",ROUNDUP(MONTH(Datos[[#This Row],[Fecha]])/3,0))</f>
        <v>T4</v>
      </c>
      <c r="F889" t="str">
        <f>+CONCATENATE("Sem"," ",ROUNDUP(MONTH(Datos[[#This Row],[Fecha]])/6,0))</f>
        <v>Sem 2</v>
      </c>
      <c r="G889" t="s">
        <v>53</v>
      </c>
      <c r="H889" t="s">
        <v>54</v>
      </c>
      <c r="I889" t="s">
        <v>55</v>
      </c>
      <c r="J889" t="s">
        <v>56</v>
      </c>
      <c r="K889" t="s">
        <v>97</v>
      </c>
      <c r="L889" t="s">
        <v>27</v>
      </c>
      <c r="M889">
        <v>0</v>
      </c>
      <c r="N889" s="1">
        <v>45222</v>
      </c>
      <c r="O889" s="1">
        <v>45250</v>
      </c>
      <c r="P889" t="s">
        <v>58</v>
      </c>
      <c r="Q889">
        <f>+IF(OR(Datos[[#This Row],[Diagnostico]]="Inservible",Datos[[#This Row],[Estatus]]="Preventivo"),0,Datos[[#This Row],[Fecha_Final]]-Datos[[#This Row],[Día_Inicio]])</f>
        <v>28</v>
      </c>
      <c r="R889" s="2">
        <v>563</v>
      </c>
      <c r="S889" s="2">
        <v>450</v>
      </c>
      <c r="T889" t="s">
        <v>91</v>
      </c>
    </row>
    <row r="890" spans="1:20" x14ac:dyDescent="0.25">
      <c r="A890" t="s">
        <v>1074</v>
      </c>
      <c r="B890" s="1">
        <v>45222</v>
      </c>
      <c r="C890" t="s">
        <v>1005</v>
      </c>
      <c r="D890">
        <v>10</v>
      </c>
      <c r="E890" t="str">
        <f>+CONCATENATE("T",ROUNDUP(MONTH(Datos[[#This Row],[Fecha]])/3,0))</f>
        <v>T4</v>
      </c>
      <c r="F890" t="str">
        <f>+CONCATENATE("Sem"," ",ROUNDUP(MONTH(Datos[[#This Row],[Fecha]])/6,0))</f>
        <v>Sem 2</v>
      </c>
      <c r="G890" t="s">
        <v>149</v>
      </c>
      <c r="H890" t="s">
        <v>150</v>
      </c>
      <c r="I890" t="s">
        <v>68</v>
      </c>
      <c r="J890" t="s">
        <v>151</v>
      </c>
      <c r="K890" t="s">
        <v>39</v>
      </c>
      <c r="L890" t="s">
        <v>40</v>
      </c>
      <c r="M890" t="s">
        <v>196</v>
      </c>
      <c r="N890" s="1">
        <v>45222</v>
      </c>
      <c r="O890" s="1">
        <v>45252</v>
      </c>
      <c r="P890" t="s">
        <v>29</v>
      </c>
      <c r="Q890">
        <f>+IF(OR(Datos[[#This Row],[Diagnostico]]="Inservible",Datos[[#This Row],[Estatus]]="Preventivo"),0,Datos[[#This Row],[Fecha_Final]]-Datos[[#This Row],[Día_Inicio]])</f>
        <v>0</v>
      </c>
      <c r="R890" s="2">
        <v>871</v>
      </c>
      <c r="S890" s="2">
        <v>586</v>
      </c>
      <c r="T890" t="s">
        <v>42</v>
      </c>
    </row>
    <row r="891" spans="1:20" x14ac:dyDescent="0.25">
      <c r="A891" t="s">
        <v>1075</v>
      </c>
      <c r="B891" s="1">
        <v>45222</v>
      </c>
      <c r="C891" t="s">
        <v>1005</v>
      </c>
      <c r="D891">
        <v>10</v>
      </c>
      <c r="E891" t="str">
        <f>+CONCATENATE("T",ROUNDUP(MONTH(Datos[[#This Row],[Fecha]])/3,0))</f>
        <v>T4</v>
      </c>
      <c r="F891" t="str">
        <f>+CONCATENATE("Sem"," ",ROUNDUP(MONTH(Datos[[#This Row],[Fecha]])/6,0))</f>
        <v>Sem 2</v>
      </c>
      <c r="G891" t="s">
        <v>125</v>
      </c>
      <c r="H891" t="s">
        <v>126</v>
      </c>
      <c r="I891" t="s">
        <v>24</v>
      </c>
      <c r="J891" t="s">
        <v>127</v>
      </c>
      <c r="K891" t="s">
        <v>108</v>
      </c>
      <c r="L891" t="s">
        <v>27</v>
      </c>
      <c r="M891">
        <v>0</v>
      </c>
      <c r="N891" s="1">
        <v>45222</v>
      </c>
      <c r="O891" s="1">
        <v>45227</v>
      </c>
      <c r="P891" t="s">
        <v>58</v>
      </c>
      <c r="Q891">
        <f>+IF(OR(Datos[[#This Row],[Diagnostico]]="Inservible",Datos[[#This Row],[Estatus]]="Preventivo"),0,Datos[[#This Row],[Fecha_Final]]-Datos[[#This Row],[Día_Inicio]])</f>
        <v>5</v>
      </c>
      <c r="R891" s="2">
        <v>550</v>
      </c>
      <c r="S891" s="2">
        <v>918</v>
      </c>
      <c r="T891" t="s">
        <v>91</v>
      </c>
    </row>
    <row r="892" spans="1:20" x14ac:dyDescent="0.25">
      <c r="A892" t="s">
        <v>1076</v>
      </c>
      <c r="B892" s="1">
        <v>45222</v>
      </c>
      <c r="C892" t="s">
        <v>1005</v>
      </c>
      <c r="D892">
        <v>10</v>
      </c>
      <c r="E892" t="str">
        <f>+CONCATENATE("T",ROUNDUP(MONTH(Datos[[#This Row],[Fecha]])/3,0))</f>
        <v>T4</v>
      </c>
      <c r="F892" t="str">
        <f>+CONCATENATE("Sem"," ",ROUNDUP(MONTH(Datos[[#This Row],[Fecha]])/6,0))</f>
        <v>Sem 2</v>
      </c>
      <c r="G892" t="s">
        <v>87</v>
      </c>
      <c r="H892" t="s">
        <v>88</v>
      </c>
      <c r="I892" t="s">
        <v>68</v>
      </c>
      <c r="J892" t="s">
        <v>89</v>
      </c>
      <c r="K892" t="s">
        <v>39</v>
      </c>
      <c r="L892" t="s">
        <v>40</v>
      </c>
      <c r="M892" t="s">
        <v>51</v>
      </c>
      <c r="N892" s="1">
        <v>45222</v>
      </c>
      <c r="O892" s="1">
        <v>45282</v>
      </c>
      <c r="P892" t="s">
        <v>29</v>
      </c>
      <c r="Q892">
        <f>+IF(OR(Datos[[#This Row],[Diagnostico]]="Inservible",Datos[[#This Row],[Estatus]]="Preventivo"),0,Datos[[#This Row],[Fecha_Final]]-Datos[[#This Row],[Día_Inicio]])</f>
        <v>0</v>
      </c>
      <c r="R892" s="2">
        <v>695</v>
      </c>
      <c r="S892" s="2">
        <v>732</v>
      </c>
      <c r="T892" t="s">
        <v>42</v>
      </c>
    </row>
    <row r="893" spans="1:20" x14ac:dyDescent="0.25">
      <c r="A893" t="s">
        <v>1077</v>
      </c>
      <c r="B893" s="1">
        <v>45222</v>
      </c>
      <c r="C893" t="s">
        <v>1005</v>
      </c>
      <c r="D893">
        <v>10</v>
      </c>
      <c r="E893" t="str">
        <f>+CONCATENATE("T",ROUNDUP(MONTH(Datos[[#This Row],[Fecha]])/3,0))</f>
        <v>T4</v>
      </c>
      <c r="F893" t="str">
        <f>+CONCATENATE("Sem"," ",ROUNDUP(MONTH(Datos[[#This Row],[Fecha]])/6,0))</f>
        <v>Sem 2</v>
      </c>
      <c r="G893" t="s">
        <v>121</v>
      </c>
      <c r="H893" t="s">
        <v>122</v>
      </c>
      <c r="I893" t="s">
        <v>24</v>
      </c>
      <c r="J893" t="s">
        <v>102</v>
      </c>
      <c r="K893" t="s">
        <v>114</v>
      </c>
      <c r="L893" t="s">
        <v>27</v>
      </c>
      <c r="M893">
        <v>0</v>
      </c>
      <c r="N893" s="1">
        <v>45222</v>
      </c>
      <c r="O893" s="1">
        <v>45239</v>
      </c>
      <c r="P893" t="s">
        <v>28</v>
      </c>
      <c r="Q893">
        <f>+IF(OR(Datos[[#This Row],[Diagnostico]]="Inservible",Datos[[#This Row],[Estatus]]="Preventivo"),0,Datos[[#This Row],[Fecha_Final]]-Datos[[#This Row],[Día_Inicio]])</f>
        <v>0</v>
      </c>
      <c r="R893" s="2">
        <v>0</v>
      </c>
      <c r="S893" s="2">
        <v>0</v>
      </c>
      <c r="T893" t="s">
        <v>29</v>
      </c>
    </row>
    <row r="894" spans="1:20" x14ac:dyDescent="0.25">
      <c r="A894" t="s">
        <v>1078</v>
      </c>
      <c r="B894" s="1">
        <v>45223</v>
      </c>
      <c r="C894" t="s">
        <v>1005</v>
      </c>
      <c r="D894">
        <v>10</v>
      </c>
      <c r="E894" t="str">
        <f>+CONCATENATE("T",ROUNDUP(MONTH(Datos[[#This Row],[Fecha]])/3,0))</f>
        <v>T4</v>
      </c>
      <c r="F894" t="str">
        <f>+CONCATENATE("Sem"," ",ROUNDUP(MONTH(Datos[[#This Row],[Fecha]])/6,0))</f>
        <v>Sem 2</v>
      </c>
      <c r="G894" t="s">
        <v>44</v>
      </c>
      <c r="H894" t="s">
        <v>45</v>
      </c>
      <c r="I894" t="s">
        <v>24</v>
      </c>
      <c r="J894" t="s">
        <v>46</v>
      </c>
      <c r="K894" t="s">
        <v>39</v>
      </c>
      <c r="L894" t="s">
        <v>40</v>
      </c>
      <c r="M894" t="s">
        <v>208</v>
      </c>
      <c r="N894" s="1">
        <v>45223</v>
      </c>
      <c r="O894" s="1">
        <v>45230</v>
      </c>
      <c r="P894" t="s">
        <v>29</v>
      </c>
      <c r="Q894">
        <f>+IF(OR(Datos[[#This Row],[Diagnostico]]="Inservible",Datos[[#This Row],[Estatus]]="Preventivo"),0,Datos[[#This Row],[Fecha_Final]]-Datos[[#This Row],[Día_Inicio]])</f>
        <v>0</v>
      </c>
      <c r="R894" s="2">
        <v>277</v>
      </c>
      <c r="S894" s="2">
        <v>595</v>
      </c>
      <c r="T894" t="s">
        <v>42</v>
      </c>
    </row>
    <row r="895" spans="1:20" x14ac:dyDescent="0.25">
      <c r="A895" t="s">
        <v>1079</v>
      </c>
      <c r="B895" s="1">
        <v>45223</v>
      </c>
      <c r="C895" t="s">
        <v>1005</v>
      </c>
      <c r="D895">
        <v>10</v>
      </c>
      <c r="E895" t="str">
        <f>+CONCATENATE("T",ROUNDUP(MONTH(Datos[[#This Row],[Fecha]])/3,0))</f>
        <v>T4</v>
      </c>
      <c r="F895" t="str">
        <f>+CONCATENATE("Sem"," ",ROUNDUP(MONTH(Datos[[#This Row],[Fecha]])/6,0))</f>
        <v>Sem 2</v>
      </c>
      <c r="G895" t="s">
        <v>82</v>
      </c>
      <c r="H895" t="s">
        <v>83</v>
      </c>
      <c r="I895" t="s">
        <v>24</v>
      </c>
      <c r="J895" t="s">
        <v>84</v>
      </c>
      <c r="K895" t="s">
        <v>123</v>
      </c>
      <c r="L895" t="s">
        <v>27</v>
      </c>
      <c r="M895">
        <v>0</v>
      </c>
      <c r="N895" s="1">
        <v>45223</v>
      </c>
      <c r="O895" s="1">
        <v>45233</v>
      </c>
      <c r="P895" t="s">
        <v>28</v>
      </c>
      <c r="Q895">
        <f>+IF(OR(Datos[[#This Row],[Diagnostico]]="Inservible",Datos[[#This Row],[Estatus]]="Preventivo"),0,Datos[[#This Row],[Fecha_Final]]-Datos[[#This Row],[Día_Inicio]])</f>
        <v>0</v>
      </c>
      <c r="R895" s="2">
        <v>0</v>
      </c>
      <c r="S895" s="2">
        <v>0</v>
      </c>
      <c r="T895" t="s">
        <v>29</v>
      </c>
    </row>
    <row r="896" spans="1:20" x14ac:dyDescent="0.25">
      <c r="A896" t="s">
        <v>1080</v>
      </c>
      <c r="B896" s="1">
        <v>45223</v>
      </c>
      <c r="C896" t="s">
        <v>1005</v>
      </c>
      <c r="D896">
        <v>10</v>
      </c>
      <c r="E896" t="str">
        <f>+CONCATENATE("T",ROUNDUP(MONTH(Datos[[#This Row],[Fecha]])/3,0))</f>
        <v>T4</v>
      </c>
      <c r="F896" t="str">
        <f>+CONCATENATE("Sem"," ",ROUNDUP(MONTH(Datos[[#This Row],[Fecha]])/6,0))</f>
        <v>Sem 2</v>
      </c>
      <c r="G896" t="s">
        <v>164</v>
      </c>
      <c r="H896" t="s">
        <v>165</v>
      </c>
      <c r="I896" t="s">
        <v>24</v>
      </c>
      <c r="J896" t="s">
        <v>166</v>
      </c>
      <c r="K896" t="s">
        <v>128</v>
      </c>
      <c r="L896" t="s">
        <v>27</v>
      </c>
      <c r="M896">
        <v>0</v>
      </c>
      <c r="N896" s="1">
        <v>45223</v>
      </c>
      <c r="O896" s="1">
        <v>45245</v>
      </c>
      <c r="P896" t="s">
        <v>28</v>
      </c>
      <c r="Q896">
        <f>+IF(OR(Datos[[#This Row],[Diagnostico]]="Inservible",Datos[[#This Row],[Estatus]]="Preventivo"),0,Datos[[#This Row],[Fecha_Final]]-Datos[[#This Row],[Día_Inicio]])</f>
        <v>0</v>
      </c>
      <c r="R896" s="2">
        <v>0</v>
      </c>
      <c r="S896" s="2">
        <v>0</v>
      </c>
      <c r="T896" t="s">
        <v>29</v>
      </c>
    </row>
    <row r="897" spans="1:20" x14ac:dyDescent="0.25">
      <c r="A897" t="s">
        <v>1081</v>
      </c>
      <c r="B897" s="1">
        <v>45223</v>
      </c>
      <c r="C897" t="s">
        <v>1005</v>
      </c>
      <c r="D897">
        <v>10</v>
      </c>
      <c r="E897" t="str">
        <f>+CONCATENATE("T",ROUNDUP(MONTH(Datos[[#This Row],[Fecha]])/3,0))</f>
        <v>T4</v>
      </c>
      <c r="F897" t="str">
        <f>+CONCATENATE("Sem"," ",ROUNDUP(MONTH(Datos[[#This Row],[Fecha]])/6,0))</f>
        <v>Sem 2</v>
      </c>
      <c r="G897" t="s">
        <v>49</v>
      </c>
      <c r="H897" t="s">
        <v>23</v>
      </c>
      <c r="I897" t="s">
        <v>24</v>
      </c>
      <c r="J897" t="s">
        <v>50</v>
      </c>
      <c r="K897" t="s">
        <v>130</v>
      </c>
      <c r="L897" t="s">
        <v>27</v>
      </c>
      <c r="M897">
        <v>0</v>
      </c>
      <c r="N897" s="1">
        <v>45223</v>
      </c>
      <c r="O897" s="1">
        <v>45225</v>
      </c>
      <c r="P897" t="s">
        <v>58</v>
      </c>
      <c r="Q897">
        <f>+IF(OR(Datos[[#This Row],[Diagnostico]]="Inservible",Datos[[#This Row],[Estatus]]="Preventivo"),0,Datos[[#This Row],[Fecha_Final]]-Datos[[#This Row],[Día_Inicio]])</f>
        <v>2</v>
      </c>
      <c r="R897" s="2">
        <v>519</v>
      </c>
      <c r="S897" s="2">
        <v>180</v>
      </c>
      <c r="T897" t="s">
        <v>64</v>
      </c>
    </row>
    <row r="898" spans="1:20" x14ac:dyDescent="0.25">
      <c r="A898" t="s">
        <v>1082</v>
      </c>
      <c r="B898" s="1">
        <v>45225</v>
      </c>
      <c r="C898" t="s">
        <v>1005</v>
      </c>
      <c r="D898">
        <v>10</v>
      </c>
      <c r="E898" t="str">
        <f>+CONCATENATE("T",ROUNDUP(MONTH(Datos[[#This Row],[Fecha]])/3,0))</f>
        <v>T4</v>
      </c>
      <c r="F898" t="str">
        <f>+CONCATENATE("Sem"," ",ROUNDUP(MONTH(Datos[[#This Row],[Fecha]])/6,0))</f>
        <v>Sem 2</v>
      </c>
      <c r="G898" t="s">
        <v>121</v>
      </c>
      <c r="H898" t="s">
        <v>122</v>
      </c>
      <c r="I898" t="s">
        <v>24</v>
      </c>
      <c r="J898" t="s">
        <v>102</v>
      </c>
      <c r="K898" t="s">
        <v>135</v>
      </c>
      <c r="L898" t="s">
        <v>27</v>
      </c>
      <c r="M898">
        <v>0</v>
      </c>
      <c r="N898" s="1">
        <v>45225</v>
      </c>
      <c r="O898" s="1">
        <v>45230</v>
      </c>
      <c r="P898" t="s">
        <v>58</v>
      </c>
      <c r="Q898">
        <f>+IF(OR(Datos[[#This Row],[Diagnostico]]="Inservible",Datos[[#This Row],[Estatus]]="Preventivo"),0,Datos[[#This Row],[Fecha_Final]]-Datos[[#This Row],[Día_Inicio]])</f>
        <v>5</v>
      </c>
      <c r="R898" s="2">
        <v>1120</v>
      </c>
      <c r="S898" s="2">
        <v>240</v>
      </c>
      <c r="T898" t="s">
        <v>91</v>
      </c>
    </row>
    <row r="899" spans="1:20" x14ac:dyDescent="0.25">
      <c r="A899" t="s">
        <v>1083</v>
      </c>
      <c r="B899" s="1">
        <v>45227</v>
      </c>
      <c r="C899" t="s">
        <v>1005</v>
      </c>
      <c r="D899">
        <v>10</v>
      </c>
      <c r="E899" t="str">
        <f>+CONCATENATE("T",ROUNDUP(MONTH(Datos[[#This Row],[Fecha]])/3,0))</f>
        <v>T4</v>
      </c>
      <c r="F899" t="str">
        <f>+CONCATENATE("Sem"," ",ROUNDUP(MONTH(Datos[[#This Row],[Fecha]])/6,0))</f>
        <v>Sem 2</v>
      </c>
      <c r="G899" t="s">
        <v>121</v>
      </c>
      <c r="H899" t="s">
        <v>122</v>
      </c>
      <c r="I899" t="s">
        <v>24</v>
      </c>
      <c r="J899" t="s">
        <v>102</v>
      </c>
      <c r="K899" t="s">
        <v>26</v>
      </c>
      <c r="L899" t="s">
        <v>27</v>
      </c>
      <c r="M899">
        <v>0</v>
      </c>
      <c r="N899" s="1">
        <v>45227</v>
      </c>
      <c r="O899" s="1">
        <v>45236</v>
      </c>
      <c r="P899" t="s">
        <v>28</v>
      </c>
      <c r="Q899">
        <f>+IF(OR(Datos[[#This Row],[Diagnostico]]="Inservible",Datos[[#This Row],[Estatus]]="Preventivo"),0,Datos[[#This Row],[Fecha_Final]]-Datos[[#This Row],[Día_Inicio]])</f>
        <v>0</v>
      </c>
      <c r="R899" s="2">
        <v>0</v>
      </c>
      <c r="S899" s="2">
        <v>0</v>
      </c>
      <c r="T899" t="s">
        <v>29</v>
      </c>
    </row>
    <row r="900" spans="1:20" x14ac:dyDescent="0.25">
      <c r="A900" t="s">
        <v>1084</v>
      </c>
      <c r="B900" s="1">
        <v>45227</v>
      </c>
      <c r="C900" t="s">
        <v>1005</v>
      </c>
      <c r="D900">
        <v>10</v>
      </c>
      <c r="E900" t="str">
        <f>+CONCATENATE("T",ROUNDUP(MONTH(Datos[[#This Row],[Fecha]])/3,0))</f>
        <v>T4</v>
      </c>
      <c r="F900" t="str">
        <f>+CONCATENATE("Sem"," ",ROUNDUP(MONTH(Datos[[#This Row],[Fecha]])/6,0))</f>
        <v>Sem 2</v>
      </c>
      <c r="G900" t="s">
        <v>335</v>
      </c>
      <c r="H900" t="s">
        <v>336</v>
      </c>
      <c r="I900" t="s">
        <v>24</v>
      </c>
      <c r="J900" t="s">
        <v>118</v>
      </c>
      <c r="K900" t="s">
        <v>34</v>
      </c>
      <c r="L900" t="s">
        <v>27</v>
      </c>
      <c r="M900">
        <v>0</v>
      </c>
      <c r="N900" s="1">
        <v>45227</v>
      </c>
      <c r="O900" s="1">
        <v>45240</v>
      </c>
      <c r="P900" t="s">
        <v>58</v>
      </c>
      <c r="Q900">
        <f>+IF(OR(Datos[[#This Row],[Diagnostico]]="Inservible",Datos[[#This Row],[Estatus]]="Preventivo"),0,Datos[[#This Row],[Fecha_Final]]-Datos[[#This Row],[Día_Inicio]])</f>
        <v>13</v>
      </c>
      <c r="R900" s="2">
        <v>538</v>
      </c>
      <c r="S900" s="2">
        <v>873</v>
      </c>
      <c r="T900" t="s">
        <v>42</v>
      </c>
    </row>
    <row r="901" spans="1:20" x14ac:dyDescent="0.25">
      <c r="A901" t="s">
        <v>1085</v>
      </c>
      <c r="B901" s="1">
        <v>45228</v>
      </c>
      <c r="C901" t="s">
        <v>1005</v>
      </c>
      <c r="D901">
        <v>10</v>
      </c>
      <c r="E901" t="str">
        <f>+CONCATENATE("T",ROUNDUP(MONTH(Datos[[#This Row],[Fecha]])/3,0))</f>
        <v>T4</v>
      </c>
      <c r="F901" t="str">
        <f>+CONCATENATE("Sem"," ",ROUNDUP(MONTH(Datos[[#This Row],[Fecha]])/6,0))</f>
        <v>Sem 2</v>
      </c>
      <c r="G901" t="s">
        <v>149</v>
      </c>
      <c r="H901" t="s">
        <v>150</v>
      </c>
      <c r="I901" t="s">
        <v>68</v>
      </c>
      <c r="J901" t="s">
        <v>151</v>
      </c>
      <c r="K901" t="s">
        <v>39</v>
      </c>
      <c r="L901" t="s">
        <v>27</v>
      </c>
      <c r="M901">
        <v>0</v>
      </c>
      <c r="N901" s="1">
        <v>45228</v>
      </c>
      <c r="O901" s="1">
        <v>45246</v>
      </c>
      <c r="P901" t="s">
        <v>28</v>
      </c>
      <c r="Q901">
        <f>+IF(OR(Datos[[#This Row],[Diagnostico]]="Inservible",Datos[[#This Row],[Estatus]]="Preventivo"),0,Datos[[#This Row],[Fecha_Final]]-Datos[[#This Row],[Día_Inicio]])</f>
        <v>0</v>
      </c>
      <c r="R901" s="2">
        <v>0</v>
      </c>
      <c r="S901" s="2">
        <v>0</v>
      </c>
      <c r="T901" t="s">
        <v>29</v>
      </c>
    </row>
    <row r="902" spans="1:20" x14ac:dyDescent="0.25">
      <c r="A902" t="s">
        <v>1086</v>
      </c>
      <c r="B902" s="1">
        <v>45228</v>
      </c>
      <c r="C902" t="s">
        <v>1005</v>
      </c>
      <c r="D902">
        <v>10</v>
      </c>
      <c r="E902" t="str">
        <f>+CONCATENATE("T",ROUNDUP(MONTH(Datos[[#This Row],[Fecha]])/3,0))</f>
        <v>T4</v>
      </c>
      <c r="F902" t="str">
        <f>+CONCATENATE("Sem"," ",ROUNDUP(MONTH(Datos[[#This Row],[Fecha]])/6,0))</f>
        <v>Sem 2</v>
      </c>
      <c r="G902" t="s">
        <v>72</v>
      </c>
      <c r="H902" t="s">
        <v>73</v>
      </c>
      <c r="I902" t="s">
        <v>24</v>
      </c>
      <c r="J902" t="s">
        <v>74</v>
      </c>
      <c r="K902" t="s">
        <v>39</v>
      </c>
      <c r="L902" t="s">
        <v>40</v>
      </c>
      <c r="M902" t="s">
        <v>51</v>
      </c>
      <c r="N902" s="1">
        <v>45228</v>
      </c>
      <c r="O902" s="1">
        <v>45288</v>
      </c>
      <c r="P902" t="s">
        <v>29</v>
      </c>
      <c r="Q902">
        <f>+IF(OR(Datos[[#This Row],[Diagnostico]]="Inservible",Datos[[#This Row],[Estatus]]="Preventivo"),0,Datos[[#This Row],[Fecha_Final]]-Datos[[#This Row],[Día_Inicio]])</f>
        <v>0</v>
      </c>
      <c r="R902" s="2">
        <v>1091</v>
      </c>
      <c r="S902" s="2">
        <v>388</v>
      </c>
      <c r="T902" t="s">
        <v>42</v>
      </c>
    </row>
    <row r="903" spans="1:20" x14ac:dyDescent="0.25">
      <c r="A903" t="s">
        <v>1087</v>
      </c>
      <c r="B903" s="1">
        <v>45228</v>
      </c>
      <c r="C903" t="s">
        <v>1005</v>
      </c>
      <c r="D903">
        <v>10</v>
      </c>
      <c r="E903" t="str">
        <f>+CONCATENATE("T",ROUNDUP(MONTH(Datos[[#This Row],[Fecha]])/3,0))</f>
        <v>T4</v>
      </c>
      <c r="F903" t="str">
        <f>+CONCATENATE("Sem"," ",ROUNDUP(MONTH(Datos[[#This Row],[Fecha]])/6,0))</f>
        <v>Sem 2</v>
      </c>
      <c r="G903" t="s">
        <v>49</v>
      </c>
      <c r="H903" t="s">
        <v>23</v>
      </c>
      <c r="I903" t="s">
        <v>24</v>
      </c>
      <c r="J903" t="s">
        <v>50</v>
      </c>
      <c r="K903" t="s">
        <v>147</v>
      </c>
      <c r="L903" t="s">
        <v>27</v>
      </c>
      <c r="M903">
        <v>0</v>
      </c>
      <c r="N903" s="1">
        <v>45228</v>
      </c>
      <c r="O903" s="1">
        <v>45235</v>
      </c>
      <c r="P903" t="s">
        <v>28</v>
      </c>
      <c r="Q903">
        <f>+IF(OR(Datos[[#This Row],[Diagnostico]]="Inservible",Datos[[#This Row],[Estatus]]="Preventivo"),0,Datos[[#This Row],[Fecha_Final]]-Datos[[#This Row],[Día_Inicio]])</f>
        <v>0</v>
      </c>
      <c r="R903" s="2">
        <v>0</v>
      </c>
      <c r="S903" s="2">
        <v>0</v>
      </c>
      <c r="T903" t="s">
        <v>29</v>
      </c>
    </row>
    <row r="904" spans="1:20" x14ac:dyDescent="0.25">
      <c r="A904" t="s">
        <v>1088</v>
      </c>
      <c r="B904" s="1">
        <v>45228</v>
      </c>
      <c r="C904" t="s">
        <v>1005</v>
      </c>
      <c r="D904">
        <v>10</v>
      </c>
      <c r="E904" t="str">
        <f>+CONCATENATE("T",ROUNDUP(MONTH(Datos[[#This Row],[Fecha]])/3,0))</f>
        <v>T4</v>
      </c>
      <c r="F904" t="str">
        <f>+CONCATENATE("Sem"," ",ROUNDUP(MONTH(Datos[[#This Row],[Fecha]])/6,0))</f>
        <v>Sem 2</v>
      </c>
      <c r="G904" t="s">
        <v>99</v>
      </c>
      <c r="H904" t="s">
        <v>100</v>
      </c>
      <c r="I904" t="s">
        <v>101</v>
      </c>
      <c r="J904" t="s">
        <v>102</v>
      </c>
      <c r="K904" t="s">
        <v>39</v>
      </c>
      <c r="L904" t="s">
        <v>40</v>
      </c>
      <c r="M904" t="s">
        <v>188</v>
      </c>
      <c r="N904" s="1">
        <v>45228</v>
      </c>
      <c r="O904" s="1">
        <v>45408</v>
      </c>
      <c r="P904" t="s">
        <v>29</v>
      </c>
      <c r="Q904">
        <f>+IF(OR(Datos[[#This Row],[Diagnostico]]="Inservible",Datos[[#This Row],[Estatus]]="Preventivo"),0,Datos[[#This Row],[Fecha_Final]]-Datos[[#This Row],[Día_Inicio]])</f>
        <v>0</v>
      </c>
      <c r="R904" s="2">
        <v>637</v>
      </c>
      <c r="S904" s="2">
        <v>486</v>
      </c>
      <c r="T904" t="s">
        <v>42</v>
      </c>
    </row>
    <row r="905" spans="1:20" x14ac:dyDescent="0.25">
      <c r="A905" t="s">
        <v>1089</v>
      </c>
      <c r="B905" s="1">
        <v>45229</v>
      </c>
      <c r="C905" t="s">
        <v>1005</v>
      </c>
      <c r="D905">
        <v>10</v>
      </c>
      <c r="E905" t="str">
        <f>+CONCATENATE("T",ROUNDUP(MONTH(Datos[[#This Row],[Fecha]])/3,0))</f>
        <v>T4</v>
      </c>
      <c r="F905" t="str">
        <f>+CONCATENATE("Sem"," ",ROUNDUP(MONTH(Datos[[#This Row],[Fecha]])/6,0))</f>
        <v>Sem 2</v>
      </c>
      <c r="G905" t="s">
        <v>77</v>
      </c>
      <c r="H905" t="s">
        <v>78</v>
      </c>
      <c r="I905" t="s">
        <v>24</v>
      </c>
      <c r="J905" t="s">
        <v>79</v>
      </c>
      <c r="K905" t="s">
        <v>63</v>
      </c>
      <c r="L905" t="s">
        <v>27</v>
      </c>
      <c r="M905">
        <v>0</v>
      </c>
      <c r="N905" s="1">
        <v>45229</v>
      </c>
      <c r="O905" s="1">
        <v>45240</v>
      </c>
      <c r="P905" t="s">
        <v>58</v>
      </c>
      <c r="Q905">
        <f>+IF(OR(Datos[[#This Row],[Diagnostico]]="Inservible",Datos[[#This Row],[Estatus]]="Preventivo"),0,Datos[[#This Row],[Fecha_Final]]-Datos[[#This Row],[Día_Inicio]])</f>
        <v>11</v>
      </c>
      <c r="R905" s="2">
        <v>730</v>
      </c>
      <c r="S905" s="2">
        <v>794</v>
      </c>
      <c r="T905" t="s">
        <v>59</v>
      </c>
    </row>
    <row r="906" spans="1:20" x14ac:dyDescent="0.25">
      <c r="A906" t="s">
        <v>1090</v>
      </c>
      <c r="B906" s="1">
        <v>45229</v>
      </c>
      <c r="C906" t="s">
        <v>1005</v>
      </c>
      <c r="D906">
        <v>10</v>
      </c>
      <c r="E906" t="str">
        <f>+CONCATENATE("T",ROUNDUP(MONTH(Datos[[#This Row],[Fecha]])/3,0))</f>
        <v>T4</v>
      </c>
      <c r="F906" t="str">
        <f>+CONCATENATE("Sem"," ",ROUNDUP(MONTH(Datos[[#This Row],[Fecha]])/6,0))</f>
        <v>Sem 2</v>
      </c>
      <c r="G906" t="s">
        <v>94</v>
      </c>
      <c r="H906" t="s">
        <v>95</v>
      </c>
      <c r="I906" t="s">
        <v>68</v>
      </c>
      <c r="J906" t="s">
        <v>96</v>
      </c>
      <c r="K906" t="s">
        <v>70</v>
      </c>
      <c r="L906" t="s">
        <v>27</v>
      </c>
      <c r="M906">
        <v>0</v>
      </c>
      <c r="N906" s="1">
        <v>45229</v>
      </c>
      <c r="O906" s="1">
        <v>45256</v>
      </c>
      <c r="P906" t="s">
        <v>58</v>
      </c>
      <c r="Q906">
        <f>+IF(OR(Datos[[#This Row],[Diagnostico]]="Inservible",Datos[[#This Row],[Estatus]]="Preventivo"),0,Datos[[#This Row],[Fecha_Final]]-Datos[[#This Row],[Día_Inicio]])</f>
        <v>27</v>
      </c>
      <c r="R906" s="2">
        <v>468</v>
      </c>
      <c r="S906" s="2">
        <v>828</v>
      </c>
      <c r="T906" t="s">
        <v>64</v>
      </c>
    </row>
    <row r="907" spans="1:20" x14ac:dyDescent="0.25">
      <c r="A907" t="s">
        <v>1091</v>
      </c>
      <c r="B907" s="1">
        <v>45229</v>
      </c>
      <c r="C907" t="s">
        <v>1005</v>
      </c>
      <c r="D907">
        <v>10</v>
      </c>
      <c r="E907" t="str">
        <f>+CONCATENATE("T",ROUNDUP(MONTH(Datos[[#This Row],[Fecha]])/3,0))</f>
        <v>T4</v>
      </c>
      <c r="F907" t="str">
        <f>+CONCATENATE("Sem"," ",ROUNDUP(MONTH(Datos[[#This Row],[Fecha]])/6,0))</f>
        <v>Sem 2</v>
      </c>
      <c r="G907" t="s">
        <v>61</v>
      </c>
      <c r="H907" t="s">
        <v>62</v>
      </c>
      <c r="I907" t="s">
        <v>24</v>
      </c>
      <c r="J907" t="s">
        <v>46</v>
      </c>
      <c r="K907" t="s">
        <v>161</v>
      </c>
      <c r="L907" t="s">
        <v>27</v>
      </c>
      <c r="M907">
        <v>0</v>
      </c>
      <c r="N907" s="1">
        <v>45229</v>
      </c>
      <c r="O907" s="1">
        <v>45242</v>
      </c>
      <c r="P907" t="s">
        <v>58</v>
      </c>
      <c r="Q907">
        <f>+IF(OR(Datos[[#This Row],[Diagnostico]]="Inservible",Datos[[#This Row],[Estatus]]="Preventivo"),0,Datos[[#This Row],[Fecha_Final]]-Datos[[#This Row],[Día_Inicio]])</f>
        <v>13</v>
      </c>
      <c r="R907" s="2">
        <v>1165</v>
      </c>
      <c r="S907" s="2">
        <v>531</v>
      </c>
      <c r="T907" t="s">
        <v>91</v>
      </c>
    </row>
    <row r="908" spans="1:20" x14ac:dyDescent="0.25">
      <c r="A908" t="s">
        <v>1092</v>
      </c>
      <c r="B908" s="1">
        <v>45229</v>
      </c>
      <c r="C908" t="s">
        <v>1005</v>
      </c>
      <c r="D908">
        <v>10</v>
      </c>
      <c r="E908" t="str">
        <f>+CONCATENATE("T",ROUNDUP(MONTH(Datos[[#This Row],[Fecha]])/3,0))</f>
        <v>T4</v>
      </c>
      <c r="F908" t="str">
        <f>+CONCATENATE("Sem"," ",ROUNDUP(MONTH(Datos[[#This Row],[Fecha]])/6,0))</f>
        <v>Sem 2</v>
      </c>
      <c r="G908" t="s">
        <v>149</v>
      </c>
      <c r="H908" t="s">
        <v>150</v>
      </c>
      <c r="I908" t="s">
        <v>68</v>
      </c>
      <c r="J908" t="s">
        <v>151</v>
      </c>
      <c r="K908" t="s">
        <v>39</v>
      </c>
      <c r="L908" t="s">
        <v>40</v>
      </c>
      <c r="M908" t="s">
        <v>188</v>
      </c>
      <c r="N908" s="1">
        <v>45229</v>
      </c>
      <c r="O908" s="1">
        <v>45409</v>
      </c>
      <c r="P908" t="s">
        <v>29</v>
      </c>
      <c r="Q908">
        <f>+IF(OR(Datos[[#This Row],[Diagnostico]]="Inservible",Datos[[#This Row],[Estatus]]="Preventivo"),0,Datos[[#This Row],[Fecha_Final]]-Datos[[#This Row],[Día_Inicio]])</f>
        <v>0</v>
      </c>
      <c r="R908" s="2">
        <v>343</v>
      </c>
      <c r="S908" s="2">
        <v>944</v>
      </c>
      <c r="T908" t="s">
        <v>42</v>
      </c>
    </row>
    <row r="909" spans="1:20" x14ac:dyDescent="0.25">
      <c r="A909" t="s">
        <v>1093</v>
      </c>
      <c r="B909" s="1">
        <v>45229</v>
      </c>
      <c r="C909" t="s">
        <v>1005</v>
      </c>
      <c r="D909">
        <v>10</v>
      </c>
      <c r="E909" t="str">
        <f>+CONCATENATE("T",ROUNDUP(MONTH(Datos[[#This Row],[Fecha]])/3,0))</f>
        <v>T4</v>
      </c>
      <c r="F909" t="str">
        <f>+CONCATENATE("Sem"," ",ROUNDUP(MONTH(Datos[[#This Row],[Fecha]])/6,0))</f>
        <v>Sem 2</v>
      </c>
      <c r="G909" t="s">
        <v>94</v>
      </c>
      <c r="H909" t="s">
        <v>95</v>
      </c>
      <c r="I909" t="s">
        <v>68</v>
      </c>
      <c r="J909" t="s">
        <v>96</v>
      </c>
      <c r="K909" t="s">
        <v>85</v>
      </c>
      <c r="L909" t="s">
        <v>27</v>
      </c>
      <c r="M909">
        <v>0</v>
      </c>
      <c r="N909" s="1">
        <v>45229</v>
      </c>
      <c r="O909" s="1">
        <v>45235</v>
      </c>
      <c r="P909" t="s">
        <v>58</v>
      </c>
      <c r="Q909">
        <f>+IF(OR(Datos[[#This Row],[Diagnostico]]="Inservible",Datos[[#This Row],[Estatus]]="Preventivo"),0,Datos[[#This Row],[Fecha_Final]]-Datos[[#This Row],[Día_Inicio]])</f>
        <v>6</v>
      </c>
      <c r="R909" s="2">
        <v>1132</v>
      </c>
      <c r="S909" s="2">
        <v>826</v>
      </c>
      <c r="T909" t="s">
        <v>59</v>
      </c>
    </row>
    <row r="910" spans="1:20" x14ac:dyDescent="0.25">
      <c r="A910" t="s">
        <v>1094</v>
      </c>
      <c r="B910" s="1">
        <v>45229</v>
      </c>
      <c r="C910" t="s">
        <v>1005</v>
      </c>
      <c r="D910">
        <v>10</v>
      </c>
      <c r="E910" t="str">
        <f>+CONCATENATE("T",ROUNDUP(MONTH(Datos[[#This Row],[Fecha]])/3,0))</f>
        <v>T4</v>
      </c>
      <c r="F910" t="str">
        <f>+CONCATENATE("Sem"," ",ROUNDUP(MONTH(Datos[[#This Row],[Fecha]])/6,0))</f>
        <v>Sem 2</v>
      </c>
      <c r="G910" t="s">
        <v>283</v>
      </c>
      <c r="H910" t="s">
        <v>284</v>
      </c>
      <c r="I910" t="s">
        <v>24</v>
      </c>
      <c r="J910" t="s">
        <v>192</v>
      </c>
      <c r="K910" t="s">
        <v>90</v>
      </c>
      <c r="L910" t="s">
        <v>27</v>
      </c>
      <c r="M910">
        <v>0</v>
      </c>
      <c r="N910" s="1">
        <v>45229</v>
      </c>
      <c r="O910" s="1">
        <v>45234</v>
      </c>
      <c r="P910" t="s">
        <v>28</v>
      </c>
      <c r="Q910">
        <f>+IF(OR(Datos[[#This Row],[Diagnostico]]="Inservible",Datos[[#This Row],[Estatus]]="Preventivo"),0,Datos[[#This Row],[Fecha_Final]]-Datos[[#This Row],[Día_Inicio]])</f>
        <v>0</v>
      </c>
      <c r="R910" s="2">
        <v>0</v>
      </c>
      <c r="S910" s="2">
        <v>0</v>
      </c>
      <c r="T910" t="s">
        <v>29</v>
      </c>
    </row>
    <row r="911" spans="1:20" x14ac:dyDescent="0.25">
      <c r="A911" t="s">
        <v>1095</v>
      </c>
      <c r="B911" s="1">
        <v>45230</v>
      </c>
      <c r="C911" t="s">
        <v>1005</v>
      </c>
      <c r="D911">
        <v>10</v>
      </c>
      <c r="E911" t="str">
        <f>+CONCATENATE("T",ROUNDUP(MONTH(Datos[[#This Row],[Fecha]])/3,0))</f>
        <v>T4</v>
      </c>
      <c r="F911" t="str">
        <f>+CONCATENATE("Sem"," ",ROUNDUP(MONTH(Datos[[#This Row],[Fecha]])/6,0))</f>
        <v>Sem 2</v>
      </c>
      <c r="G911" t="s">
        <v>154</v>
      </c>
      <c r="H911" t="s">
        <v>155</v>
      </c>
      <c r="I911" t="s">
        <v>68</v>
      </c>
      <c r="J911" t="s">
        <v>156</v>
      </c>
      <c r="K911" t="s">
        <v>172</v>
      </c>
      <c r="L911" t="s">
        <v>27</v>
      </c>
      <c r="M911">
        <v>0</v>
      </c>
      <c r="N911" s="1">
        <v>45230</v>
      </c>
      <c r="O911" s="1">
        <v>45251</v>
      </c>
      <c r="P911" t="s">
        <v>58</v>
      </c>
      <c r="Q911">
        <f>+IF(OR(Datos[[#This Row],[Diagnostico]]="Inservible",Datos[[#This Row],[Estatus]]="Preventivo"),0,Datos[[#This Row],[Fecha_Final]]-Datos[[#This Row],[Día_Inicio]])</f>
        <v>21</v>
      </c>
      <c r="R911" s="2">
        <v>1011</v>
      </c>
      <c r="S911" s="2">
        <v>395</v>
      </c>
      <c r="T911" t="s">
        <v>64</v>
      </c>
    </row>
    <row r="912" spans="1:20" x14ac:dyDescent="0.25">
      <c r="A912" t="s">
        <v>1096</v>
      </c>
      <c r="B912" s="1">
        <v>45232</v>
      </c>
      <c r="C912" t="s">
        <v>1097</v>
      </c>
      <c r="D912">
        <v>11</v>
      </c>
      <c r="E912" t="str">
        <f>+CONCATENATE("T",ROUNDUP(MONTH(Datos[[#This Row],[Fecha]])/3,0))</f>
        <v>T4</v>
      </c>
      <c r="F912" t="str">
        <f>+CONCATENATE("Sem"," ",ROUNDUP(MONTH(Datos[[#This Row],[Fecha]])/6,0))</f>
        <v>Sem 2</v>
      </c>
      <c r="G912" t="s">
        <v>121</v>
      </c>
      <c r="H912" t="s">
        <v>122</v>
      </c>
      <c r="I912" t="s">
        <v>24</v>
      </c>
      <c r="J912" t="s">
        <v>102</v>
      </c>
      <c r="K912" t="s">
        <v>97</v>
      </c>
      <c r="L912" t="s">
        <v>27</v>
      </c>
      <c r="M912">
        <v>0</v>
      </c>
      <c r="N912" s="1">
        <v>45232</v>
      </c>
      <c r="O912" s="1">
        <v>45255</v>
      </c>
      <c r="P912" t="s">
        <v>28</v>
      </c>
      <c r="Q912">
        <f>+IF(OR(Datos[[#This Row],[Diagnostico]]="Inservible",Datos[[#This Row],[Estatus]]="Preventivo"),0,Datos[[#This Row],[Fecha_Final]]-Datos[[#This Row],[Día_Inicio]])</f>
        <v>0</v>
      </c>
      <c r="R912" s="2">
        <v>0</v>
      </c>
      <c r="S912" s="2">
        <v>0</v>
      </c>
      <c r="T912" t="s">
        <v>29</v>
      </c>
    </row>
    <row r="913" spans="1:20" x14ac:dyDescent="0.25">
      <c r="A913" t="s">
        <v>1098</v>
      </c>
      <c r="B913" s="1">
        <v>45232</v>
      </c>
      <c r="C913" t="s">
        <v>1097</v>
      </c>
      <c r="D913">
        <v>11</v>
      </c>
      <c r="E913" t="str">
        <f>+CONCATENATE("T",ROUNDUP(MONTH(Datos[[#This Row],[Fecha]])/3,0))</f>
        <v>T4</v>
      </c>
      <c r="F913" t="str">
        <f>+CONCATENATE("Sem"," ",ROUNDUP(MONTH(Datos[[#This Row],[Fecha]])/6,0))</f>
        <v>Sem 2</v>
      </c>
      <c r="G913" t="s">
        <v>158</v>
      </c>
      <c r="H913" t="s">
        <v>159</v>
      </c>
      <c r="I913" t="s">
        <v>101</v>
      </c>
      <c r="J913" t="s">
        <v>160</v>
      </c>
      <c r="K913" t="s">
        <v>178</v>
      </c>
      <c r="L913" t="s">
        <v>27</v>
      </c>
      <c r="M913">
        <v>0</v>
      </c>
      <c r="N913" s="1">
        <v>45232</v>
      </c>
      <c r="O913" s="1">
        <v>45237</v>
      </c>
      <c r="P913" t="s">
        <v>28</v>
      </c>
      <c r="Q913">
        <f>+IF(OR(Datos[[#This Row],[Diagnostico]]="Inservible",Datos[[#This Row],[Estatus]]="Preventivo"),0,Datos[[#This Row],[Fecha_Final]]-Datos[[#This Row],[Día_Inicio]])</f>
        <v>0</v>
      </c>
      <c r="R913" s="2">
        <v>0</v>
      </c>
      <c r="S913" s="2">
        <v>0</v>
      </c>
      <c r="T913" t="s">
        <v>29</v>
      </c>
    </row>
    <row r="914" spans="1:20" x14ac:dyDescent="0.25">
      <c r="A914" t="s">
        <v>1099</v>
      </c>
      <c r="B914" s="1">
        <v>45232</v>
      </c>
      <c r="C914" t="s">
        <v>1097</v>
      </c>
      <c r="D914">
        <v>11</v>
      </c>
      <c r="E914" t="str">
        <f>+CONCATENATE("T",ROUNDUP(MONTH(Datos[[#This Row],[Fecha]])/3,0))</f>
        <v>T4</v>
      </c>
      <c r="F914" t="str">
        <f>+CONCATENATE("Sem"," ",ROUNDUP(MONTH(Datos[[#This Row],[Fecha]])/6,0))</f>
        <v>Sem 2</v>
      </c>
      <c r="G914" t="s">
        <v>94</v>
      </c>
      <c r="H914" t="s">
        <v>95</v>
      </c>
      <c r="I914" t="s">
        <v>68</v>
      </c>
      <c r="J914" t="s">
        <v>96</v>
      </c>
      <c r="K914" t="s">
        <v>39</v>
      </c>
      <c r="L914" t="s">
        <v>40</v>
      </c>
      <c r="M914" t="s">
        <v>188</v>
      </c>
      <c r="N914" s="1">
        <v>45232</v>
      </c>
      <c r="O914" s="1">
        <v>45412</v>
      </c>
      <c r="P914" t="s">
        <v>29</v>
      </c>
      <c r="Q914">
        <f>+IF(OR(Datos[[#This Row],[Diagnostico]]="Inservible",Datos[[#This Row],[Estatus]]="Preventivo"),0,Datos[[#This Row],[Fecha_Final]]-Datos[[#This Row],[Día_Inicio]])</f>
        <v>0</v>
      </c>
      <c r="R914" s="2">
        <v>616</v>
      </c>
      <c r="S914" s="2">
        <v>166</v>
      </c>
      <c r="T914" t="s">
        <v>42</v>
      </c>
    </row>
    <row r="915" spans="1:20" x14ac:dyDescent="0.25">
      <c r="A915" t="s">
        <v>1100</v>
      </c>
      <c r="B915" s="1">
        <v>45235</v>
      </c>
      <c r="C915" t="s">
        <v>1097</v>
      </c>
      <c r="D915">
        <v>11</v>
      </c>
      <c r="E915" t="str">
        <f>+CONCATENATE("T",ROUNDUP(MONTH(Datos[[#This Row],[Fecha]])/3,0))</f>
        <v>T4</v>
      </c>
      <c r="F915" t="str">
        <f>+CONCATENATE("Sem"," ",ROUNDUP(MONTH(Datos[[#This Row],[Fecha]])/6,0))</f>
        <v>Sem 2</v>
      </c>
      <c r="G915" t="s">
        <v>225</v>
      </c>
      <c r="H915" t="s">
        <v>226</v>
      </c>
      <c r="I915" t="s">
        <v>227</v>
      </c>
      <c r="J915" t="s">
        <v>89</v>
      </c>
      <c r="K915" t="s">
        <v>110</v>
      </c>
      <c r="L915" t="s">
        <v>27</v>
      </c>
      <c r="M915">
        <v>0</v>
      </c>
      <c r="N915" s="1">
        <v>45235</v>
      </c>
      <c r="O915" s="1">
        <v>45263</v>
      </c>
      <c r="P915" t="s">
        <v>58</v>
      </c>
      <c r="Q915">
        <f>+IF(OR(Datos[[#This Row],[Diagnostico]]="Inservible",Datos[[#This Row],[Estatus]]="Preventivo"),0,Datos[[#This Row],[Fecha_Final]]-Datos[[#This Row],[Día_Inicio]])</f>
        <v>28</v>
      </c>
      <c r="R915" s="2">
        <v>446</v>
      </c>
      <c r="S915" s="2">
        <v>693</v>
      </c>
      <c r="T915" t="s">
        <v>59</v>
      </c>
    </row>
    <row r="916" spans="1:20" x14ac:dyDescent="0.25">
      <c r="A916" t="s">
        <v>1101</v>
      </c>
      <c r="B916" s="1">
        <v>45236</v>
      </c>
      <c r="C916" t="s">
        <v>1097</v>
      </c>
      <c r="D916">
        <v>11</v>
      </c>
      <c r="E916" t="str">
        <f>+CONCATENATE("T",ROUNDUP(MONTH(Datos[[#This Row],[Fecha]])/3,0))</f>
        <v>T4</v>
      </c>
      <c r="F916" t="str">
        <f>+CONCATENATE("Sem"," ",ROUNDUP(MONTH(Datos[[#This Row],[Fecha]])/6,0))</f>
        <v>Sem 2</v>
      </c>
      <c r="G916" t="s">
        <v>202</v>
      </c>
      <c r="H916" t="s">
        <v>203</v>
      </c>
      <c r="I916" t="s">
        <v>24</v>
      </c>
      <c r="J916" t="s">
        <v>204</v>
      </c>
      <c r="K916" t="s">
        <v>39</v>
      </c>
      <c r="L916" t="s">
        <v>40</v>
      </c>
      <c r="M916" t="s">
        <v>41</v>
      </c>
      <c r="N916" s="1">
        <v>45236</v>
      </c>
      <c r="O916" s="1">
        <v>45326</v>
      </c>
      <c r="P916" t="s">
        <v>29</v>
      </c>
      <c r="Q916">
        <f>+IF(OR(Datos[[#This Row],[Diagnostico]]="Inservible",Datos[[#This Row],[Estatus]]="Preventivo"),0,Datos[[#This Row],[Fecha_Final]]-Datos[[#This Row],[Día_Inicio]])</f>
        <v>0</v>
      </c>
      <c r="R916" s="2">
        <v>1081</v>
      </c>
      <c r="S916" s="2">
        <v>439</v>
      </c>
      <c r="T916" t="s">
        <v>42</v>
      </c>
    </row>
    <row r="917" spans="1:20" x14ac:dyDescent="0.25">
      <c r="A917" t="s">
        <v>1102</v>
      </c>
      <c r="B917" s="1">
        <v>45237</v>
      </c>
      <c r="C917" t="s">
        <v>1097</v>
      </c>
      <c r="D917">
        <v>11</v>
      </c>
      <c r="E917" t="str">
        <f>+CONCATENATE("T",ROUNDUP(MONTH(Datos[[#This Row],[Fecha]])/3,0))</f>
        <v>T4</v>
      </c>
      <c r="F917" t="str">
        <f>+CONCATENATE("Sem"," ",ROUNDUP(MONTH(Datos[[#This Row],[Fecha]])/6,0))</f>
        <v>Sem 2</v>
      </c>
      <c r="G917" t="s">
        <v>72</v>
      </c>
      <c r="H917" t="s">
        <v>73</v>
      </c>
      <c r="I917" t="s">
        <v>24</v>
      </c>
      <c r="J917" t="s">
        <v>74</v>
      </c>
      <c r="K917" t="s">
        <v>119</v>
      </c>
      <c r="L917" t="s">
        <v>27</v>
      </c>
      <c r="M917">
        <v>0</v>
      </c>
      <c r="N917" s="1">
        <v>45237</v>
      </c>
      <c r="O917" s="1">
        <v>45264</v>
      </c>
      <c r="P917" t="s">
        <v>58</v>
      </c>
      <c r="Q917">
        <f>+IF(OR(Datos[[#This Row],[Diagnostico]]="Inservible",Datos[[#This Row],[Estatus]]="Preventivo"),0,Datos[[#This Row],[Fecha_Final]]-Datos[[#This Row],[Día_Inicio]])</f>
        <v>27</v>
      </c>
      <c r="R917" s="2">
        <v>208</v>
      </c>
      <c r="S917" s="2">
        <v>165</v>
      </c>
      <c r="T917" t="s">
        <v>59</v>
      </c>
    </row>
    <row r="918" spans="1:20" x14ac:dyDescent="0.25">
      <c r="A918" t="s">
        <v>1103</v>
      </c>
      <c r="B918" s="1">
        <v>45237</v>
      </c>
      <c r="C918" t="s">
        <v>1097</v>
      </c>
      <c r="D918">
        <v>11</v>
      </c>
      <c r="E918" t="str">
        <f>+CONCATENATE("T",ROUNDUP(MONTH(Datos[[#This Row],[Fecha]])/3,0))</f>
        <v>T4</v>
      </c>
      <c r="F918" t="str">
        <f>+CONCATENATE("Sem"," ",ROUNDUP(MONTH(Datos[[#This Row],[Fecha]])/6,0))</f>
        <v>Sem 2</v>
      </c>
      <c r="G918" t="s">
        <v>36</v>
      </c>
      <c r="H918" t="s">
        <v>37</v>
      </c>
      <c r="I918" t="s">
        <v>24</v>
      </c>
      <c r="J918" t="s">
        <v>38</v>
      </c>
      <c r="K918" t="s">
        <v>123</v>
      </c>
      <c r="L918" t="s">
        <v>27</v>
      </c>
      <c r="M918">
        <v>0</v>
      </c>
      <c r="N918" s="1">
        <v>45237</v>
      </c>
      <c r="O918" s="1">
        <v>45255</v>
      </c>
      <c r="P918" t="s">
        <v>28</v>
      </c>
      <c r="Q918">
        <f>+IF(OR(Datos[[#This Row],[Diagnostico]]="Inservible",Datos[[#This Row],[Estatus]]="Preventivo"),0,Datos[[#This Row],[Fecha_Final]]-Datos[[#This Row],[Día_Inicio]])</f>
        <v>0</v>
      </c>
      <c r="R918" s="2">
        <v>0</v>
      </c>
      <c r="S918" s="2">
        <v>0</v>
      </c>
      <c r="T918" t="s">
        <v>29</v>
      </c>
    </row>
    <row r="919" spans="1:20" x14ac:dyDescent="0.25">
      <c r="A919" t="s">
        <v>1104</v>
      </c>
      <c r="B919" s="1">
        <v>45238</v>
      </c>
      <c r="C919" t="s">
        <v>1097</v>
      </c>
      <c r="D919">
        <v>11</v>
      </c>
      <c r="E919" t="str">
        <f>+CONCATENATE("T",ROUNDUP(MONTH(Datos[[#This Row],[Fecha]])/3,0))</f>
        <v>T4</v>
      </c>
      <c r="F919" t="str">
        <f>+CONCATENATE("Sem"," ",ROUNDUP(MONTH(Datos[[#This Row],[Fecha]])/6,0))</f>
        <v>Sem 2</v>
      </c>
      <c r="G919" t="s">
        <v>77</v>
      </c>
      <c r="H919" t="s">
        <v>78</v>
      </c>
      <c r="I919" t="s">
        <v>24</v>
      </c>
      <c r="J919" t="s">
        <v>79</v>
      </c>
      <c r="K919" t="s">
        <v>128</v>
      </c>
      <c r="L919" t="s">
        <v>27</v>
      </c>
      <c r="M919">
        <v>0</v>
      </c>
      <c r="N919" s="1">
        <v>45238</v>
      </c>
      <c r="O919" s="1">
        <v>45257</v>
      </c>
      <c r="P919" t="s">
        <v>28</v>
      </c>
      <c r="Q919">
        <f>+IF(OR(Datos[[#This Row],[Diagnostico]]="Inservible",Datos[[#This Row],[Estatus]]="Preventivo"),0,Datos[[#This Row],[Fecha_Final]]-Datos[[#This Row],[Día_Inicio]])</f>
        <v>0</v>
      </c>
      <c r="R919" s="2">
        <v>0</v>
      </c>
      <c r="S919" s="2">
        <v>0</v>
      </c>
      <c r="T919" t="s">
        <v>29</v>
      </c>
    </row>
    <row r="920" spans="1:20" x14ac:dyDescent="0.25">
      <c r="A920" t="s">
        <v>1105</v>
      </c>
      <c r="B920" s="1">
        <v>45238</v>
      </c>
      <c r="C920" t="s">
        <v>1097</v>
      </c>
      <c r="D920">
        <v>11</v>
      </c>
      <c r="E920" t="str">
        <f>+CONCATENATE("T",ROUNDUP(MONTH(Datos[[#This Row],[Fecha]])/3,0))</f>
        <v>T4</v>
      </c>
      <c r="F920" t="str">
        <f>+CONCATENATE("Sem"," ",ROUNDUP(MONTH(Datos[[#This Row],[Fecha]])/6,0))</f>
        <v>Sem 2</v>
      </c>
      <c r="G920" t="s">
        <v>49</v>
      </c>
      <c r="H920" t="s">
        <v>23</v>
      </c>
      <c r="I920" t="s">
        <v>24</v>
      </c>
      <c r="J920" t="s">
        <v>50</v>
      </c>
      <c r="K920" t="s">
        <v>130</v>
      </c>
      <c r="L920" t="s">
        <v>27</v>
      </c>
      <c r="M920">
        <v>0</v>
      </c>
      <c r="N920" s="1">
        <v>45238</v>
      </c>
      <c r="O920" s="1">
        <v>45241</v>
      </c>
      <c r="P920" t="s">
        <v>28</v>
      </c>
      <c r="Q920">
        <f>+IF(OR(Datos[[#This Row],[Diagnostico]]="Inservible",Datos[[#This Row],[Estatus]]="Preventivo"),0,Datos[[#This Row],[Fecha_Final]]-Datos[[#This Row],[Día_Inicio]])</f>
        <v>0</v>
      </c>
      <c r="R920" s="2">
        <v>0</v>
      </c>
      <c r="S920" s="2">
        <v>0</v>
      </c>
      <c r="T920" t="s">
        <v>29</v>
      </c>
    </row>
    <row r="921" spans="1:20" x14ac:dyDescent="0.25">
      <c r="A921" t="s">
        <v>1106</v>
      </c>
      <c r="B921" s="1">
        <v>45238</v>
      </c>
      <c r="C921" t="s">
        <v>1097</v>
      </c>
      <c r="D921">
        <v>11</v>
      </c>
      <c r="E921" t="str">
        <f>+CONCATENATE("T",ROUNDUP(MONTH(Datos[[#This Row],[Fecha]])/3,0))</f>
        <v>T4</v>
      </c>
      <c r="F921" t="str">
        <f>+CONCATENATE("Sem"," ",ROUNDUP(MONTH(Datos[[#This Row],[Fecha]])/6,0))</f>
        <v>Sem 2</v>
      </c>
      <c r="G921" t="s">
        <v>164</v>
      </c>
      <c r="H921" t="s">
        <v>165</v>
      </c>
      <c r="I921" t="s">
        <v>24</v>
      </c>
      <c r="J921" t="s">
        <v>166</v>
      </c>
      <c r="K921" t="s">
        <v>135</v>
      </c>
      <c r="L921" t="s">
        <v>27</v>
      </c>
      <c r="M921">
        <v>0</v>
      </c>
      <c r="N921" s="1">
        <v>45238</v>
      </c>
      <c r="O921" s="1">
        <v>45264</v>
      </c>
      <c r="P921" t="s">
        <v>28</v>
      </c>
      <c r="Q921">
        <f>+IF(OR(Datos[[#This Row],[Diagnostico]]="Inservible",Datos[[#This Row],[Estatus]]="Preventivo"),0,Datos[[#This Row],[Fecha_Final]]-Datos[[#This Row],[Día_Inicio]])</f>
        <v>0</v>
      </c>
      <c r="R921" s="2">
        <v>0</v>
      </c>
      <c r="S921" s="2">
        <v>0</v>
      </c>
      <c r="T921" t="s">
        <v>29</v>
      </c>
    </row>
    <row r="922" spans="1:20" x14ac:dyDescent="0.25">
      <c r="A922" t="s">
        <v>1107</v>
      </c>
      <c r="B922" s="1">
        <v>45239</v>
      </c>
      <c r="C922" t="s">
        <v>1097</v>
      </c>
      <c r="D922">
        <v>11</v>
      </c>
      <c r="E922" t="str">
        <f>+CONCATENATE("T",ROUNDUP(MONTH(Datos[[#This Row],[Fecha]])/3,0))</f>
        <v>T4</v>
      </c>
      <c r="F922" t="str">
        <f>+CONCATENATE("Sem"," ",ROUNDUP(MONTH(Datos[[#This Row],[Fecha]])/6,0))</f>
        <v>Sem 2</v>
      </c>
      <c r="G922" t="s">
        <v>164</v>
      </c>
      <c r="H922" t="s">
        <v>165</v>
      </c>
      <c r="I922" t="s">
        <v>24</v>
      </c>
      <c r="J922" t="s">
        <v>166</v>
      </c>
      <c r="K922" t="s">
        <v>26</v>
      </c>
      <c r="L922" t="s">
        <v>27</v>
      </c>
      <c r="M922">
        <v>0</v>
      </c>
      <c r="N922" s="1">
        <v>45239</v>
      </c>
      <c r="O922" s="1">
        <v>45266</v>
      </c>
      <c r="P922" t="s">
        <v>28</v>
      </c>
      <c r="Q922">
        <f>+IF(OR(Datos[[#This Row],[Diagnostico]]="Inservible",Datos[[#This Row],[Estatus]]="Preventivo"),0,Datos[[#This Row],[Fecha_Final]]-Datos[[#This Row],[Día_Inicio]])</f>
        <v>0</v>
      </c>
      <c r="R922" s="2">
        <v>0</v>
      </c>
      <c r="S922" s="2">
        <v>0</v>
      </c>
      <c r="T922" t="s">
        <v>29</v>
      </c>
    </row>
    <row r="923" spans="1:20" x14ac:dyDescent="0.25">
      <c r="A923" t="s">
        <v>1108</v>
      </c>
      <c r="B923" s="1">
        <v>45240</v>
      </c>
      <c r="C923" t="s">
        <v>1097</v>
      </c>
      <c r="D923">
        <v>11</v>
      </c>
      <c r="E923" t="str">
        <f>+CONCATENATE("T",ROUNDUP(MONTH(Datos[[#This Row],[Fecha]])/3,0))</f>
        <v>T4</v>
      </c>
      <c r="F923" t="str">
        <f>+CONCATENATE("Sem"," ",ROUNDUP(MONTH(Datos[[#This Row],[Fecha]])/6,0))</f>
        <v>Sem 2</v>
      </c>
      <c r="G923" t="s">
        <v>149</v>
      </c>
      <c r="H923" t="s">
        <v>150</v>
      </c>
      <c r="I923" t="s">
        <v>68</v>
      </c>
      <c r="J923" t="s">
        <v>151</v>
      </c>
      <c r="K923" t="s">
        <v>34</v>
      </c>
      <c r="L923" t="s">
        <v>27</v>
      </c>
      <c r="M923">
        <v>0</v>
      </c>
      <c r="N923" s="1">
        <v>45240</v>
      </c>
      <c r="O923" s="1">
        <v>45267</v>
      </c>
      <c r="P923" t="s">
        <v>28</v>
      </c>
      <c r="Q923">
        <f>+IF(OR(Datos[[#This Row],[Diagnostico]]="Inservible",Datos[[#This Row],[Estatus]]="Preventivo"),0,Datos[[#This Row],[Fecha_Final]]-Datos[[#This Row],[Día_Inicio]])</f>
        <v>0</v>
      </c>
      <c r="R923" s="2">
        <v>0</v>
      </c>
      <c r="S923" s="2">
        <v>0</v>
      </c>
      <c r="T923" t="s">
        <v>29</v>
      </c>
    </row>
    <row r="924" spans="1:20" x14ac:dyDescent="0.25">
      <c r="A924" t="s">
        <v>1109</v>
      </c>
      <c r="B924" s="1">
        <v>45240</v>
      </c>
      <c r="C924" t="s">
        <v>1097</v>
      </c>
      <c r="D924">
        <v>11</v>
      </c>
      <c r="E924" t="str">
        <f>+CONCATENATE("T",ROUNDUP(MONTH(Datos[[#This Row],[Fecha]])/3,0))</f>
        <v>T4</v>
      </c>
      <c r="F924" t="str">
        <f>+CONCATENATE("Sem"," ",ROUNDUP(MONTH(Datos[[#This Row],[Fecha]])/6,0))</f>
        <v>Sem 2</v>
      </c>
      <c r="G924" t="s">
        <v>125</v>
      </c>
      <c r="H924" t="s">
        <v>126</v>
      </c>
      <c r="I924" t="s">
        <v>24</v>
      </c>
      <c r="J924" t="s">
        <v>127</v>
      </c>
      <c r="K924" t="s">
        <v>39</v>
      </c>
      <c r="L924" t="s">
        <v>27</v>
      </c>
      <c r="M924">
        <v>0</v>
      </c>
      <c r="N924" s="1">
        <v>45240</v>
      </c>
      <c r="O924" s="1">
        <v>45267</v>
      </c>
      <c r="P924" t="s">
        <v>28</v>
      </c>
      <c r="Q924">
        <f>+IF(OR(Datos[[#This Row],[Diagnostico]]="Inservible",Datos[[#This Row],[Estatus]]="Preventivo"),0,Datos[[#This Row],[Fecha_Final]]-Datos[[#This Row],[Día_Inicio]])</f>
        <v>0</v>
      </c>
      <c r="R924" s="2">
        <v>0</v>
      </c>
      <c r="S924" s="2">
        <v>0</v>
      </c>
      <c r="T924" t="s">
        <v>29</v>
      </c>
    </row>
    <row r="925" spans="1:20" x14ac:dyDescent="0.25">
      <c r="A925" t="s">
        <v>1110</v>
      </c>
      <c r="B925" s="1">
        <v>45240</v>
      </c>
      <c r="C925" t="s">
        <v>1097</v>
      </c>
      <c r="D925">
        <v>11</v>
      </c>
      <c r="E925" t="str">
        <f>+CONCATENATE("T",ROUNDUP(MONTH(Datos[[#This Row],[Fecha]])/3,0))</f>
        <v>T4</v>
      </c>
      <c r="F925" t="str">
        <f>+CONCATENATE("Sem"," ",ROUNDUP(MONTH(Datos[[#This Row],[Fecha]])/6,0))</f>
        <v>Sem 2</v>
      </c>
      <c r="G925" t="s">
        <v>331</v>
      </c>
      <c r="H925" t="s">
        <v>332</v>
      </c>
      <c r="I925" t="s">
        <v>68</v>
      </c>
      <c r="J925" t="s">
        <v>74</v>
      </c>
      <c r="K925" t="s">
        <v>47</v>
      </c>
      <c r="L925" t="s">
        <v>27</v>
      </c>
      <c r="M925">
        <v>0</v>
      </c>
      <c r="N925" s="1">
        <v>45240</v>
      </c>
      <c r="O925" s="1">
        <v>45257</v>
      </c>
      <c r="P925" t="s">
        <v>58</v>
      </c>
      <c r="Q925">
        <f>+IF(OR(Datos[[#This Row],[Diagnostico]]="Inservible",Datos[[#This Row],[Estatus]]="Preventivo"),0,Datos[[#This Row],[Fecha_Final]]-Datos[[#This Row],[Día_Inicio]])</f>
        <v>17</v>
      </c>
      <c r="R925" s="2">
        <v>883</v>
      </c>
      <c r="S925" s="2">
        <v>883</v>
      </c>
      <c r="T925" t="s">
        <v>91</v>
      </c>
    </row>
    <row r="926" spans="1:20" x14ac:dyDescent="0.25">
      <c r="A926" t="s">
        <v>1111</v>
      </c>
      <c r="B926" s="1">
        <v>45241</v>
      </c>
      <c r="C926" t="s">
        <v>1097</v>
      </c>
      <c r="D926">
        <v>11</v>
      </c>
      <c r="E926" t="str">
        <f>+CONCATENATE("T",ROUNDUP(MONTH(Datos[[#This Row],[Fecha]])/3,0))</f>
        <v>T4</v>
      </c>
      <c r="F926" t="str">
        <f>+CONCATENATE("Sem"," ",ROUNDUP(MONTH(Datos[[#This Row],[Fecha]])/6,0))</f>
        <v>Sem 2</v>
      </c>
      <c r="G926" t="s">
        <v>190</v>
      </c>
      <c r="H926" t="s">
        <v>191</v>
      </c>
      <c r="I926" t="s">
        <v>24</v>
      </c>
      <c r="J926" t="s">
        <v>192</v>
      </c>
      <c r="K926" t="s">
        <v>147</v>
      </c>
      <c r="L926" t="s">
        <v>27</v>
      </c>
      <c r="M926">
        <v>0</v>
      </c>
      <c r="N926" s="1">
        <v>45241</v>
      </c>
      <c r="O926" s="1">
        <v>45262</v>
      </c>
      <c r="P926" t="s">
        <v>58</v>
      </c>
      <c r="Q926">
        <f>+IF(OR(Datos[[#This Row],[Diagnostico]]="Inservible",Datos[[#This Row],[Estatus]]="Preventivo"),0,Datos[[#This Row],[Fecha_Final]]-Datos[[#This Row],[Día_Inicio]])</f>
        <v>21</v>
      </c>
      <c r="R926" s="2">
        <v>1049</v>
      </c>
      <c r="S926" s="2">
        <v>746</v>
      </c>
      <c r="T926" t="s">
        <v>42</v>
      </c>
    </row>
    <row r="927" spans="1:20" x14ac:dyDescent="0.25">
      <c r="A927" t="s">
        <v>1112</v>
      </c>
      <c r="B927" s="1">
        <v>45241</v>
      </c>
      <c r="C927" t="s">
        <v>1097</v>
      </c>
      <c r="D927">
        <v>11</v>
      </c>
      <c r="E927" t="str">
        <f>+CONCATENATE("T",ROUNDUP(MONTH(Datos[[#This Row],[Fecha]])/3,0))</f>
        <v>T4</v>
      </c>
      <c r="F927" t="str">
        <f>+CONCATENATE("Sem"," ",ROUNDUP(MONTH(Datos[[#This Row],[Fecha]])/6,0))</f>
        <v>Sem 2</v>
      </c>
      <c r="G927" t="s">
        <v>158</v>
      </c>
      <c r="H927" t="s">
        <v>159</v>
      </c>
      <c r="I927" t="s">
        <v>101</v>
      </c>
      <c r="J927" t="s">
        <v>160</v>
      </c>
      <c r="K927" t="s">
        <v>57</v>
      </c>
      <c r="L927" t="s">
        <v>27</v>
      </c>
      <c r="M927">
        <v>0</v>
      </c>
      <c r="N927" s="1">
        <v>45241</v>
      </c>
      <c r="O927" s="1">
        <v>45250</v>
      </c>
      <c r="P927" t="s">
        <v>28</v>
      </c>
      <c r="Q927">
        <f>+IF(OR(Datos[[#This Row],[Diagnostico]]="Inservible",Datos[[#This Row],[Estatus]]="Preventivo"),0,Datos[[#This Row],[Fecha_Final]]-Datos[[#This Row],[Día_Inicio]])</f>
        <v>0</v>
      </c>
      <c r="R927" s="2">
        <v>0</v>
      </c>
      <c r="S927" s="2">
        <v>0</v>
      </c>
      <c r="T927" t="s">
        <v>29</v>
      </c>
    </row>
    <row r="928" spans="1:20" x14ac:dyDescent="0.25">
      <c r="A928" t="s">
        <v>1113</v>
      </c>
      <c r="B928" s="1">
        <v>45242</v>
      </c>
      <c r="C928" t="s">
        <v>1097</v>
      </c>
      <c r="D928">
        <v>11</v>
      </c>
      <c r="E928" t="str">
        <f>+CONCATENATE("T",ROUNDUP(MONTH(Datos[[#This Row],[Fecha]])/3,0))</f>
        <v>T4</v>
      </c>
      <c r="F928" t="str">
        <f>+CONCATENATE("Sem"," ",ROUNDUP(MONTH(Datos[[#This Row],[Fecha]])/6,0))</f>
        <v>Sem 2</v>
      </c>
      <c r="G928" t="s">
        <v>175</v>
      </c>
      <c r="H928" t="s">
        <v>176</v>
      </c>
      <c r="I928" t="s">
        <v>24</v>
      </c>
      <c r="J928" t="s">
        <v>177</v>
      </c>
      <c r="K928" t="s">
        <v>39</v>
      </c>
      <c r="L928" t="s">
        <v>40</v>
      </c>
      <c r="M928" t="s">
        <v>51</v>
      </c>
      <c r="N928" s="1">
        <v>45242</v>
      </c>
      <c r="O928" s="1">
        <v>45302</v>
      </c>
      <c r="P928" t="s">
        <v>29</v>
      </c>
      <c r="Q928">
        <f>+IF(OR(Datos[[#This Row],[Diagnostico]]="Inservible",Datos[[#This Row],[Estatus]]="Preventivo"),0,Datos[[#This Row],[Fecha_Final]]-Datos[[#This Row],[Día_Inicio]])</f>
        <v>0</v>
      </c>
      <c r="R928" s="2">
        <v>1092</v>
      </c>
      <c r="S928" s="2">
        <v>244</v>
      </c>
      <c r="T928" t="s">
        <v>42</v>
      </c>
    </row>
    <row r="929" spans="1:20" x14ac:dyDescent="0.25">
      <c r="A929" t="s">
        <v>1114</v>
      </c>
      <c r="B929" s="1">
        <v>45244</v>
      </c>
      <c r="C929" t="s">
        <v>1097</v>
      </c>
      <c r="D929">
        <v>11</v>
      </c>
      <c r="E929" t="str">
        <f>+CONCATENATE("T",ROUNDUP(MONTH(Datos[[#This Row],[Fecha]])/3,0))</f>
        <v>T4</v>
      </c>
      <c r="F929" t="str">
        <f>+CONCATENATE("Sem"," ",ROUNDUP(MONTH(Datos[[#This Row],[Fecha]])/6,0))</f>
        <v>Sem 2</v>
      </c>
      <c r="G929" t="s">
        <v>121</v>
      </c>
      <c r="H929" t="s">
        <v>122</v>
      </c>
      <c r="I929" t="s">
        <v>24</v>
      </c>
      <c r="J929" t="s">
        <v>102</v>
      </c>
      <c r="K929" t="s">
        <v>70</v>
      </c>
      <c r="L929" t="s">
        <v>27</v>
      </c>
      <c r="M929">
        <v>0</v>
      </c>
      <c r="N929" s="1">
        <v>45244</v>
      </c>
      <c r="O929" s="1">
        <v>45248</v>
      </c>
      <c r="P929" t="s">
        <v>58</v>
      </c>
      <c r="Q929">
        <f>+IF(OR(Datos[[#This Row],[Diagnostico]]="Inservible",Datos[[#This Row],[Estatus]]="Preventivo"),0,Datos[[#This Row],[Fecha_Final]]-Datos[[#This Row],[Día_Inicio]])</f>
        <v>4</v>
      </c>
      <c r="R929" s="2">
        <v>371</v>
      </c>
      <c r="S929" s="2">
        <v>866</v>
      </c>
      <c r="T929" t="s">
        <v>91</v>
      </c>
    </row>
    <row r="930" spans="1:20" x14ac:dyDescent="0.25">
      <c r="A930" t="s">
        <v>1115</v>
      </c>
      <c r="B930" s="1">
        <v>45244</v>
      </c>
      <c r="C930" t="s">
        <v>1097</v>
      </c>
      <c r="D930">
        <v>11</v>
      </c>
      <c r="E930" t="str">
        <f>+CONCATENATE("T",ROUNDUP(MONTH(Datos[[#This Row],[Fecha]])/3,0))</f>
        <v>T4</v>
      </c>
      <c r="F930" t="str">
        <f>+CONCATENATE("Sem"," ",ROUNDUP(MONTH(Datos[[#This Row],[Fecha]])/6,0))</f>
        <v>Sem 2</v>
      </c>
      <c r="G930" t="s">
        <v>246</v>
      </c>
      <c r="H930" t="s">
        <v>247</v>
      </c>
      <c r="I930" t="s">
        <v>24</v>
      </c>
      <c r="J930" t="s">
        <v>156</v>
      </c>
      <c r="K930" t="s">
        <v>39</v>
      </c>
      <c r="L930" t="s">
        <v>40</v>
      </c>
      <c r="M930" t="s">
        <v>103</v>
      </c>
      <c r="N930" s="1">
        <v>45244</v>
      </c>
      <c r="O930" s="1">
        <v>45259</v>
      </c>
      <c r="P930" t="s">
        <v>29</v>
      </c>
      <c r="Q930">
        <f>+IF(OR(Datos[[#This Row],[Diagnostico]]="Inservible",Datos[[#This Row],[Estatus]]="Preventivo"),0,Datos[[#This Row],[Fecha_Final]]-Datos[[#This Row],[Día_Inicio]])</f>
        <v>0</v>
      </c>
      <c r="R930" s="2">
        <v>528</v>
      </c>
      <c r="S930" s="2">
        <v>684</v>
      </c>
      <c r="T930" t="s">
        <v>42</v>
      </c>
    </row>
    <row r="931" spans="1:20" x14ac:dyDescent="0.25">
      <c r="A931" t="s">
        <v>1116</v>
      </c>
      <c r="B931" s="1">
        <v>45244</v>
      </c>
      <c r="C931" t="s">
        <v>1097</v>
      </c>
      <c r="D931">
        <v>11</v>
      </c>
      <c r="E931" t="str">
        <f>+CONCATENATE("T",ROUNDUP(MONTH(Datos[[#This Row],[Fecha]])/3,0))</f>
        <v>T4</v>
      </c>
      <c r="F931" t="str">
        <f>+CONCATENATE("Sem"," ",ROUNDUP(MONTH(Datos[[#This Row],[Fecha]])/6,0))</f>
        <v>Sem 2</v>
      </c>
      <c r="G931" t="s">
        <v>180</v>
      </c>
      <c r="H931" t="s">
        <v>181</v>
      </c>
      <c r="I931" t="s">
        <v>24</v>
      </c>
      <c r="J931" t="s">
        <v>127</v>
      </c>
      <c r="K931" t="s">
        <v>80</v>
      </c>
      <c r="L931" t="s">
        <v>27</v>
      </c>
      <c r="M931">
        <v>0</v>
      </c>
      <c r="N931" s="1">
        <v>45244</v>
      </c>
      <c r="O931" s="1">
        <v>45270</v>
      </c>
      <c r="P931" t="s">
        <v>58</v>
      </c>
      <c r="Q931">
        <f>+IF(OR(Datos[[#This Row],[Diagnostico]]="Inservible",Datos[[#This Row],[Estatus]]="Preventivo"),0,Datos[[#This Row],[Fecha_Final]]-Datos[[#This Row],[Día_Inicio]])</f>
        <v>26</v>
      </c>
      <c r="R931" s="2">
        <v>892</v>
      </c>
      <c r="S931" s="2">
        <v>144</v>
      </c>
      <c r="T931" t="s">
        <v>91</v>
      </c>
    </row>
    <row r="932" spans="1:20" x14ac:dyDescent="0.25">
      <c r="A932" t="s">
        <v>1117</v>
      </c>
      <c r="B932" s="1">
        <v>45244</v>
      </c>
      <c r="C932" t="s">
        <v>1097</v>
      </c>
      <c r="D932">
        <v>11</v>
      </c>
      <c r="E932" t="str">
        <f>+CONCATENATE("T",ROUNDUP(MONTH(Datos[[#This Row],[Fecha]])/3,0))</f>
        <v>T4</v>
      </c>
      <c r="F932" t="str">
        <f>+CONCATENATE("Sem"," ",ROUNDUP(MONTH(Datos[[#This Row],[Fecha]])/6,0))</f>
        <v>Sem 2</v>
      </c>
      <c r="G932" t="s">
        <v>72</v>
      </c>
      <c r="H932" t="s">
        <v>73</v>
      </c>
      <c r="I932" t="s">
        <v>24</v>
      </c>
      <c r="J932" t="s">
        <v>74</v>
      </c>
      <c r="K932" t="s">
        <v>85</v>
      </c>
      <c r="L932" t="s">
        <v>27</v>
      </c>
      <c r="M932">
        <v>0</v>
      </c>
      <c r="N932" s="1">
        <v>45244</v>
      </c>
      <c r="O932" s="1">
        <v>45259</v>
      </c>
      <c r="P932" t="s">
        <v>28</v>
      </c>
      <c r="Q932">
        <f>+IF(OR(Datos[[#This Row],[Diagnostico]]="Inservible",Datos[[#This Row],[Estatus]]="Preventivo"),0,Datos[[#This Row],[Fecha_Final]]-Datos[[#This Row],[Día_Inicio]])</f>
        <v>0</v>
      </c>
      <c r="R932" s="2">
        <v>0</v>
      </c>
      <c r="S932" s="2">
        <v>0</v>
      </c>
      <c r="T932" t="s">
        <v>29</v>
      </c>
    </row>
    <row r="933" spans="1:20" x14ac:dyDescent="0.25">
      <c r="A933" t="s">
        <v>1118</v>
      </c>
      <c r="B933" s="1">
        <v>45245</v>
      </c>
      <c r="C933" t="s">
        <v>1097</v>
      </c>
      <c r="D933">
        <v>11</v>
      </c>
      <c r="E933" t="str">
        <f>+CONCATENATE("T",ROUNDUP(MONTH(Datos[[#This Row],[Fecha]])/3,0))</f>
        <v>T4</v>
      </c>
      <c r="F933" t="str">
        <f>+CONCATENATE("Sem"," ",ROUNDUP(MONTH(Datos[[#This Row],[Fecha]])/6,0))</f>
        <v>Sem 2</v>
      </c>
      <c r="G933" t="s">
        <v>246</v>
      </c>
      <c r="H933" t="s">
        <v>247</v>
      </c>
      <c r="I933" t="s">
        <v>24</v>
      </c>
      <c r="J933" t="s">
        <v>156</v>
      </c>
      <c r="K933" t="s">
        <v>90</v>
      </c>
      <c r="L933" t="s">
        <v>27</v>
      </c>
      <c r="M933">
        <v>0</v>
      </c>
      <c r="N933" s="1">
        <v>45245</v>
      </c>
      <c r="O933" s="1">
        <v>45269</v>
      </c>
      <c r="P933" t="s">
        <v>28</v>
      </c>
      <c r="Q933">
        <f>+IF(OR(Datos[[#This Row],[Diagnostico]]="Inservible",Datos[[#This Row],[Estatus]]="Preventivo"),0,Datos[[#This Row],[Fecha_Final]]-Datos[[#This Row],[Día_Inicio]])</f>
        <v>0</v>
      </c>
      <c r="R933" s="2">
        <v>0</v>
      </c>
      <c r="S933" s="2">
        <v>0</v>
      </c>
      <c r="T933" t="s">
        <v>29</v>
      </c>
    </row>
    <row r="934" spans="1:20" x14ac:dyDescent="0.25">
      <c r="A934" t="s">
        <v>1119</v>
      </c>
      <c r="B934" s="1">
        <v>45245</v>
      </c>
      <c r="C934" t="s">
        <v>1097</v>
      </c>
      <c r="D934">
        <v>11</v>
      </c>
      <c r="E934" t="str">
        <f>+CONCATENATE("T",ROUNDUP(MONTH(Datos[[#This Row],[Fecha]])/3,0))</f>
        <v>T4</v>
      </c>
      <c r="F934" t="str">
        <f>+CONCATENATE("Sem"," ",ROUNDUP(MONTH(Datos[[#This Row],[Fecha]])/6,0))</f>
        <v>Sem 2</v>
      </c>
      <c r="G934" t="s">
        <v>99</v>
      </c>
      <c r="H934" t="s">
        <v>100</v>
      </c>
      <c r="I934" t="s">
        <v>101</v>
      </c>
      <c r="J934" t="s">
        <v>102</v>
      </c>
      <c r="K934" t="s">
        <v>39</v>
      </c>
      <c r="L934" t="s">
        <v>40</v>
      </c>
      <c r="M934" t="s">
        <v>103</v>
      </c>
      <c r="N934" s="1">
        <v>45245</v>
      </c>
      <c r="O934" s="1">
        <v>45260</v>
      </c>
      <c r="P934" t="s">
        <v>29</v>
      </c>
      <c r="Q934">
        <f>+IF(OR(Datos[[#This Row],[Diagnostico]]="Inservible",Datos[[#This Row],[Estatus]]="Preventivo"),0,Datos[[#This Row],[Fecha_Final]]-Datos[[#This Row],[Día_Inicio]])</f>
        <v>0</v>
      </c>
      <c r="R934" s="2">
        <v>526</v>
      </c>
      <c r="S934" s="2">
        <v>469</v>
      </c>
      <c r="T934" t="s">
        <v>42</v>
      </c>
    </row>
    <row r="935" spans="1:20" x14ac:dyDescent="0.25">
      <c r="A935" t="s">
        <v>1120</v>
      </c>
      <c r="B935" s="1">
        <v>45246</v>
      </c>
      <c r="C935" t="s">
        <v>1097</v>
      </c>
      <c r="D935">
        <v>11</v>
      </c>
      <c r="E935" t="str">
        <f>+CONCATENATE("T",ROUNDUP(MONTH(Datos[[#This Row],[Fecha]])/3,0))</f>
        <v>T4</v>
      </c>
      <c r="F935" t="str">
        <f>+CONCATENATE("Sem"," ",ROUNDUP(MONTH(Datos[[#This Row],[Fecha]])/6,0))</f>
        <v>Sem 2</v>
      </c>
      <c r="G935" t="s">
        <v>215</v>
      </c>
      <c r="H935" t="s">
        <v>216</v>
      </c>
      <c r="I935" t="s">
        <v>24</v>
      </c>
      <c r="J935" t="s">
        <v>50</v>
      </c>
      <c r="K935" t="s">
        <v>97</v>
      </c>
      <c r="L935" t="s">
        <v>27</v>
      </c>
      <c r="M935">
        <v>0</v>
      </c>
      <c r="N935" s="1">
        <v>45246</v>
      </c>
      <c r="O935" s="1">
        <v>45259</v>
      </c>
      <c r="P935" t="s">
        <v>28</v>
      </c>
      <c r="Q935">
        <f>+IF(OR(Datos[[#This Row],[Diagnostico]]="Inservible",Datos[[#This Row],[Estatus]]="Preventivo"),0,Datos[[#This Row],[Fecha_Final]]-Datos[[#This Row],[Día_Inicio]])</f>
        <v>0</v>
      </c>
      <c r="R935" s="2">
        <v>0</v>
      </c>
      <c r="S935" s="2">
        <v>0</v>
      </c>
      <c r="T935" t="s">
        <v>29</v>
      </c>
    </row>
    <row r="936" spans="1:20" x14ac:dyDescent="0.25">
      <c r="A936" t="s">
        <v>1121</v>
      </c>
      <c r="B936" s="1">
        <v>45246</v>
      </c>
      <c r="C936" t="s">
        <v>1097</v>
      </c>
      <c r="D936">
        <v>11</v>
      </c>
      <c r="E936" t="str">
        <f>+CONCATENATE("T",ROUNDUP(MONTH(Datos[[#This Row],[Fecha]])/3,0))</f>
        <v>T4</v>
      </c>
      <c r="F936" t="str">
        <f>+CONCATENATE("Sem"," ",ROUNDUP(MONTH(Datos[[#This Row],[Fecha]])/6,0))</f>
        <v>Sem 2</v>
      </c>
      <c r="G936" t="s">
        <v>180</v>
      </c>
      <c r="H936" t="s">
        <v>181</v>
      </c>
      <c r="I936" t="s">
        <v>24</v>
      </c>
      <c r="J936" t="s">
        <v>127</v>
      </c>
      <c r="K936" t="s">
        <v>39</v>
      </c>
      <c r="L936" t="s">
        <v>40</v>
      </c>
      <c r="M936" t="s">
        <v>51</v>
      </c>
      <c r="N936" s="1">
        <v>45246</v>
      </c>
      <c r="O936" s="1">
        <v>45306</v>
      </c>
      <c r="P936" t="s">
        <v>29</v>
      </c>
      <c r="Q936">
        <f>+IF(OR(Datos[[#This Row],[Diagnostico]]="Inservible",Datos[[#This Row],[Estatus]]="Preventivo"),0,Datos[[#This Row],[Fecha_Final]]-Datos[[#This Row],[Día_Inicio]])</f>
        <v>0</v>
      </c>
      <c r="R936" s="2">
        <v>406</v>
      </c>
      <c r="S936" s="2">
        <v>879</v>
      </c>
      <c r="T936" t="s">
        <v>42</v>
      </c>
    </row>
    <row r="937" spans="1:20" x14ac:dyDescent="0.25">
      <c r="A937" t="s">
        <v>1122</v>
      </c>
      <c r="B937" s="1">
        <v>45246</v>
      </c>
      <c r="C937" t="s">
        <v>1097</v>
      </c>
      <c r="D937">
        <v>11</v>
      </c>
      <c r="E937" t="str">
        <f>+CONCATENATE("T",ROUNDUP(MONTH(Datos[[#This Row],[Fecha]])/3,0))</f>
        <v>T4</v>
      </c>
      <c r="F937" t="str">
        <f>+CONCATENATE("Sem"," ",ROUNDUP(MONTH(Datos[[#This Row],[Fecha]])/6,0))</f>
        <v>Sem 2</v>
      </c>
      <c r="G937" t="s">
        <v>335</v>
      </c>
      <c r="H937" t="s">
        <v>336</v>
      </c>
      <c r="I937" t="s">
        <v>24</v>
      </c>
      <c r="J937" t="s">
        <v>118</v>
      </c>
      <c r="K937" t="s">
        <v>108</v>
      </c>
      <c r="L937" t="s">
        <v>27</v>
      </c>
      <c r="M937">
        <v>0</v>
      </c>
      <c r="N937" s="1">
        <v>45246</v>
      </c>
      <c r="O937" s="1">
        <v>45249</v>
      </c>
      <c r="P937" t="s">
        <v>28</v>
      </c>
      <c r="Q937">
        <f>+IF(OR(Datos[[#This Row],[Diagnostico]]="Inservible",Datos[[#This Row],[Estatus]]="Preventivo"),0,Datos[[#This Row],[Fecha_Final]]-Datos[[#This Row],[Día_Inicio]])</f>
        <v>0</v>
      </c>
      <c r="R937" s="2">
        <v>0</v>
      </c>
      <c r="S937" s="2">
        <v>0</v>
      </c>
      <c r="T937" t="s">
        <v>29</v>
      </c>
    </row>
    <row r="938" spans="1:20" x14ac:dyDescent="0.25">
      <c r="A938" t="s">
        <v>1123</v>
      </c>
      <c r="B938" s="1">
        <v>45246</v>
      </c>
      <c r="C938" t="s">
        <v>1097</v>
      </c>
      <c r="D938">
        <v>11</v>
      </c>
      <c r="E938" t="str">
        <f>+CONCATENATE("T",ROUNDUP(MONTH(Datos[[#This Row],[Fecha]])/3,0))</f>
        <v>T4</v>
      </c>
      <c r="F938" t="str">
        <f>+CONCATENATE("Sem"," ",ROUNDUP(MONTH(Datos[[#This Row],[Fecha]])/6,0))</f>
        <v>Sem 2</v>
      </c>
      <c r="G938" t="s">
        <v>31</v>
      </c>
      <c r="H938" t="s">
        <v>32</v>
      </c>
      <c r="I938" t="s">
        <v>24</v>
      </c>
      <c r="J938" t="s">
        <v>33</v>
      </c>
      <c r="K938" t="s">
        <v>39</v>
      </c>
      <c r="L938" t="s">
        <v>40</v>
      </c>
      <c r="M938" t="s">
        <v>51</v>
      </c>
      <c r="N938" s="1">
        <v>45246</v>
      </c>
      <c r="O938" s="1">
        <v>45306</v>
      </c>
      <c r="P938" t="s">
        <v>29</v>
      </c>
      <c r="Q938">
        <f>+IF(OR(Datos[[#This Row],[Diagnostico]]="Inservible",Datos[[#This Row],[Estatus]]="Preventivo"),0,Datos[[#This Row],[Fecha_Final]]-Datos[[#This Row],[Día_Inicio]])</f>
        <v>0</v>
      </c>
      <c r="R938" s="2">
        <v>446</v>
      </c>
      <c r="S938" s="2">
        <v>941</v>
      </c>
      <c r="T938" t="s">
        <v>42</v>
      </c>
    </row>
    <row r="939" spans="1:20" x14ac:dyDescent="0.25">
      <c r="A939" t="s">
        <v>1124</v>
      </c>
      <c r="B939" s="1">
        <v>45247</v>
      </c>
      <c r="C939" t="s">
        <v>1097</v>
      </c>
      <c r="D939">
        <v>11</v>
      </c>
      <c r="E939" t="str">
        <f>+CONCATENATE("T",ROUNDUP(MONTH(Datos[[#This Row],[Fecha]])/3,0))</f>
        <v>T4</v>
      </c>
      <c r="F939" t="str">
        <f>+CONCATENATE("Sem"," ",ROUNDUP(MONTH(Datos[[#This Row],[Fecha]])/6,0))</f>
        <v>Sem 2</v>
      </c>
      <c r="G939" t="s">
        <v>283</v>
      </c>
      <c r="H939" t="s">
        <v>284</v>
      </c>
      <c r="I939" t="s">
        <v>24</v>
      </c>
      <c r="J939" t="s">
        <v>192</v>
      </c>
      <c r="K939" t="s">
        <v>114</v>
      </c>
      <c r="L939" t="s">
        <v>27</v>
      </c>
      <c r="M939">
        <v>0</v>
      </c>
      <c r="N939" s="1">
        <v>45247</v>
      </c>
      <c r="O939" s="1">
        <v>45273</v>
      </c>
      <c r="P939" t="s">
        <v>28</v>
      </c>
      <c r="Q939">
        <f>+IF(OR(Datos[[#This Row],[Diagnostico]]="Inservible",Datos[[#This Row],[Estatus]]="Preventivo"),0,Datos[[#This Row],[Fecha_Final]]-Datos[[#This Row],[Día_Inicio]])</f>
        <v>0</v>
      </c>
      <c r="R939" s="2">
        <v>0</v>
      </c>
      <c r="S939" s="2">
        <v>0</v>
      </c>
      <c r="T939" t="s">
        <v>29</v>
      </c>
    </row>
    <row r="940" spans="1:20" x14ac:dyDescent="0.25">
      <c r="A940" t="s">
        <v>1125</v>
      </c>
      <c r="B940" s="1">
        <v>45248</v>
      </c>
      <c r="C940" t="s">
        <v>1097</v>
      </c>
      <c r="D940">
        <v>11</v>
      </c>
      <c r="E940" t="str">
        <f>+CONCATENATE("T",ROUNDUP(MONTH(Datos[[#This Row],[Fecha]])/3,0))</f>
        <v>T4</v>
      </c>
      <c r="F940" t="str">
        <f>+CONCATENATE("Sem"," ",ROUNDUP(MONTH(Datos[[#This Row],[Fecha]])/6,0))</f>
        <v>Sem 2</v>
      </c>
      <c r="G940" t="s">
        <v>31</v>
      </c>
      <c r="H940" t="s">
        <v>32</v>
      </c>
      <c r="I940" t="s">
        <v>24</v>
      </c>
      <c r="J940" t="s">
        <v>33</v>
      </c>
      <c r="K940" t="s">
        <v>39</v>
      </c>
      <c r="L940" t="s">
        <v>40</v>
      </c>
      <c r="M940" t="s">
        <v>188</v>
      </c>
      <c r="N940" s="1">
        <v>45248</v>
      </c>
      <c r="O940" s="1">
        <v>45428</v>
      </c>
      <c r="P940" t="s">
        <v>29</v>
      </c>
      <c r="Q940">
        <f>+IF(OR(Datos[[#This Row],[Diagnostico]]="Inservible",Datos[[#This Row],[Estatus]]="Preventivo"),0,Datos[[#This Row],[Fecha_Final]]-Datos[[#This Row],[Día_Inicio]])</f>
        <v>0</v>
      </c>
      <c r="R940" s="2">
        <v>265</v>
      </c>
      <c r="S940" s="2">
        <v>533</v>
      </c>
      <c r="T940" t="s">
        <v>42</v>
      </c>
    </row>
    <row r="941" spans="1:20" x14ac:dyDescent="0.25">
      <c r="A941" t="s">
        <v>1126</v>
      </c>
      <c r="B941" s="1">
        <v>45248</v>
      </c>
      <c r="C941" t="s">
        <v>1097</v>
      </c>
      <c r="D941">
        <v>11</v>
      </c>
      <c r="E941" t="str">
        <f>+CONCATENATE("T",ROUNDUP(MONTH(Datos[[#This Row],[Fecha]])/3,0))</f>
        <v>T4</v>
      </c>
      <c r="F941" t="str">
        <f>+CONCATENATE("Sem"," ",ROUNDUP(MONTH(Datos[[#This Row],[Fecha]])/6,0))</f>
        <v>Sem 2</v>
      </c>
      <c r="G941" t="s">
        <v>260</v>
      </c>
      <c r="H941" t="s">
        <v>261</v>
      </c>
      <c r="I941" t="s">
        <v>24</v>
      </c>
      <c r="J941" t="s">
        <v>33</v>
      </c>
      <c r="K941" t="s">
        <v>123</v>
      </c>
      <c r="L941" t="s">
        <v>27</v>
      </c>
      <c r="M941">
        <v>0</v>
      </c>
      <c r="N941" s="1">
        <v>45248</v>
      </c>
      <c r="O941" s="1">
        <v>45269</v>
      </c>
      <c r="P941" t="s">
        <v>58</v>
      </c>
      <c r="Q941">
        <f>+IF(OR(Datos[[#This Row],[Diagnostico]]="Inservible",Datos[[#This Row],[Estatus]]="Preventivo"),0,Datos[[#This Row],[Fecha_Final]]-Datos[[#This Row],[Día_Inicio]])</f>
        <v>21</v>
      </c>
      <c r="R941" s="2">
        <v>396</v>
      </c>
      <c r="S941" s="2">
        <v>352</v>
      </c>
      <c r="T941" t="s">
        <v>64</v>
      </c>
    </row>
    <row r="942" spans="1:20" x14ac:dyDescent="0.25">
      <c r="A942" t="s">
        <v>1127</v>
      </c>
      <c r="B942" s="1">
        <v>45248</v>
      </c>
      <c r="C942" t="s">
        <v>1097</v>
      </c>
      <c r="D942">
        <v>11</v>
      </c>
      <c r="E942" t="str">
        <f>+CONCATENATE("T",ROUNDUP(MONTH(Datos[[#This Row],[Fecha]])/3,0))</f>
        <v>T4</v>
      </c>
      <c r="F942" t="str">
        <f>+CONCATENATE("Sem"," ",ROUNDUP(MONTH(Datos[[#This Row],[Fecha]])/6,0))</f>
        <v>Sem 2</v>
      </c>
      <c r="G942" t="s">
        <v>237</v>
      </c>
      <c r="H942" t="s">
        <v>238</v>
      </c>
      <c r="I942" t="s">
        <v>24</v>
      </c>
      <c r="J942" t="s">
        <v>177</v>
      </c>
      <c r="K942" t="s">
        <v>128</v>
      </c>
      <c r="L942" t="s">
        <v>27</v>
      </c>
      <c r="M942">
        <v>0</v>
      </c>
      <c r="N942" s="1">
        <v>45248</v>
      </c>
      <c r="O942" s="1">
        <v>45254</v>
      </c>
      <c r="P942" t="s">
        <v>28</v>
      </c>
      <c r="Q942">
        <f>+IF(OR(Datos[[#This Row],[Diagnostico]]="Inservible",Datos[[#This Row],[Estatus]]="Preventivo"),0,Datos[[#This Row],[Fecha_Final]]-Datos[[#This Row],[Día_Inicio]])</f>
        <v>0</v>
      </c>
      <c r="R942" s="2">
        <v>0</v>
      </c>
      <c r="S942" s="2">
        <v>0</v>
      </c>
      <c r="T942" t="s">
        <v>29</v>
      </c>
    </row>
    <row r="943" spans="1:20" x14ac:dyDescent="0.25">
      <c r="A943" t="s">
        <v>1128</v>
      </c>
      <c r="B943" s="1">
        <v>45248</v>
      </c>
      <c r="C943" t="s">
        <v>1097</v>
      </c>
      <c r="D943">
        <v>11</v>
      </c>
      <c r="E943" t="str">
        <f>+CONCATENATE("T",ROUNDUP(MONTH(Datos[[#This Row],[Fecha]])/3,0))</f>
        <v>T4</v>
      </c>
      <c r="F943" t="str">
        <f>+CONCATENATE("Sem"," ",ROUNDUP(MONTH(Datos[[#This Row],[Fecha]])/6,0))</f>
        <v>Sem 2</v>
      </c>
      <c r="G943" t="s">
        <v>175</v>
      </c>
      <c r="H943" t="s">
        <v>176</v>
      </c>
      <c r="I943" t="s">
        <v>24</v>
      </c>
      <c r="J943" t="s">
        <v>177</v>
      </c>
      <c r="K943" t="s">
        <v>130</v>
      </c>
      <c r="L943" t="s">
        <v>27</v>
      </c>
      <c r="M943">
        <v>0</v>
      </c>
      <c r="N943" s="1">
        <v>45248</v>
      </c>
      <c r="O943" s="1">
        <v>45270</v>
      </c>
      <c r="P943" t="s">
        <v>58</v>
      </c>
      <c r="Q943">
        <f>+IF(OR(Datos[[#This Row],[Diagnostico]]="Inservible",Datos[[#This Row],[Estatus]]="Preventivo"),0,Datos[[#This Row],[Fecha_Final]]-Datos[[#This Row],[Día_Inicio]])</f>
        <v>22</v>
      </c>
      <c r="R943" s="2">
        <v>445</v>
      </c>
      <c r="S943" s="2">
        <v>118</v>
      </c>
      <c r="T943" t="s">
        <v>91</v>
      </c>
    </row>
    <row r="944" spans="1:20" x14ac:dyDescent="0.25">
      <c r="A944" t="s">
        <v>1129</v>
      </c>
      <c r="B944" s="1">
        <v>45249</v>
      </c>
      <c r="C944" t="s">
        <v>1097</v>
      </c>
      <c r="D944">
        <v>11</v>
      </c>
      <c r="E944" t="str">
        <f>+CONCATENATE("T",ROUNDUP(MONTH(Datos[[#This Row],[Fecha]])/3,0))</f>
        <v>T4</v>
      </c>
      <c r="F944" t="str">
        <f>+CONCATENATE("Sem"," ",ROUNDUP(MONTH(Datos[[#This Row],[Fecha]])/6,0))</f>
        <v>Sem 2</v>
      </c>
      <c r="G944" t="s">
        <v>132</v>
      </c>
      <c r="H944" t="s">
        <v>133</v>
      </c>
      <c r="I944" t="s">
        <v>24</v>
      </c>
      <c r="J944" t="s">
        <v>134</v>
      </c>
      <c r="K944" t="s">
        <v>39</v>
      </c>
      <c r="L944" t="s">
        <v>40</v>
      </c>
      <c r="M944" t="s">
        <v>208</v>
      </c>
      <c r="N944" s="1">
        <v>45249</v>
      </c>
      <c r="O944" s="1">
        <v>45256</v>
      </c>
      <c r="P944" t="s">
        <v>29</v>
      </c>
      <c r="Q944">
        <f>+IF(OR(Datos[[#This Row],[Diagnostico]]="Inservible",Datos[[#This Row],[Estatus]]="Preventivo"),0,Datos[[#This Row],[Fecha_Final]]-Datos[[#This Row],[Día_Inicio]])</f>
        <v>0</v>
      </c>
      <c r="R944" s="2">
        <v>437</v>
      </c>
      <c r="S944" s="2">
        <v>475</v>
      </c>
      <c r="T944" t="s">
        <v>42</v>
      </c>
    </row>
    <row r="945" spans="1:20" x14ac:dyDescent="0.25">
      <c r="A945" t="s">
        <v>1130</v>
      </c>
      <c r="B945" s="1">
        <v>45249</v>
      </c>
      <c r="C945" t="s">
        <v>1097</v>
      </c>
      <c r="D945">
        <v>11</v>
      </c>
      <c r="E945" t="str">
        <f>+CONCATENATE("T",ROUNDUP(MONTH(Datos[[#This Row],[Fecha]])/3,0))</f>
        <v>T4</v>
      </c>
      <c r="F945" t="str">
        <f>+CONCATENATE("Sem"," ",ROUNDUP(MONTH(Datos[[#This Row],[Fecha]])/6,0))</f>
        <v>Sem 2</v>
      </c>
      <c r="G945" t="s">
        <v>158</v>
      </c>
      <c r="H945" t="s">
        <v>159</v>
      </c>
      <c r="I945" t="s">
        <v>101</v>
      </c>
      <c r="J945" t="s">
        <v>160</v>
      </c>
      <c r="K945" t="s">
        <v>26</v>
      </c>
      <c r="L945" t="s">
        <v>27</v>
      </c>
      <c r="M945">
        <v>0</v>
      </c>
      <c r="N945" s="1">
        <v>45249</v>
      </c>
      <c r="O945" s="1">
        <v>45256</v>
      </c>
      <c r="P945" t="s">
        <v>58</v>
      </c>
      <c r="Q945">
        <f>+IF(OR(Datos[[#This Row],[Diagnostico]]="Inservible",Datos[[#This Row],[Estatus]]="Preventivo"),0,Datos[[#This Row],[Fecha_Final]]-Datos[[#This Row],[Día_Inicio]])</f>
        <v>7</v>
      </c>
      <c r="R945" s="2">
        <v>220</v>
      </c>
      <c r="S945" s="2">
        <v>522</v>
      </c>
      <c r="T945" t="s">
        <v>42</v>
      </c>
    </row>
    <row r="946" spans="1:20" x14ac:dyDescent="0.25">
      <c r="A946" t="s">
        <v>1131</v>
      </c>
      <c r="B946" s="1">
        <v>45249</v>
      </c>
      <c r="C946" t="s">
        <v>1097</v>
      </c>
      <c r="D946">
        <v>11</v>
      </c>
      <c r="E946" t="str">
        <f>+CONCATENATE("T",ROUNDUP(MONTH(Datos[[#This Row],[Fecha]])/3,0))</f>
        <v>T4</v>
      </c>
      <c r="F946" t="str">
        <f>+CONCATENATE("Sem"," ",ROUNDUP(MONTH(Datos[[#This Row],[Fecha]])/6,0))</f>
        <v>Sem 2</v>
      </c>
      <c r="G946" t="s">
        <v>49</v>
      </c>
      <c r="H946" t="s">
        <v>23</v>
      </c>
      <c r="I946" t="s">
        <v>24</v>
      </c>
      <c r="J946" t="s">
        <v>50</v>
      </c>
      <c r="K946" t="s">
        <v>39</v>
      </c>
      <c r="L946" t="s">
        <v>40</v>
      </c>
      <c r="M946" t="s">
        <v>51</v>
      </c>
      <c r="N946" s="1">
        <v>45249</v>
      </c>
      <c r="O946" s="1">
        <v>45309</v>
      </c>
      <c r="P946" t="s">
        <v>29</v>
      </c>
      <c r="Q946">
        <f>+IF(OR(Datos[[#This Row],[Diagnostico]]="Inservible",Datos[[#This Row],[Estatus]]="Preventivo"),0,Datos[[#This Row],[Fecha_Final]]-Datos[[#This Row],[Día_Inicio]])</f>
        <v>0</v>
      </c>
      <c r="R946" s="2">
        <v>938</v>
      </c>
      <c r="S946" s="2">
        <v>218</v>
      </c>
      <c r="T946" t="s">
        <v>42</v>
      </c>
    </row>
    <row r="947" spans="1:20" x14ac:dyDescent="0.25">
      <c r="A947" t="s">
        <v>1132</v>
      </c>
      <c r="B947" s="1">
        <v>45250</v>
      </c>
      <c r="C947" t="s">
        <v>1097</v>
      </c>
      <c r="D947">
        <v>11</v>
      </c>
      <c r="E947" t="str">
        <f>+CONCATENATE("T",ROUNDUP(MONTH(Datos[[#This Row],[Fecha]])/3,0))</f>
        <v>T4</v>
      </c>
      <c r="F947" t="str">
        <f>+CONCATENATE("Sem"," ",ROUNDUP(MONTH(Datos[[#This Row],[Fecha]])/6,0))</f>
        <v>Sem 2</v>
      </c>
      <c r="G947" t="s">
        <v>22</v>
      </c>
      <c r="H947" t="s">
        <v>23</v>
      </c>
      <c r="I947" t="s">
        <v>24</v>
      </c>
      <c r="J947" t="s">
        <v>25</v>
      </c>
      <c r="K947" t="s">
        <v>39</v>
      </c>
      <c r="L947" t="s">
        <v>27</v>
      </c>
      <c r="M947">
        <v>0</v>
      </c>
      <c r="N947" s="1">
        <v>45250</v>
      </c>
      <c r="O947" s="1">
        <v>45255</v>
      </c>
      <c r="P947" t="s">
        <v>28</v>
      </c>
      <c r="Q947">
        <f>+IF(OR(Datos[[#This Row],[Diagnostico]]="Inservible",Datos[[#This Row],[Estatus]]="Preventivo"),0,Datos[[#This Row],[Fecha_Final]]-Datos[[#This Row],[Día_Inicio]])</f>
        <v>0</v>
      </c>
      <c r="R947" s="2">
        <v>0</v>
      </c>
      <c r="S947" s="2">
        <v>0</v>
      </c>
      <c r="T947" t="s">
        <v>29</v>
      </c>
    </row>
    <row r="948" spans="1:20" x14ac:dyDescent="0.25">
      <c r="A948" t="s">
        <v>1133</v>
      </c>
      <c r="B948" s="1">
        <v>45250</v>
      </c>
      <c r="C948" t="s">
        <v>1097</v>
      </c>
      <c r="D948">
        <v>11</v>
      </c>
      <c r="E948" t="str">
        <f>+CONCATENATE("T",ROUNDUP(MONTH(Datos[[#This Row],[Fecha]])/3,0))</f>
        <v>T4</v>
      </c>
      <c r="F948" t="str">
        <f>+CONCATENATE("Sem"," ",ROUNDUP(MONTH(Datos[[#This Row],[Fecha]])/6,0))</f>
        <v>Sem 2</v>
      </c>
      <c r="G948" t="s">
        <v>283</v>
      </c>
      <c r="H948" t="s">
        <v>284</v>
      </c>
      <c r="I948" t="s">
        <v>24</v>
      </c>
      <c r="J948" t="s">
        <v>192</v>
      </c>
      <c r="K948" t="s">
        <v>39</v>
      </c>
      <c r="L948" t="s">
        <v>40</v>
      </c>
      <c r="M948" t="s">
        <v>103</v>
      </c>
      <c r="N948" s="1">
        <v>45250</v>
      </c>
      <c r="O948" s="1">
        <v>45265</v>
      </c>
      <c r="P948" t="s">
        <v>29</v>
      </c>
      <c r="Q948">
        <f>+IF(OR(Datos[[#This Row],[Diagnostico]]="Inservible",Datos[[#This Row],[Estatus]]="Preventivo"),0,Datos[[#This Row],[Fecha_Final]]-Datos[[#This Row],[Día_Inicio]])</f>
        <v>0</v>
      </c>
      <c r="R948" s="2">
        <v>580</v>
      </c>
      <c r="S948" s="2">
        <v>552</v>
      </c>
      <c r="T948" t="s">
        <v>42</v>
      </c>
    </row>
    <row r="949" spans="1:20" x14ac:dyDescent="0.25">
      <c r="A949" t="s">
        <v>1134</v>
      </c>
      <c r="B949" s="1">
        <v>45250</v>
      </c>
      <c r="C949" t="s">
        <v>1097</v>
      </c>
      <c r="D949">
        <v>11</v>
      </c>
      <c r="E949" t="str">
        <f>+CONCATENATE("T",ROUNDUP(MONTH(Datos[[#This Row],[Fecha]])/3,0))</f>
        <v>T4</v>
      </c>
      <c r="F949" t="str">
        <f>+CONCATENATE("Sem"," ",ROUNDUP(MONTH(Datos[[#This Row],[Fecha]])/6,0))</f>
        <v>Sem 2</v>
      </c>
      <c r="G949" t="s">
        <v>112</v>
      </c>
      <c r="H949" t="s">
        <v>113</v>
      </c>
      <c r="I949" t="s">
        <v>24</v>
      </c>
      <c r="J949" t="s">
        <v>79</v>
      </c>
      <c r="K949" t="s">
        <v>147</v>
      </c>
      <c r="L949" t="s">
        <v>27</v>
      </c>
      <c r="M949">
        <v>0</v>
      </c>
      <c r="N949" s="1">
        <v>45250</v>
      </c>
      <c r="O949" s="1">
        <v>45263</v>
      </c>
      <c r="P949" t="s">
        <v>28</v>
      </c>
      <c r="Q949">
        <f>+IF(OR(Datos[[#This Row],[Diagnostico]]="Inservible",Datos[[#This Row],[Estatus]]="Preventivo"),0,Datos[[#This Row],[Fecha_Final]]-Datos[[#This Row],[Día_Inicio]])</f>
        <v>0</v>
      </c>
      <c r="R949" s="2">
        <v>0</v>
      </c>
      <c r="S949" s="2">
        <v>0</v>
      </c>
      <c r="T949" t="s">
        <v>29</v>
      </c>
    </row>
    <row r="950" spans="1:20" x14ac:dyDescent="0.25">
      <c r="A950" t="s">
        <v>1135</v>
      </c>
      <c r="B950" s="1">
        <v>45250</v>
      </c>
      <c r="C950" t="s">
        <v>1097</v>
      </c>
      <c r="D950">
        <v>11</v>
      </c>
      <c r="E950" t="str">
        <f>+CONCATENATE("T",ROUNDUP(MONTH(Datos[[#This Row],[Fecha]])/3,0))</f>
        <v>T4</v>
      </c>
      <c r="F950" t="str">
        <f>+CONCATENATE("Sem"," ",ROUNDUP(MONTH(Datos[[#This Row],[Fecha]])/6,0))</f>
        <v>Sem 2</v>
      </c>
      <c r="G950" t="s">
        <v>36</v>
      </c>
      <c r="H950" t="s">
        <v>37</v>
      </c>
      <c r="I950" t="s">
        <v>24</v>
      </c>
      <c r="J950" t="s">
        <v>38</v>
      </c>
      <c r="K950" t="s">
        <v>57</v>
      </c>
      <c r="L950" t="s">
        <v>27</v>
      </c>
      <c r="M950">
        <v>0</v>
      </c>
      <c r="N950" s="1">
        <v>45250</v>
      </c>
      <c r="O950" s="1">
        <v>45257</v>
      </c>
      <c r="P950" t="s">
        <v>58</v>
      </c>
      <c r="Q950">
        <f>+IF(OR(Datos[[#This Row],[Diagnostico]]="Inservible",Datos[[#This Row],[Estatus]]="Preventivo"),0,Datos[[#This Row],[Fecha_Final]]-Datos[[#This Row],[Día_Inicio]])</f>
        <v>7</v>
      </c>
      <c r="R950" s="2">
        <v>423</v>
      </c>
      <c r="S950" s="2">
        <v>826</v>
      </c>
      <c r="T950" t="s">
        <v>64</v>
      </c>
    </row>
    <row r="951" spans="1:20" x14ac:dyDescent="0.25">
      <c r="A951" t="s">
        <v>1136</v>
      </c>
      <c r="B951" s="1">
        <v>45251</v>
      </c>
      <c r="C951" t="s">
        <v>1097</v>
      </c>
      <c r="D951">
        <v>11</v>
      </c>
      <c r="E951" t="str">
        <f>+CONCATENATE("T",ROUNDUP(MONTH(Datos[[#This Row],[Fecha]])/3,0))</f>
        <v>T4</v>
      </c>
      <c r="F951" t="str">
        <f>+CONCATENATE("Sem"," ",ROUNDUP(MONTH(Datos[[#This Row],[Fecha]])/6,0))</f>
        <v>Sem 2</v>
      </c>
      <c r="G951" t="s">
        <v>112</v>
      </c>
      <c r="H951" t="s">
        <v>113</v>
      </c>
      <c r="I951" t="s">
        <v>24</v>
      </c>
      <c r="J951" t="s">
        <v>79</v>
      </c>
      <c r="K951" t="s">
        <v>63</v>
      </c>
      <c r="L951" t="s">
        <v>27</v>
      </c>
      <c r="M951">
        <v>0</v>
      </c>
      <c r="N951" s="1">
        <v>45251</v>
      </c>
      <c r="O951" s="1">
        <v>45266</v>
      </c>
      <c r="P951" t="s">
        <v>28</v>
      </c>
      <c r="Q951">
        <f>+IF(OR(Datos[[#This Row],[Diagnostico]]="Inservible",Datos[[#This Row],[Estatus]]="Preventivo"),0,Datos[[#This Row],[Fecha_Final]]-Datos[[#This Row],[Día_Inicio]])</f>
        <v>0</v>
      </c>
      <c r="R951" s="2">
        <v>0</v>
      </c>
      <c r="S951" s="2">
        <v>0</v>
      </c>
      <c r="T951" t="s">
        <v>29</v>
      </c>
    </row>
    <row r="952" spans="1:20" x14ac:dyDescent="0.25">
      <c r="A952" t="s">
        <v>1137</v>
      </c>
      <c r="B952" s="1">
        <v>45251</v>
      </c>
      <c r="C952" t="s">
        <v>1097</v>
      </c>
      <c r="D952">
        <v>11</v>
      </c>
      <c r="E952" t="str">
        <f>+CONCATENATE("T",ROUNDUP(MONTH(Datos[[#This Row],[Fecha]])/3,0))</f>
        <v>T4</v>
      </c>
      <c r="F952" t="str">
        <f>+CONCATENATE("Sem"," ",ROUNDUP(MONTH(Datos[[#This Row],[Fecha]])/6,0))</f>
        <v>Sem 2</v>
      </c>
      <c r="G952" t="s">
        <v>286</v>
      </c>
      <c r="H952" t="s">
        <v>287</v>
      </c>
      <c r="I952" t="s">
        <v>24</v>
      </c>
      <c r="J952" t="s">
        <v>38</v>
      </c>
      <c r="K952" t="s">
        <v>70</v>
      </c>
      <c r="L952" t="s">
        <v>27</v>
      </c>
      <c r="M952">
        <v>0</v>
      </c>
      <c r="N952" s="1">
        <v>45251</v>
      </c>
      <c r="O952" s="1">
        <v>45263</v>
      </c>
      <c r="P952" t="s">
        <v>58</v>
      </c>
      <c r="Q952">
        <f>+IF(OR(Datos[[#This Row],[Diagnostico]]="Inservible",Datos[[#This Row],[Estatus]]="Preventivo"),0,Datos[[#This Row],[Fecha_Final]]-Datos[[#This Row],[Día_Inicio]])</f>
        <v>12</v>
      </c>
      <c r="R952" s="2">
        <v>811</v>
      </c>
      <c r="S952" s="2">
        <v>580</v>
      </c>
      <c r="T952" t="s">
        <v>91</v>
      </c>
    </row>
    <row r="953" spans="1:20" x14ac:dyDescent="0.25">
      <c r="A953" t="s">
        <v>1138</v>
      </c>
      <c r="B953" s="1">
        <v>45252</v>
      </c>
      <c r="C953" t="s">
        <v>1097</v>
      </c>
      <c r="D953">
        <v>11</v>
      </c>
      <c r="E953" t="str">
        <f>+CONCATENATE("T",ROUNDUP(MONTH(Datos[[#This Row],[Fecha]])/3,0))</f>
        <v>T4</v>
      </c>
      <c r="F953" t="str">
        <f>+CONCATENATE("Sem"," ",ROUNDUP(MONTH(Datos[[#This Row],[Fecha]])/6,0))</f>
        <v>Sem 2</v>
      </c>
      <c r="G953" t="s">
        <v>257</v>
      </c>
      <c r="H953" t="s">
        <v>258</v>
      </c>
      <c r="I953" t="s">
        <v>24</v>
      </c>
      <c r="J953" t="s">
        <v>204</v>
      </c>
      <c r="K953" t="s">
        <v>161</v>
      </c>
      <c r="L953" t="s">
        <v>27</v>
      </c>
      <c r="M953">
        <v>0</v>
      </c>
      <c r="N953" s="1">
        <v>45252</v>
      </c>
      <c r="O953" s="1">
        <v>45253</v>
      </c>
      <c r="P953" t="s">
        <v>58</v>
      </c>
      <c r="Q953">
        <f>+IF(OR(Datos[[#This Row],[Diagnostico]]="Inservible",Datos[[#This Row],[Estatus]]="Preventivo"),0,Datos[[#This Row],[Fecha_Final]]-Datos[[#This Row],[Día_Inicio]])</f>
        <v>1</v>
      </c>
      <c r="R953" s="2">
        <v>535</v>
      </c>
      <c r="S953" s="2">
        <v>546</v>
      </c>
      <c r="T953" t="s">
        <v>64</v>
      </c>
    </row>
    <row r="954" spans="1:20" x14ac:dyDescent="0.25">
      <c r="A954" t="s">
        <v>1139</v>
      </c>
      <c r="B954" s="1">
        <v>45252</v>
      </c>
      <c r="C954" t="s">
        <v>1097</v>
      </c>
      <c r="D954">
        <v>11</v>
      </c>
      <c r="E954" t="str">
        <f>+CONCATENATE("T",ROUNDUP(MONTH(Datos[[#This Row],[Fecha]])/3,0))</f>
        <v>T4</v>
      </c>
      <c r="F954" t="str">
        <f>+CONCATENATE("Sem"," ",ROUNDUP(MONTH(Datos[[#This Row],[Fecha]])/6,0))</f>
        <v>Sem 2</v>
      </c>
      <c r="G954" t="s">
        <v>121</v>
      </c>
      <c r="H954" t="s">
        <v>122</v>
      </c>
      <c r="I954" t="s">
        <v>24</v>
      </c>
      <c r="J954" t="s">
        <v>102</v>
      </c>
      <c r="K954" t="s">
        <v>39</v>
      </c>
      <c r="L954" t="s">
        <v>40</v>
      </c>
      <c r="M954" t="s">
        <v>188</v>
      </c>
      <c r="N954" s="1">
        <v>45252</v>
      </c>
      <c r="O954" s="1">
        <v>45432</v>
      </c>
      <c r="P954" t="s">
        <v>29</v>
      </c>
      <c r="Q954">
        <f>+IF(OR(Datos[[#This Row],[Diagnostico]]="Inservible",Datos[[#This Row],[Estatus]]="Preventivo"),0,Datos[[#This Row],[Fecha_Final]]-Datos[[#This Row],[Día_Inicio]])</f>
        <v>0</v>
      </c>
      <c r="R954" s="2">
        <v>293</v>
      </c>
      <c r="S954" s="2">
        <v>549</v>
      </c>
      <c r="T954" t="s">
        <v>42</v>
      </c>
    </row>
    <row r="955" spans="1:20" x14ac:dyDescent="0.25">
      <c r="A955" t="s">
        <v>1140</v>
      </c>
      <c r="B955" s="1">
        <v>45252</v>
      </c>
      <c r="C955" t="s">
        <v>1097</v>
      </c>
      <c r="D955">
        <v>11</v>
      </c>
      <c r="E955" t="str">
        <f>+CONCATENATE("T",ROUNDUP(MONTH(Datos[[#This Row],[Fecha]])/3,0))</f>
        <v>T4</v>
      </c>
      <c r="F955" t="str">
        <f>+CONCATENATE("Sem"," ",ROUNDUP(MONTH(Datos[[#This Row],[Fecha]])/6,0))</f>
        <v>Sem 2</v>
      </c>
      <c r="G955" t="s">
        <v>164</v>
      </c>
      <c r="H955" t="s">
        <v>165</v>
      </c>
      <c r="I955" t="s">
        <v>24</v>
      </c>
      <c r="J955" t="s">
        <v>166</v>
      </c>
      <c r="K955" t="s">
        <v>85</v>
      </c>
      <c r="L955" t="s">
        <v>27</v>
      </c>
      <c r="M955">
        <v>0</v>
      </c>
      <c r="N955" s="1">
        <v>45252</v>
      </c>
      <c r="O955" s="1">
        <v>45256</v>
      </c>
      <c r="P955" t="s">
        <v>28</v>
      </c>
      <c r="Q955">
        <f>+IF(OR(Datos[[#This Row],[Diagnostico]]="Inservible",Datos[[#This Row],[Estatus]]="Preventivo"),0,Datos[[#This Row],[Fecha_Final]]-Datos[[#This Row],[Día_Inicio]])</f>
        <v>0</v>
      </c>
      <c r="R955" s="2">
        <v>0</v>
      </c>
      <c r="S955" s="2">
        <v>0</v>
      </c>
      <c r="T955" t="s">
        <v>29</v>
      </c>
    </row>
    <row r="956" spans="1:20" x14ac:dyDescent="0.25">
      <c r="A956" t="s">
        <v>1141</v>
      </c>
      <c r="B956" s="1">
        <v>45253</v>
      </c>
      <c r="C956" t="s">
        <v>1097</v>
      </c>
      <c r="D956">
        <v>11</v>
      </c>
      <c r="E956" t="str">
        <f>+CONCATENATE("T",ROUNDUP(MONTH(Datos[[#This Row],[Fecha]])/3,0))</f>
        <v>T4</v>
      </c>
      <c r="F956" t="str">
        <f>+CONCATENATE("Sem"," ",ROUNDUP(MONTH(Datos[[#This Row],[Fecha]])/6,0))</f>
        <v>Sem 2</v>
      </c>
      <c r="G956" t="s">
        <v>72</v>
      </c>
      <c r="H956" t="s">
        <v>73</v>
      </c>
      <c r="I956" t="s">
        <v>24</v>
      </c>
      <c r="J956" t="s">
        <v>74</v>
      </c>
      <c r="K956" t="s">
        <v>90</v>
      </c>
      <c r="L956" t="s">
        <v>27</v>
      </c>
      <c r="M956">
        <v>0</v>
      </c>
      <c r="N956" s="1">
        <v>45253</v>
      </c>
      <c r="O956" s="1">
        <v>45263</v>
      </c>
      <c r="P956" t="s">
        <v>58</v>
      </c>
      <c r="Q956">
        <f>+IF(OR(Datos[[#This Row],[Diagnostico]]="Inservible",Datos[[#This Row],[Estatus]]="Preventivo"),0,Datos[[#This Row],[Fecha_Final]]-Datos[[#This Row],[Día_Inicio]])</f>
        <v>10</v>
      </c>
      <c r="R956" s="2">
        <v>305</v>
      </c>
      <c r="S956" s="2">
        <v>854</v>
      </c>
      <c r="T956" t="s">
        <v>59</v>
      </c>
    </row>
    <row r="957" spans="1:20" x14ac:dyDescent="0.25">
      <c r="A957" t="s">
        <v>1142</v>
      </c>
      <c r="B957" s="1">
        <v>45253</v>
      </c>
      <c r="C957" t="s">
        <v>1097</v>
      </c>
      <c r="D957">
        <v>11</v>
      </c>
      <c r="E957" t="str">
        <f>+CONCATENATE("T",ROUNDUP(MONTH(Datos[[#This Row],[Fecha]])/3,0))</f>
        <v>T4</v>
      </c>
      <c r="F957" t="str">
        <f>+CONCATENATE("Sem"," ",ROUNDUP(MONTH(Datos[[#This Row],[Fecha]])/6,0))</f>
        <v>Sem 2</v>
      </c>
      <c r="G957" t="s">
        <v>286</v>
      </c>
      <c r="H957" t="s">
        <v>287</v>
      </c>
      <c r="I957" t="s">
        <v>24</v>
      </c>
      <c r="J957" t="s">
        <v>38</v>
      </c>
      <c r="K957" t="s">
        <v>172</v>
      </c>
      <c r="L957" t="s">
        <v>27</v>
      </c>
      <c r="M957">
        <v>0</v>
      </c>
      <c r="N957" s="1">
        <v>45253</v>
      </c>
      <c r="O957" s="1">
        <v>45265</v>
      </c>
      <c r="P957" t="s">
        <v>58</v>
      </c>
      <c r="Q957">
        <f>+IF(OR(Datos[[#This Row],[Diagnostico]]="Inservible",Datos[[#This Row],[Estatus]]="Preventivo"),0,Datos[[#This Row],[Fecha_Final]]-Datos[[#This Row],[Día_Inicio]])</f>
        <v>12</v>
      </c>
      <c r="R957" s="2">
        <v>845</v>
      </c>
      <c r="S957" s="2">
        <v>770</v>
      </c>
      <c r="T957" t="s">
        <v>42</v>
      </c>
    </row>
    <row r="958" spans="1:20" x14ac:dyDescent="0.25">
      <c r="A958" t="s">
        <v>1143</v>
      </c>
      <c r="B958" s="1">
        <v>45254</v>
      </c>
      <c r="C958" t="s">
        <v>1097</v>
      </c>
      <c r="D958">
        <v>11</v>
      </c>
      <c r="E958" t="str">
        <f>+CONCATENATE("T",ROUNDUP(MONTH(Datos[[#This Row],[Fecha]])/3,0))</f>
        <v>T4</v>
      </c>
      <c r="F958" t="str">
        <f>+CONCATENATE("Sem"," ",ROUNDUP(MONTH(Datos[[#This Row],[Fecha]])/6,0))</f>
        <v>Sem 2</v>
      </c>
      <c r="G958" t="s">
        <v>141</v>
      </c>
      <c r="H958" t="s">
        <v>142</v>
      </c>
      <c r="I958" t="s">
        <v>24</v>
      </c>
      <c r="J958" t="s">
        <v>143</v>
      </c>
      <c r="K958" t="s">
        <v>97</v>
      </c>
      <c r="L958" t="s">
        <v>27</v>
      </c>
      <c r="M958">
        <v>0</v>
      </c>
      <c r="N958" s="1">
        <v>45254</v>
      </c>
      <c r="O958" s="1">
        <v>45271</v>
      </c>
      <c r="P958" t="s">
        <v>28</v>
      </c>
      <c r="Q958">
        <f>+IF(OR(Datos[[#This Row],[Diagnostico]]="Inservible",Datos[[#This Row],[Estatus]]="Preventivo"),0,Datos[[#This Row],[Fecha_Final]]-Datos[[#This Row],[Día_Inicio]])</f>
        <v>0</v>
      </c>
      <c r="R958" s="2">
        <v>0</v>
      </c>
      <c r="S958" s="2">
        <v>0</v>
      </c>
      <c r="T958" t="s">
        <v>29</v>
      </c>
    </row>
    <row r="959" spans="1:20" x14ac:dyDescent="0.25">
      <c r="A959" t="s">
        <v>1144</v>
      </c>
      <c r="B959" s="1">
        <v>45254</v>
      </c>
      <c r="C959" t="s">
        <v>1097</v>
      </c>
      <c r="D959">
        <v>11</v>
      </c>
      <c r="E959" t="str">
        <f>+CONCATENATE("T",ROUNDUP(MONTH(Datos[[#This Row],[Fecha]])/3,0))</f>
        <v>T4</v>
      </c>
      <c r="F959" t="str">
        <f>+CONCATENATE("Sem"," ",ROUNDUP(MONTH(Datos[[#This Row],[Fecha]])/6,0))</f>
        <v>Sem 2</v>
      </c>
      <c r="G959" t="s">
        <v>66</v>
      </c>
      <c r="H959" t="s">
        <v>67</v>
      </c>
      <c r="I959" t="s">
        <v>68</v>
      </c>
      <c r="J959" t="s">
        <v>69</v>
      </c>
      <c r="K959" t="s">
        <v>178</v>
      </c>
      <c r="L959" t="s">
        <v>27</v>
      </c>
      <c r="M959">
        <v>0</v>
      </c>
      <c r="N959" s="1">
        <v>45254</v>
      </c>
      <c r="O959" s="1">
        <v>45273</v>
      </c>
      <c r="P959" t="s">
        <v>28</v>
      </c>
      <c r="Q959">
        <f>+IF(OR(Datos[[#This Row],[Diagnostico]]="Inservible",Datos[[#This Row],[Estatus]]="Preventivo"),0,Datos[[#This Row],[Fecha_Final]]-Datos[[#This Row],[Día_Inicio]])</f>
        <v>0</v>
      </c>
      <c r="R959" s="2">
        <v>0</v>
      </c>
      <c r="S959" s="2">
        <v>0</v>
      </c>
      <c r="T959" t="s">
        <v>29</v>
      </c>
    </row>
    <row r="960" spans="1:20" x14ac:dyDescent="0.25">
      <c r="A960" t="s">
        <v>1145</v>
      </c>
      <c r="B960" s="1">
        <v>45255</v>
      </c>
      <c r="C960" t="s">
        <v>1097</v>
      </c>
      <c r="D960">
        <v>11</v>
      </c>
      <c r="E960" t="str">
        <f>+CONCATENATE("T",ROUNDUP(MONTH(Datos[[#This Row],[Fecha]])/3,0))</f>
        <v>T4</v>
      </c>
      <c r="F960" t="str">
        <f>+CONCATENATE("Sem"," ",ROUNDUP(MONTH(Datos[[#This Row],[Fecha]])/6,0))</f>
        <v>Sem 2</v>
      </c>
      <c r="G960" t="s">
        <v>206</v>
      </c>
      <c r="H960" t="s">
        <v>207</v>
      </c>
      <c r="I960" t="s">
        <v>24</v>
      </c>
      <c r="J960" t="s">
        <v>160</v>
      </c>
      <c r="K960" t="s">
        <v>108</v>
      </c>
      <c r="L960" t="s">
        <v>27</v>
      </c>
      <c r="M960">
        <v>0</v>
      </c>
      <c r="N960" s="1">
        <v>45255</v>
      </c>
      <c r="O960" s="1">
        <v>45261</v>
      </c>
      <c r="P960" t="s">
        <v>28</v>
      </c>
      <c r="Q960">
        <f>+IF(OR(Datos[[#This Row],[Diagnostico]]="Inservible",Datos[[#This Row],[Estatus]]="Preventivo"),0,Datos[[#This Row],[Fecha_Final]]-Datos[[#This Row],[Día_Inicio]])</f>
        <v>0</v>
      </c>
      <c r="R960" s="2">
        <v>0</v>
      </c>
      <c r="S960" s="2">
        <v>0</v>
      </c>
      <c r="T960" t="s">
        <v>29</v>
      </c>
    </row>
    <row r="961" spans="1:20" x14ac:dyDescent="0.25">
      <c r="A961" t="s">
        <v>1146</v>
      </c>
      <c r="B961" s="1">
        <v>45255</v>
      </c>
      <c r="C961" t="s">
        <v>1097</v>
      </c>
      <c r="D961">
        <v>11</v>
      </c>
      <c r="E961" t="str">
        <f>+CONCATENATE("T",ROUNDUP(MONTH(Datos[[#This Row],[Fecha]])/3,0))</f>
        <v>T4</v>
      </c>
      <c r="F961" t="str">
        <f>+CONCATENATE("Sem"," ",ROUNDUP(MONTH(Datos[[#This Row],[Fecha]])/6,0))</f>
        <v>Sem 2</v>
      </c>
      <c r="G961" t="s">
        <v>72</v>
      </c>
      <c r="H961" t="s">
        <v>73</v>
      </c>
      <c r="I961" t="s">
        <v>24</v>
      </c>
      <c r="J961" t="s">
        <v>74</v>
      </c>
      <c r="K961" t="s">
        <v>110</v>
      </c>
      <c r="L961" t="s">
        <v>27</v>
      </c>
      <c r="M961">
        <v>0</v>
      </c>
      <c r="N961" s="1">
        <v>45255</v>
      </c>
      <c r="O961" s="1">
        <v>45283</v>
      </c>
      <c r="P961" t="s">
        <v>28</v>
      </c>
      <c r="Q961">
        <f>+IF(OR(Datos[[#This Row],[Diagnostico]]="Inservible",Datos[[#This Row],[Estatus]]="Preventivo"),0,Datos[[#This Row],[Fecha_Final]]-Datos[[#This Row],[Día_Inicio]])</f>
        <v>0</v>
      </c>
      <c r="R961" s="2">
        <v>0</v>
      </c>
      <c r="S961" s="2">
        <v>0</v>
      </c>
      <c r="T961" t="s">
        <v>29</v>
      </c>
    </row>
    <row r="962" spans="1:20" x14ac:dyDescent="0.25">
      <c r="A962" t="s">
        <v>1147</v>
      </c>
      <c r="B962" s="1">
        <v>45256</v>
      </c>
      <c r="C962" t="s">
        <v>1097</v>
      </c>
      <c r="D962">
        <v>11</v>
      </c>
      <c r="E962" t="str">
        <f>+CONCATENATE("T",ROUNDUP(MONTH(Datos[[#This Row],[Fecha]])/3,0))</f>
        <v>T4</v>
      </c>
      <c r="F962" t="str">
        <f>+CONCATENATE("Sem"," ",ROUNDUP(MONTH(Datos[[#This Row],[Fecha]])/6,0))</f>
        <v>Sem 2</v>
      </c>
      <c r="G962" t="s">
        <v>225</v>
      </c>
      <c r="H962" t="s">
        <v>226</v>
      </c>
      <c r="I962" t="s">
        <v>227</v>
      </c>
      <c r="J962" t="s">
        <v>89</v>
      </c>
      <c r="K962" t="s">
        <v>114</v>
      </c>
      <c r="L962" t="s">
        <v>27</v>
      </c>
      <c r="M962">
        <v>0</v>
      </c>
      <c r="N962" s="1">
        <v>45256</v>
      </c>
      <c r="O962" s="1">
        <v>45279</v>
      </c>
      <c r="P962" t="s">
        <v>28</v>
      </c>
      <c r="Q962">
        <f>+IF(OR(Datos[[#This Row],[Diagnostico]]="Inservible",Datos[[#This Row],[Estatus]]="Preventivo"),0,Datos[[#This Row],[Fecha_Final]]-Datos[[#This Row],[Día_Inicio]])</f>
        <v>0</v>
      </c>
      <c r="R962" s="2">
        <v>0</v>
      </c>
      <c r="S962" s="2">
        <v>0</v>
      </c>
      <c r="T962" t="s">
        <v>29</v>
      </c>
    </row>
    <row r="963" spans="1:20" x14ac:dyDescent="0.25">
      <c r="A963" t="s">
        <v>1148</v>
      </c>
      <c r="B963" s="1">
        <v>45256</v>
      </c>
      <c r="C963" t="s">
        <v>1097</v>
      </c>
      <c r="D963">
        <v>11</v>
      </c>
      <c r="E963" t="str">
        <f>+CONCATENATE("T",ROUNDUP(MONTH(Datos[[#This Row],[Fecha]])/3,0))</f>
        <v>T4</v>
      </c>
      <c r="F963" t="str">
        <f>+CONCATENATE("Sem"," ",ROUNDUP(MONTH(Datos[[#This Row],[Fecha]])/6,0))</f>
        <v>Sem 2</v>
      </c>
      <c r="G963" t="s">
        <v>180</v>
      </c>
      <c r="H963" t="s">
        <v>181</v>
      </c>
      <c r="I963" t="s">
        <v>24</v>
      </c>
      <c r="J963" t="s">
        <v>127</v>
      </c>
      <c r="K963" t="s">
        <v>119</v>
      </c>
      <c r="L963" t="s">
        <v>27</v>
      </c>
      <c r="M963">
        <v>0</v>
      </c>
      <c r="N963" s="1">
        <v>45256</v>
      </c>
      <c r="O963" s="1">
        <v>45262</v>
      </c>
      <c r="P963" t="s">
        <v>58</v>
      </c>
      <c r="Q963">
        <f>+IF(OR(Datos[[#This Row],[Diagnostico]]="Inservible",Datos[[#This Row],[Estatus]]="Preventivo"),0,Datos[[#This Row],[Fecha_Final]]-Datos[[#This Row],[Día_Inicio]])</f>
        <v>6</v>
      </c>
      <c r="R963" s="2">
        <v>373</v>
      </c>
      <c r="S963" s="2">
        <v>764</v>
      </c>
      <c r="T963" t="s">
        <v>91</v>
      </c>
    </row>
    <row r="964" spans="1:20" x14ac:dyDescent="0.25">
      <c r="A964" t="s">
        <v>1149</v>
      </c>
      <c r="B964" s="1">
        <v>45259</v>
      </c>
      <c r="C964" t="s">
        <v>1097</v>
      </c>
      <c r="D964">
        <v>11</v>
      </c>
      <c r="E964" t="str">
        <f>+CONCATENATE("T",ROUNDUP(MONTH(Datos[[#This Row],[Fecha]])/3,0))</f>
        <v>T4</v>
      </c>
      <c r="F964" t="str">
        <f>+CONCATENATE("Sem"," ",ROUNDUP(MONTH(Datos[[#This Row],[Fecha]])/6,0))</f>
        <v>Sem 2</v>
      </c>
      <c r="G964" t="s">
        <v>141</v>
      </c>
      <c r="H964" t="s">
        <v>142</v>
      </c>
      <c r="I964" t="s">
        <v>24</v>
      </c>
      <c r="J964" t="s">
        <v>143</v>
      </c>
      <c r="K964" t="s">
        <v>123</v>
      </c>
      <c r="L964" t="s">
        <v>27</v>
      </c>
      <c r="M964">
        <v>0</v>
      </c>
      <c r="N964" s="1">
        <v>45259</v>
      </c>
      <c r="O964" s="1">
        <v>45288</v>
      </c>
      <c r="P964" t="s">
        <v>58</v>
      </c>
      <c r="Q964">
        <f>+IF(OR(Datos[[#This Row],[Diagnostico]]="Inservible",Datos[[#This Row],[Estatus]]="Preventivo"),0,Datos[[#This Row],[Fecha_Final]]-Datos[[#This Row],[Día_Inicio]])</f>
        <v>29</v>
      </c>
      <c r="R964" s="2">
        <v>1198</v>
      </c>
      <c r="S964" s="2">
        <v>327</v>
      </c>
      <c r="T964" t="s">
        <v>64</v>
      </c>
    </row>
    <row r="965" spans="1:20" x14ac:dyDescent="0.25">
      <c r="A965" t="s">
        <v>1150</v>
      </c>
      <c r="B965" s="1">
        <v>45259</v>
      </c>
      <c r="C965" t="s">
        <v>1097</v>
      </c>
      <c r="D965">
        <v>11</v>
      </c>
      <c r="E965" t="str">
        <f>+CONCATENATE("T",ROUNDUP(MONTH(Datos[[#This Row],[Fecha]])/3,0))</f>
        <v>T4</v>
      </c>
      <c r="F965" t="str">
        <f>+CONCATENATE("Sem"," ",ROUNDUP(MONTH(Datos[[#This Row],[Fecha]])/6,0))</f>
        <v>Sem 2</v>
      </c>
      <c r="G965" t="s">
        <v>237</v>
      </c>
      <c r="H965" t="s">
        <v>238</v>
      </c>
      <c r="I965" t="s">
        <v>24</v>
      </c>
      <c r="J965" t="s">
        <v>177</v>
      </c>
      <c r="K965" t="s">
        <v>128</v>
      </c>
      <c r="L965" t="s">
        <v>27</v>
      </c>
      <c r="M965">
        <v>0</v>
      </c>
      <c r="N965" s="1">
        <v>45259</v>
      </c>
      <c r="O965" s="1">
        <v>45277</v>
      </c>
      <c r="P965" t="s">
        <v>28</v>
      </c>
      <c r="Q965">
        <f>+IF(OR(Datos[[#This Row],[Diagnostico]]="Inservible",Datos[[#This Row],[Estatus]]="Preventivo"),0,Datos[[#This Row],[Fecha_Final]]-Datos[[#This Row],[Día_Inicio]])</f>
        <v>0</v>
      </c>
      <c r="R965" s="2">
        <v>0</v>
      </c>
      <c r="S965" s="2">
        <v>0</v>
      </c>
      <c r="T965" t="s">
        <v>29</v>
      </c>
    </row>
    <row r="966" spans="1:20" x14ac:dyDescent="0.25">
      <c r="A966" t="s">
        <v>1151</v>
      </c>
      <c r="B966" s="1">
        <v>45259</v>
      </c>
      <c r="C966" t="s">
        <v>1097</v>
      </c>
      <c r="D966">
        <v>11</v>
      </c>
      <c r="E966" t="str">
        <f>+CONCATENATE("T",ROUNDUP(MONTH(Datos[[#This Row],[Fecha]])/3,0))</f>
        <v>T4</v>
      </c>
      <c r="F966" t="str">
        <f>+CONCATENATE("Sem"," ",ROUNDUP(MONTH(Datos[[#This Row],[Fecha]])/6,0))</f>
        <v>Sem 2</v>
      </c>
      <c r="G966" t="s">
        <v>31</v>
      </c>
      <c r="H966" t="s">
        <v>32</v>
      </c>
      <c r="I966" t="s">
        <v>24</v>
      </c>
      <c r="J966" t="s">
        <v>33</v>
      </c>
      <c r="K966" t="s">
        <v>130</v>
      </c>
      <c r="L966" t="s">
        <v>27</v>
      </c>
      <c r="M966">
        <v>0</v>
      </c>
      <c r="N966" s="1">
        <v>45259</v>
      </c>
      <c r="O966" s="1">
        <v>45273</v>
      </c>
      <c r="P966" t="s">
        <v>28</v>
      </c>
      <c r="Q966">
        <f>+IF(OR(Datos[[#This Row],[Diagnostico]]="Inservible",Datos[[#This Row],[Estatus]]="Preventivo"),0,Datos[[#This Row],[Fecha_Final]]-Datos[[#This Row],[Día_Inicio]])</f>
        <v>0</v>
      </c>
      <c r="R966" s="2">
        <v>0</v>
      </c>
      <c r="S966" s="2">
        <v>0</v>
      </c>
      <c r="T966" t="s">
        <v>29</v>
      </c>
    </row>
    <row r="967" spans="1:20" x14ac:dyDescent="0.25">
      <c r="A967" t="s">
        <v>1152</v>
      </c>
      <c r="B967" s="1">
        <v>45260</v>
      </c>
      <c r="C967" t="s">
        <v>1097</v>
      </c>
      <c r="D967">
        <v>11</v>
      </c>
      <c r="E967" t="str">
        <f>+CONCATENATE("T",ROUNDUP(MONTH(Datos[[#This Row],[Fecha]])/3,0))</f>
        <v>T4</v>
      </c>
      <c r="F967" t="str">
        <f>+CONCATENATE("Sem"," ",ROUNDUP(MONTH(Datos[[#This Row],[Fecha]])/6,0))</f>
        <v>Sem 2</v>
      </c>
      <c r="G967" t="s">
        <v>183</v>
      </c>
      <c r="H967" t="s">
        <v>184</v>
      </c>
      <c r="I967" t="s">
        <v>24</v>
      </c>
      <c r="J967" t="s">
        <v>139</v>
      </c>
      <c r="K967" t="s">
        <v>135</v>
      </c>
      <c r="L967" t="s">
        <v>27</v>
      </c>
      <c r="M967">
        <v>0</v>
      </c>
      <c r="N967" s="1">
        <v>45260</v>
      </c>
      <c r="O967" s="1">
        <v>45270</v>
      </c>
      <c r="P967" t="s">
        <v>58</v>
      </c>
      <c r="Q967">
        <f>+IF(OR(Datos[[#This Row],[Diagnostico]]="Inservible",Datos[[#This Row],[Estatus]]="Preventivo"),0,Datos[[#This Row],[Fecha_Final]]-Datos[[#This Row],[Día_Inicio]])</f>
        <v>10</v>
      </c>
      <c r="R967" s="2">
        <v>764</v>
      </c>
      <c r="S967" s="2">
        <v>941</v>
      </c>
      <c r="T967" t="s">
        <v>91</v>
      </c>
    </row>
    <row r="968" spans="1:20" x14ac:dyDescent="0.25">
      <c r="A968" t="s">
        <v>1153</v>
      </c>
      <c r="B968" s="1">
        <v>45260</v>
      </c>
      <c r="C968" t="s">
        <v>1097</v>
      </c>
      <c r="D968">
        <v>11</v>
      </c>
      <c r="E968" t="str">
        <f>+CONCATENATE("T",ROUNDUP(MONTH(Datos[[#This Row],[Fecha]])/3,0))</f>
        <v>T4</v>
      </c>
      <c r="F968" t="str">
        <f>+CONCATENATE("Sem"," ",ROUNDUP(MONTH(Datos[[#This Row],[Fecha]])/6,0))</f>
        <v>Sem 2</v>
      </c>
      <c r="G968" t="s">
        <v>190</v>
      </c>
      <c r="H968" t="s">
        <v>191</v>
      </c>
      <c r="I968" t="s">
        <v>24</v>
      </c>
      <c r="J968" t="s">
        <v>192</v>
      </c>
      <c r="K968" t="s">
        <v>26</v>
      </c>
      <c r="L968" t="s">
        <v>27</v>
      </c>
      <c r="M968">
        <v>0</v>
      </c>
      <c r="N968" s="1">
        <v>45260</v>
      </c>
      <c r="O968" s="1">
        <v>45276</v>
      </c>
      <c r="P968" t="s">
        <v>28</v>
      </c>
      <c r="Q968">
        <f>+IF(OR(Datos[[#This Row],[Diagnostico]]="Inservible",Datos[[#This Row],[Estatus]]="Preventivo"),0,Datos[[#This Row],[Fecha_Final]]-Datos[[#This Row],[Día_Inicio]])</f>
        <v>0</v>
      </c>
      <c r="R968" s="2">
        <v>0</v>
      </c>
      <c r="S968" s="2">
        <v>0</v>
      </c>
      <c r="T968" t="s">
        <v>29</v>
      </c>
    </row>
    <row r="969" spans="1:20" x14ac:dyDescent="0.25">
      <c r="A969" t="s">
        <v>1154</v>
      </c>
      <c r="B969" s="1">
        <v>45261</v>
      </c>
      <c r="C969" t="s">
        <v>1155</v>
      </c>
      <c r="D969">
        <v>12</v>
      </c>
      <c r="E969" t="str">
        <f>+CONCATENATE("T",ROUNDUP(MONTH(Datos[[#This Row],[Fecha]])/3,0))</f>
        <v>T4</v>
      </c>
      <c r="F969" t="str">
        <f>+CONCATENATE("Sem"," ",ROUNDUP(MONTH(Datos[[#This Row],[Fecha]])/6,0))</f>
        <v>Sem 2</v>
      </c>
      <c r="G969" t="s">
        <v>158</v>
      </c>
      <c r="H969" t="s">
        <v>159</v>
      </c>
      <c r="I969" t="s">
        <v>101</v>
      </c>
      <c r="J969" t="s">
        <v>160</v>
      </c>
      <c r="K969" t="s">
        <v>34</v>
      </c>
      <c r="L969" t="s">
        <v>27</v>
      </c>
      <c r="M969">
        <v>0</v>
      </c>
      <c r="N969" s="1">
        <v>45261</v>
      </c>
      <c r="O969" s="1">
        <v>45262</v>
      </c>
      <c r="P969" t="s">
        <v>28</v>
      </c>
      <c r="Q969">
        <f>+IF(OR(Datos[[#This Row],[Diagnostico]]="Inservible",Datos[[#This Row],[Estatus]]="Preventivo"),0,Datos[[#This Row],[Fecha_Final]]-Datos[[#This Row],[Día_Inicio]])</f>
        <v>0</v>
      </c>
      <c r="R969" s="2">
        <v>0</v>
      </c>
      <c r="S969" s="2">
        <v>0</v>
      </c>
      <c r="T969" t="s">
        <v>29</v>
      </c>
    </row>
    <row r="970" spans="1:20" x14ac:dyDescent="0.25">
      <c r="A970" t="s">
        <v>1156</v>
      </c>
      <c r="B970" s="1">
        <v>45261</v>
      </c>
      <c r="C970" t="s">
        <v>1155</v>
      </c>
      <c r="D970">
        <v>12</v>
      </c>
      <c r="E970" t="str">
        <f>+CONCATENATE("T",ROUNDUP(MONTH(Datos[[#This Row],[Fecha]])/3,0))</f>
        <v>T4</v>
      </c>
      <c r="F970" t="str">
        <f>+CONCATENATE("Sem"," ",ROUNDUP(MONTH(Datos[[#This Row],[Fecha]])/6,0))</f>
        <v>Sem 2</v>
      </c>
      <c r="G970" t="s">
        <v>49</v>
      </c>
      <c r="H970" t="s">
        <v>23</v>
      </c>
      <c r="I970" t="s">
        <v>24</v>
      </c>
      <c r="J970" t="s">
        <v>50</v>
      </c>
      <c r="K970" t="s">
        <v>39</v>
      </c>
      <c r="L970" t="s">
        <v>40</v>
      </c>
      <c r="M970" t="s">
        <v>103</v>
      </c>
      <c r="N970" s="1">
        <v>45261</v>
      </c>
      <c r="O970" s="1">
        <v>45276</v>
      </c>
      <c r="P970" t="s">
        <v>29</v>
      </c>
      <c r="Q970">
        <f>+IF(OR(Datos[[#This Row],[Diagnostico]]="Inservible",Datos[[#This Row],[Estatus]]="Preventivo"),0,Datos[[#This Row],[Fecha_Final]]-Datos[[#This Row],[Día_Inicio]])</f>
        <v>0</v>
      </c>
      <c r="R970" s="2">
        <v>233</v>
      </c>
      <c r="S970" s="2">
        <v>949</v>
      </c>
      <c r="T970" t="s">
        <v>42</v>
      </c>
    </row>
    <row r="971" spans="1:20" x14ac:dyDescent="0.25">
      <c r="A971" t="s">
        <v>1157</v>
      </c>
      <c r="B971" s="1">
        <v>45261</v>
      </c>
      <c r="C971" t="s">
        <v>1155</v>
      </c>
      <c r="D971">
        <v>12</v>
      </c>
      <c r="E971" t="str">
        <f>+CONCATENATE("T",ROUNDUP(MONTH(Datos[[#This Row],[Fecha]])/3,0))</f>
        <v>T4</v>
      </c>
      <c r="F971" t="str">
        <f>+CONCATENATE("Sem"," ",ROUNDUP(MONTH(Datos[[#This Row],[Fecha]])/6,0))</f>
        <v>Sem 2</v>
      </c>
      <c r="G971" t="s">
        <v>137</v>
      </c>
      <c r="H971" t="s">
        <v>138</v>
      </c>
      <c r="I971" t="s">
        <v>68</v>
      </c>
      <c r="J971" t="s">
        <v>139</v>
      </c>
      <c r="K971" t="s">
        <v>47</v>
      </c>
      <c r="L971" t="s">
        <v>27</v>
      </c>
      <c r="M971">
        <v>0</v>
      </c>
      <c r="N971" s="1">
        <v>45261</v>
      </c>
      <c r="O971" s="1">
        <v>45263</v>
      </c>
      <c r="P971" t="s">
        <v>28</v>
      </c>
      <c r="Q971">
        <f>+IF(OR(Datos[[#This Row],[Diagnostico]]="Inservible",Datos[[#This Row],[Estatus]]="Preventivo"),0,Datos[[#This Row],[Fecha_Final]]-Datos[[#This Row],[Día_Inicio]])</f>
        <v>0</v>
      </c>
      <c r="R971" s="2">
        <v>0</v>
      </c>
      <c r="S971" s="2">
        <v>0</v>
      </c>
      <c r="T971" t="s">
        <v>29</v>
      </c>
    </row>
    <row r="972" spans="1:20" x14ac:dyDescent="0.25">
      <c r="A972" t="s">
        <v>1158</v>
      </c>
      <c r="B972" s="1">
        <v>45262</v>
      </c>
      <c r="C972" t="s">
        <v>1155</v>
      </c>
      <c r="D972">
        <v>12</v>
      </c>
      <c r="E972" t="str">
        <f>+CONCATENATE("T",ROUNDUP(MONTH(Datos[[#This Row],[Fecha]])/3,0))</f>
        <v>T4</v>
      </c>
      <c r="F972" t="str">
        <f>+CONCATENATE("Sem"," ",ROUNDUP(MONTH(Datos[[#This Row],[Fecha]])/6,0))</f>
        <v>Sem 2</v>
      </c>
      <c r="G972" t="s">
        <v>154</v>
      </c>
      <c r="H972" t="s">
        <v>155</v>
      </c>
      <c r="I972" t="s">
        <v>68</v>
      </c>
      <c r="J972" t="s">
        <v>156</v>
      </c>
      <c r="K972" t="s">
        <v>147</v>
      </c>
      <c r="L972" t="s">
        <v>27</v>
      </c>
      <c r="M972">
        <v>0</v>
      </c>
      <c r="N972" s="1">
        <v>45262</v>
      </c>
      <c r="O972" s="1">
        <v>45275</v>
      </c>
      <c r="P972" t="s">
        <v>58</v>
      </c>
      <c r="Q972">
        <f>+IF(OR(Datos[[#This Row],[Diagnostico]]="Inservible",Datos[[#This Row],[Estatus]]="Preventivo"),0,Datos[[#This Row],[Fecha_Final]]-Datos[[#This Row],[Día_Inicio]])</f>
        <v>13</v>
      </c>
      <c r="R972" s="2">
        <v>878</v>
      </c>
      <c r="S972" s="2">
        <v>618</v>
      </c>
      <c r="T972" t="s">
        <v>64</v>
      </c>
    </row>
    <row r="973" spans="1:20" x14ac:dyDescent="0.25">
      <c r="A973" t="s">
        <v>1159</v>
      </c>
      <c r="B973" s="1">
        <v>45262</v>
      </c>
      <c r="C973" t="s">
        <v>1155</v>
      </c>
      <c r="D973">
        <v>12</v>
      </c>
      <c r="E973" t="str">
        <f>+CONCATENATE("T",ROUNDUP(MONTH(Datos[[#This Row],[Fecha]])/3,0))</f>
        <v>T4</v>
      </c>
      <c r="F973" t="str">
        <f>+CONCATENATE("Sem"," ",ROUNDUP(MONTH(Datos[[#This Row],[Fecha]])/6,0))</f>
        <v>Sem 2</v>
      </c>
      <c r="G973" t="s">
        <v>215</v>
      </c>
      <c r="H973" t="s">
        <v>216</v>
      </c>
      <c r="I973" t="s">
        <v>24</v>
      </c>
      <c r="J973" t="s">
        <v>50</v>
      </c>
      <c r="K973" t="s">
        <v>57</v>
      </c>
      <c r="L973" t="s">
        <v>27</v>
      </c>
      <c r="M973">
        <v>0</v>
      </c>
      <c r="N973" s="1">
        <v>45262</v>
      </c>
      <c r="O973" s="1">
        <v>45281</v>
      </c>
      <c r="P973" t="s">
        <v>58</v>
      </c>
      <c r="Q973">
        <f>+IF(OR(Datos[[#This Row],[Diagnostico]]="Inservible",Datos[[#This Row],[Estatus]]="Preventivo"),0,Datos[[#This Row],[Fecha_Final]]-Datos[[#This Row],[Día_Inicio]])</f>
        <v>19</v>
      </c>
      <c r="R973" s="2">
        <v>896</v>
      </c>
      <c r="S973" s="2">
        <v>165</v>
      </c>
      <c r="T973" t="s">
        <v>42</v>
      </c>
    </row>
    <row r="974" spans="1:20" x14ac:dyDescent="0.25">
      <c r="A974" t="s">
        <v>1160</v>
      </c>
      <c r="B974" s="1">
        <v>45262</v>
      </c>
      <c r="C974" t="s">
        <v>1155</v>
      </c>
      <c r="D974">
        <v>12</v>
      </c>
      <c r="E974" t="str">
        <f>+CONCATENATE("T",ROUNDUP(MONTH(Datos[[#This Row],[Fecha]])/3,0))</f>
        <v>T4</v>
      </c>
      <c r="F974" t="str">
        <f>+CONCATENATE("Sem"," ",ROUNDUP(MONTH(Datos[[#This Row],[Fecha]])/6,0))</f>
        <v>Sem 2</v>
      </c>
      <c r="G974" t="s">
        <v>180</v>
      </c>
      <c r="H974" t="s">
        <v>181</v>
      </c>
      <c r="I974" t="s">
        <v>24</v>
      </c>
      <c r="J974" t="s">
        <v>127</v>
      </c>
      <c r="K974" t="s">
        <v>39</v>
      </c>
      <c r="L974" t="s">
        <v>40</v>
      </c>
      <c r="M974" t="s">
        <v>103</v>
      </c>
      <c r="N974" s="1">
        <v>45262</v>
      </c>
      <c r="O974" s="1">
        <v>45277</v>
      </c>
      <c r="P974" t="s">
        <v>29</v>
      </c>
      <c r="Q974">
        <f>+IF(OR(Datos[[#This Row],[Diagnostico]]="Inservible",Datos[[#This Row],[Estatus]]="Preventivo"),0,Datos[[#This Row],[Fecha_Final]]-Datos[[#This Row],[Día_Inicio]])</f>
        <v>0</v>
      </c>
      <c r="R974" s="2">
        <v>1087</v>
      </c>
      <c r="S974" s="2">
        <v>714</v>
      </c>
      <c r="T974" t="s">
        <v>42</v>
      </c>
    </row>
    <row r="975" spans="1:20" x14ac:dyDescent="0.25">
      <c r="A975" t="s">
        <v>1161</v>
      </c>
      <c r="B975" s="1">
        <v>45262</v>
      </c>
      <c r="C975" t="s">
        <v>1155</v>
      </c>
      <c r="D975">
        <v>12</v>
      </c>
      <c r="E975" t="str">
        <f>+CONCATENATE("T",ROUNDUP(MONTH(Datos[[#This Row],[Fecha]])/3,0))</f>
        <v>T4</v>
      </c>
      <c r="F975" t="str">
        <f>+CONCATENATE("Sem"," ",ROUNDUP(MONTH(Datos[[#This Row],[Fecha]])/6,0))</f>
        <v>Sem 2</v>
      </c>
      <c r="G975" t="s">
        <v>112</v>
      </c>
      <c r="H975" t="s">
        <v>113</v>
      </c>
      <c r="I975" t="s">
        <v>24</v>
      </c>
      <c r="J975" t="s">
        <v>79</v>
      </c>
      <c r="K975" t="s">
        <v>70</v>
      </c>
      <c r="L975" t="s">
        <v>27</v>
      </c>
      <c r="M975">
        <v>0</v>
      </c>
      <c r="N975" s="1">
        <v>45262</v>
      </c>
      <c r="O975" s="1">
        <v>45286</v>
      </c>
      <c r="P975" t="s">
        <v>28</v>
      </c>
      <c r="Q975">
        <f>+IF(OR(Datos[[#This Row],[Diagnostico]]="Inservible",Datos[[#This Row],[Estatus]]="Preventivo"),0,Datos[[#This Row],[Fecha_Final]]-Datos[[#This Row],[Día_Inicio]])</f>
        <v>0</v>
      </c>
      <c r="R975" s="2">
        <v>0</v>
      </c>
      <c r="S975" s="2">
        <v>0</v>
      </c>
      <c r="T975" t="s">
        <v>29</v>
      </c>
    </row>
    <row r="976" spans="1:20" x14ac:dyDescent="0.25">
      <c r="A976" t="s">
        <v>1162</v>
      </c>
      <c r="B976" s="1">
        <v>45262</v>
      </c>
      <c r="C976" t="s">
        <v>1155</v>
      </c>
      <c r="D976">
        <v>12</v>
      </c>
      <c r="E976" t="str">
        <f>+CONCATENATE("T",ROUNDUP(MONTH(Datos[[#This Row],[Fecha]])/3,0))</f>
        <v>T4</v>
      </c>
      <c r="F976" t="str">
        <f>+CONCATENATE("Sem"," ",ROUNDUP(MONTH(Datos[[#This Row],[Fecha]])/6,0))</f>
        <v>Sem 2</v>
      </c>
      <c r="G976" t="s">
        <v>82</v>
      </c>
      <c r="H976" t="s">
        <v>83</v>
      </c>
      <c r="I976" t="s">
        <v>24</v>
      </c>
      <c r="J976" t="s">
        <v>84</v>
      </c>
      <c r="K976" t="s">
        <v>161</v>
      </c>
      <c r="L976" t="s">
        <v>27</v>
      </c>
      <c r="M976">
        <v>0</v>
      </c>
      <c r="N976" s="1">
        <v>45262</v>
      </c>
      <c r="O976" s="1">
        <v>45264</v>
      </c>
      <c r="P976" t="s">
        <v>28</v>
      </c>
      <c r="Q976">
        <f>+IF(OR(Datos[[#This Row],[Diagnostico]]="Inservible",Datos[[#This Row],[Estatus]]="Preventivo"),0,Datos[[#This Row],[Fecha_Final]]-Datos[[#This Row],[Día_Inicio]])</f>
        <v>0</v>
      </c>
      <c r="R976" s="2">
        <v>0</v>
      </c>
      <c r="S976" s="2">
        <v>0</v>
      </c>
      <c r="T976" t="s">
        <v>29</v>
      </c>
    </row>
    <row r="977" spans="1:20" x14ac:dyDescent="0.25">
      <c r="A977" t="s">
        <v>1163</v>
      </c>
      <c r="B977" s="1">
        <v>45263</v>
      </c>
      <c r="C977" t="s">
        <v>1155</v>
      </c>
      <c r="D977">
        <v>12</v>
      </c>
      <c r="E977" t="str">
        <f>+CONCATENATE("T",ROUNDUP(MONTH(Datos[[#This Row],[Fecha]])/3,0))</f>
        <v>T4</v>
      </c>
      <c r="F977" t="str">
        <f>+CONCATENATE("Sem"," ",ROUNDUP(MONTH(Datos[[#This Row],[Fecha]])/6,0))</f>
        <v>Sem 2</v>
      </c>
      <c r="G977" t="s">
        <v>61</v>
      </c>
      <c r="H977" t="s">
        <v>62</v>
      </c>
      <c r="I977" t="s">
        <v>24</v>
      </c>
      <c r="J977" t="s">
        <v>46</v>
      </c>
      <c r="K977" t="s">
        <v>80</v>
      </c>
      <c r="L977" t="s">
        <v>27</v>
      </c>
      <c r="M977">
        <v>0</v>
      </c>
      <c r="N977" s="1">
        <v>45263</v>
      </c>
      <c r="O977" s="1">
        <v>45291</v>
      </c>
      <c r="P977" t="s">
        <v>28</v>
      </c>
      <c r="Q977">
        <f>+IF(OR(Datos[[#This Row],[Diagnostico]]="Inservible",Datos[[#This Row],[Estatus]]="Preventivo"),0,Datos[[#This Row],[Fecha_Final]]-Datos[[#This Row],[Día_Inicio]])</f>
        <v>0</v>
      </c>
      <c r="R977" s="2">
        <v>0</v>
      </c>
      <c r="S977" s="2">
        <v>0</v>
      </c>
      <c r="T977" t="s">
        <v>29</v>
      </c>
    </row>
    <row r="978" spans="1:20" x14ac:dyDescent="0.25">
      <c r="A978" t="s">
        <v>1164</v>
      </c>
      <c r="B978" s="1">
        <v>45264</v>
      </c>
      <c r="C978" t="s">
        <v>1155</v>
      </c>
      <c r="D978">
        <v>12</v>
      </c>
      <c r="E978" t="str">
        <f>+CONCATENATE("T",ROUNDUP(MONTH(Datos[[#This Row],[Fecha]])/3,0))</f>
        <v>T4</v>
      </c>
      <c r="F978" t="str">
        <f>+CONCATENATE("Sem"," ",ROUNDUP(MONTH(Datos[[#This Row],[Fecha]])/6,0))</f>
        <v>Sem 2</v>
      </c>
      <c r="G978" t="s">
        <v>260</v>
      </c>
      <c r="H978" t="s">
        <v>261</v>
      </c>
      <c r="I978" t="s">
        <v>24</v>
      </c>
      <c r="J978" t="s">
        <v>33</v>
      </c>
      <c r="K978" t="s">
        <v>39</v>
      </c>
      <c r="L978" t="s">
        <v>40</v>
      </c>
      <c r="M978" t="s">
        <v>103</v>
      </c>
      <c r="N978" s="1">
        <v>45264</v>
      </c>
      <c r="O978" s="1">
        <v>45279</v>
      </c>
      <c r="P978" t="s">
        <v>29</v>
      </c>
      <c r="Q978">
        <f>+IF(OR(Datos[[#This Row],[Diagnostico]]="Inservible",Datos[[#This Row],[Estatus]]="Preventivo"),0,Datos[[#This Row],[Fecha_Final]]-Datos[[#This Row],[Día_Inicio]])</f>
        <v>0</v>
      </c>
      <c r="R978" s="2">
        <v>1119</v>
      </c>
      <c r="S978" s="2">
        <v>137</v>
      </c>
      <c r="T978" t="s">
        <v>42</v>
      </c>
    </row>
    <row r="979" spans="1:20" x14ac:dyDescent="0.25">
      <c r="A979" t="s">
        <v>1165</v>
      </c>
      <c r="B979" s="1">
        <v>45265</v>
      </c>
      <c r="C979" t="s">
        <v>1155</v>
      </c>
      <c r="D979">
        <v>12</v>
      </c>
      <c r="E979" t="str">
        <f>+CONCATENATE("T",ROUNDUP(MONTH(Datos[[#This Row],[Fecha]])/3,0))</f>
        <v>T4</v>
      </c>
      <c r="F979" t="str">
        <f>+CONCATENATE("Sem"," ",ROUNDUP(MONTH(Datos[[#This Row],[Fecha]])/6,0))</f>
        <v>Sem 2</v>
      </c>
      <c r="G979" t="s">
        <v>31</v>
      </c>
      <c r="H979" t="s">
        <v>32</v>
      </c>
      <c r="I979" t="s">
        <v>24</v>
      </c>
      <c r="J979" t="s">
        <v>33</v>
      </c>
      <c r="K979" t="s">
        <v>90</v>
      </c>
      <c r="L979" t="s">
        <v>27</v>
      </c>
      <c r="M979">
        <v>0</v>
      </c>
      <c r="N979" s="1">
        <v>45265</v>
      </c>
      <c r="O979" s="1">
        <v>45268</v>
      </c>
      <c r="P979" t="s">
        <v>28</v>
      </c>
      <c r="Q979">
        <f>+IF(OR(Datos[[#This Row],[Diagnostico]]="Inservible",Datos[[#This Row],[Estatus]]="Preventivo"),0,Datos[[#This Row],[Fecha_Final]]-Datos[[#This Row],[Día_Inicio]])</f>
        <v>0</v>
      </c>
      <c r="R979" s="2">
        <v>0</v>
      </c>
      <c r="S979" s="2">
        <v>0</v>
      </c>
      <c r="T979" t="s">
        <v>29</v>
      </c>
    </row>
    <row r="980" spans="1:20" x14ac:dyDescent="0.25">
      <c r="A980" t="s">
        <v>1166</v>
      </c>
      <c r="B980" s="1">
        <v>45265</v>
      </c>
      <c r="C980" t="s">
        <v>1155</v>
      </c>
      <c r="D980">
        <v>12</v>
      </c>
      <c r="E980" t="str">
        <f>+CONCATENATE("T",ROUNDUP(MONTH(Datos[[#This Row],[Fecha]])/3,0))</f>
        <v>T4</v>
      </c>
      <c r="F980" t="str">
        <f>+CONCATENATE("Sem"," ",ROUNDUP(MONTH(Datos[[#This Row],[Fecha]])/6,0))</f>
        <v>Sem 2</v>
      </c>
      <c r="G980" t="s">
        <v>141</v>
      </c>
      <c r="H980" t="s">
        <v>142</v>
      </c>
      <c r="I980" t="s">
        <v>24</v>
      </c>
      <c r="J980" t="s">
        <v>143</v>
      </c>
      <c r="K980" t="s">
        <v>172</v>
      </c>
      <c r="L980" t="s">
        <v>27</v>
      </c>
      <c r="M980">
        <v>0</v>
      </c>
      <c r="N980" s="1">
        <v>45265</v>
      </c>
      <c r="O980" s="1">
        <v>45276</v>
      </c>
      <c r="P980" t="s">
        <v>28</v>
      </c>
      <c r="Q980">
        <f>+IF(OR(Datos[[#This Row],[Diagnostico]]="Inservible",Datos[[#This Row],[Estatus]]="Preventivo"),0,Datos[[#This Row],[Fecha_Final]]-Datos[[#This Row],[Día_Inicio]])</f>
        <v>0</v>
      </c>
      <c r="R980" s="2">
        <v>0</v>
      </c>
      <c r="S980" s="2">
        <v>0</v>
      </c>
      <c r="T980" t="s">
        <v>29</v>
      </c>
    </row>
    <row r="981" spans="1:20" x14ac:dyDescent="0.25">
      <c r="A981" t="s">
        <v>1167</v>
      </c>
      <c r="B981" s="1">
        <v>45265</v>
      </c>
      <c r="C981" t="s">
        <v>1155</v>
      </c>
      <c r="D981">
        <v>12</v>
      </c>
      <c r="E981" t="str">
        <f>+CONCATENATE("T",ROUNDUP(MONTH(Datos[[#This Row],[Fecha]])/3,0))</f>
        <v>T4</v>
      </c>
      <c r="F981" t="str">
        <f>+CONCATENATE("Sem"," ",ROUNDUP(MONTH(Datos[[#This Row],[Fecha]])/6,0))</f>
        <v>Sem 2</v>
      </c>
      <c r="G981" t="s">
        <v>61</v>
      </c>
      <c r="H981" t="s">
        <v>62</v>
      </c>
      <c r="I981" t="s">
        <v>24</v>
      </c>
      <c r="J981" t="s">
        <v>46</v>
      </c>
      <c r="K981" t="s">
        <v>97</v>
      </c>
      <c r="L981" t="s">
        <v>27</v>
      </c>
      <c r="M981">
        <v>0</v>
      </c>
      <c r="N981" s="1">
        <v>45265</v>
      </c>
      <c r="O981" s="1">
        <v>45293</v>
      </c>
      <c r="P981" t="s">
        <v>28</v>
      </c>
      <c r="Q981">
        <f>+IF(OR(Datos[[#This Row],[Diagnostico]]="Inservible",Datos[[#This Row],[Estatus]]="Preventivo"),0,Datos[[#This Row],[Fecha_Final]]-Datos[[#This Row],[Día_Inicio]])</f>
        <v>0</v>
      </c>
      <c r="R981" s="2">
        <v>0</v>
      </c>
      <c r="S981" s="2">
        <v>0</v>
      </c>
      <c r="T981" t="s">
        <v>29</v>
      </c>
    </row>
    <row r="982" spans="1:20" x14ac:dyDescent="0.25">
      <c r="A982" t="s">
        <v>1168</v>
      </c>
      <c r="B982" s="1">
        <v>45265</v>
      </c>
      <c r="C982" t="s">
        <v>1155</v>
      </c>
      <c r="D982">
        <v>12</v>
      </c>
      <c r="E982" t="str">
        <f>+CONCATENATE("T",ROUNDUP(MONTH(Datos[[#This Row],[Fecha]])/3,0))</f>
        <v>T4</v>
      </c>
      <c r="F982" t="str">
        <f>+CONCATENATE("Sem"," ",ROUNDUP(MONTH(Datos[[#This Row],[Fecha]])/6,0))</f>
        <v>Sem 2</v>
      </c>
      <c r="G982" t="s">
        <v>183</v>
      </c>
      <c r="H982" t="s">
        <v>184</v>
      </c>
      <c r="I982" t="s">
        <v>24</v>
      </c>
      <c r="J982" t="s">
        <v>139</v>
      </c>
      <c r="K982" t="s">
        <v>178</v>
      </c>
      <c r="L982" t="s">
        <v>27</v>
      </c>
      <c r="M982">
        <v>0</v>
      </c>
      <c r="N982" s="1">
        <v>45265</v>
      </c>
      <c r="O982" s="1">
        <v>45268</v>
      </c>
      <c r="P982" t="s">
        <v>58</v>
      </c>
      <c r="Q982">
        <f>+IF(OR(Datos[[#This Row],[Diagnostico]]="Inservible",Datos[[#This Row],[Estatus]]="Preventivo"),0,Datos[[#This Row],[Fecha_Final]]-Datos[[#This Row],[Día_Inicio]])</f>
        <v>3</v>
      </c>
      <c r="R982" s="2">
        <v>277</v>
      </c>
      <c r="S982" s="2">
        <v>943</v>
      </c>
      <c r="T982" t="s">
        <v>59</v>
      </c>
    </row>
    <row r="983" spans="1:20" x14ac:dyDescent="0.25">
      <c r="A983" t="s">
        <v>1169</v>
      </c>
      <c r="B983" s="1">
        <v>45265</v>
      </c>
      <c r="C983" t="s">
        <v>1155</v>
      </c>
      <c r="D983">
        <v>12</v>
      </c>
      <c r="E983" t="str">
        <f>+CONCATENATE("T",ROUNDUP(MONTH(Datos[[#This Row],[Fecha]])/3,0))</f>
        <v>T4</v>
      </c>
      <c r="F983" t="str">
        <f>+CONCATENATE("Sem"," ",ROUNDUP(MONTH(Datos[[#This Row],[Fecha]])/6,0))</f>
        <v>Sem 2</v>
      </c>
      <c r="G983" t="s">
        <v>215</v>
      </c>
      <c r="H983" t="s">
        <v>216</v>
      </c>
      <c r="I983" t="s">
        <v>24</v>
      </c>
      <c r="J983" t="s">
        <v>50</v>
      </c>
      <c r="K983" t="s">
        <v>108</v>
      </c>
      <c r="L983" t="s">
        <v>27</v>
      </c>
      <c r="M983">
        <v>0</v>
      </c>
      <c r="N983" s="1">
        <v>45265</v>
      </c>
      <c r="O983" s="1">
        <v>45271</v>
      </c>
      <c r="P983" t="s">
        <v>58</v>
      </c>
      <c r="Q983">
        <f>+IF(OR(Datos[[#This Row],[Diagnostico]]="Inservible",Datos[[#This Row],[Estatus]]="Preventivo"),0,Datos[[#This Row],[Fecha_Final]]-Datos[[#This Row],[Día_Inicio]])</f>
        <v>6</v>
      </c>
      <c r="R983" s="2">
        <v>705</v>
      </c>
      <c r="S983" s="2">
        <v>978</v>
      </c>
      <c r="T983" t="s">
        <v>91</v>
      </c>
    </row>
    <row r="984" spans="1:20" x14ac:dyDescent="0.25">
      <c r="A984" t="s">
        <v>1170</v>
      </c>
      <c r="B984" s="1">
        <v>45266</v>
      </c>
      <c r="C984" t="s">
        <v>1155</v>
      </c>
      <c r="D984">
        <v>12</v>
      </c>
      <c r="E984" t="str">
        <f>+CONCATENATE("T",ROUNDUP(MONTH(Datos[[#This Row],[Fecha]])/3,0))</f>
        <v>T4</v>
      </c>
      <c r="F984" t="str">
        <f>+CONCATENATE("Sem"," ",ROUNDUP(MONTH(Datos[[#This Row],[Fecha]])/6,0))</f>
        <v>Sem 2</v>
      </c>
      <c r="G984" t="s">
        <v>61</v>
      </c>
      <c r="H984" t="s">
        <v>62</v>
      </c>
      <c r="I984" t="s">
        <v>24</v>
      </c>
      <c r="J984" t="s">
        <v>46</v>
      </c>
      <c r="K984" t="s">
        <v>39</v>
      </c>
      <c r="L984" t="s">
        <v>40</v>
      </c>
      <c r="M984" t="s">
        <v>51</v>
      </c>
      <c r="N984" s="1">
        <v>45266</v>
      </c>
      <c r="O984" s="1">
        <v>45326</v>
      </c>
      <c r="P984" t="s">
        <v>29</v>
      </c>
      <c r="Q984">
        <f>+IF(OR(Datos[[#This Row],[Diagnostico]]="Inservible",Datos[[#This Row],[Estatus]]="Preventivo"),0,Datos[[#This Row],[Fecha_Final]]-Datos[[#This Row],[Día_Inicio]])</f>
        <v>0</v>
      </c>
      <c r="R984" s="2">
        <v>514</v>
      </c>
      <c r="S984" s="2">
        <v>355</v>
      </c>
      <c r="T984" t="s">
        <v>42</v>
      </c>
    </row>
    <row r="985" spans="1:20" x14ac:dyDescent="0.25">
      <c r="A985" t="s">
        <v>1171</v>
      </c>
      <c r="B985" s="1">
        <v>45266</v>
      </c>
      <c r="C985" t="s">
        <v>1155</v>
      </c>
      <c r="D985">
        <v>12</v>
      </c>
      <c r="E985" t="str">
        <f>+CONCATENATE("T",ROUNDUP(MONTH(Datos[[#This Row],[Fecha]])/3,0))</f>
        <v>T4</v>
      </c>
      <c r="F985" t="str">
        <f>+CONCATENATE("Sem"," ",ROUNDUP(MONTH(Datos[[#This Row],[Fecha]])/6,0))</f>
        <v>Sem 2</v>
      </c>
      <c r="G985" t="s">
        <v>116</v>
      </c>
      <c r="H985" t="s">
        <v>117</v>
      </c>
      <c r="I985" t="s">
        <v>24</v>
      </c>
      <c r="J985" t="s">
        <v>118</v>
      </c>
      <c r="K985" t="s">
        <v>114</v>
      </c>
      <c r="L985" t="s">
        <v>27</v>
      </c>
      <c r="M985">
        <v>0</v>
      </c>
      <c r="N985" s="1">
        <v>45266</v>
      </c>
      <c r="O985" s="1">
        <v>45292</v>
      </c>
      <c r="P985" t="s">
        <v>28</v>
      </c>
      <c r="Q985">
        <f>+IF(OR(Datos[[#This Row],[Diagnostico]]="Inservible",Datos[[#This Row],[Estatus]]="Preventivo"),0,Datos[[#This Row],[Fecha_Final]]-Datos[[#This Row],[Día_Inicio]])</f>
        <v>0</v>
      </c>
      <c r="R985" s="2">
        <v>0</v>
      </c>
      <c r="S985" s="2">
        <v>0</v>
      </c>
      <c r="T985" t="s">
        <v>29</v>
      </c>
    </row>
    <row r="986" spans="1:20" x14ac:dyDescent="0.25">
      <c r="A986" t="s">
        <v>1172</v>
      </c>
      <c r="B986" s="1">
        <v>45267</v>
      </c>
      <c r="C986" t="s">
        <v>1155</v>
      </c>
      <c r="D986">
        <v>12</v>
      </c>
      <c r="E986" t="str">
        <f>+CONCATENATE("T",ROUNDUP(MONTH(Datos[[#This Row],[Fecha]])/3,0))</f>
        <v>T4</v>
      </c>
      <c r="F986" t="str">
        <f>+CONCATENATE("Sem"," ",ROUNDUP(MONTH(Datos[[#This Row],[Fecha]])/6,0))</f>
        <v>Sem 2</v>
      </c>
      <c r="G986" t="s">
        <v>164</v>
      </c>
      <c r="H986" t="s">
        <v>165</v>
      </c>
      <c r="I986" t="s">
        <v>24</v>
      </c>
      <c r="J986" t="s">
        <v>166</v>
      </c>
      <c r="K986" t="s">
        <v>39</v>
      </c>
      <c r="L986" t="s">
        <v>40</v>
      </c>
      <c r="M986" t="s">
        <v>75</v>
      </c>
      <c r="N986" s="1">
        <v>45267</v>
      </c>
      <c r="O986" s="1">
        <v>45627</v>
      </c>
      <c r="P986" t="s">
        <v>29</v>
      </c>
      <c r="Q986">
        <f>+IF(OR(Datos[[#This Row],[Diagnostico]]="Inservible",Datos[[#This Row],[Estatus]]="Preventivo"),0,Datos[[#This Row],[Fecha_Final]]-Datos[[#This Row],[Día_Inicio]])</f>
        <v>0</v>
      </c>
      <c r="R986" s="2">
        <v>1101</v>
      </c>
      <c r="S986" s="2">
        <v>372</v>
      </c>
      <c r="T986" t="s">
        <v>42</v>
      </c>
    </row>
    <row r="987" spans="1:20" x14ac:dyDescent="0.25">
      <c r="A987" t="s">
        <v>1173</v>
      </c>
      <c r="B987" s="1">
        <v>45267</v>
      </c>
      <c r="C987" t="s">
        <v>1155</v>
      </c>
      <c r="D987">
        <v>12</v>
      </c>
      <c r="E987" t="str">
        <f>+CONCATENATE("T",ROUNDUP(MONTH(Datos[[#This Row],[Fecha]])/3,0))</f>
        <v>T4</v>
      </c>
      <c r="F987" t="str">
        <f>+CONCATENATE("Sem"," ",ROUNDUP(MONTH(Datos[[#This Row],[Fecha]])/6,0))</f>
        <v>Sem 2</v>
      </c>
      <c r="G987" t="s">
        <v>190</v>
      </c>
      <c r="H987" t="s">
        <v>191</v>
      </c>
      <c r="I987" t="s">
        <v>24</v>
      </c>
      <c r="J987" t="s">
        <v>192</v>
      </c>
      <c r="K987" t="s">
        <v>123</v>
      </c>
      <c r="L987" t="s">
        <v>27</v>
      </c>
      <c r="M987">
        <v>0</v>
      </c>
      <c r="N987" s="1">
        <v>45267</v>
      </c>
      <c r="O987" s="1">
        <v>45289</v>
      </c>
      <c r="P987" t="s">
        <v>28</v>
      </c>
      <c r="Q987">
        <f>+IF(OR(Datos[[#This Row],[Diagnostico]]="Inservible",Datos[[#This Row],[Estatus]]="Preventivo"),0,Datos[[#This Row],[Fecha_Final]]-Datos[[#This Row],[Día_Inicio]])</f>
        <v>0</v>
      </c>
      <c r="R987" s="2">
        <v>0</v>
      </c>
      <c r="S987" s="2">
        <v>0</v>
      </c>
      <c r="T987" t="s">
        <v>29</v>
      </c>
    </row>
    <row r="988" spans="1:20" x14ac:dyDescent="0.25">
      <c r="A988" t="s">
        <v>1174</v>
      </c>
      <c r="B988" s="1">
        <v>45267</v>
      </c>
      <c r="C988" t="s">
        <v>1155</v>
      </c>
      <c r="D988">
        <v>12</v>
      </c>
      <c r="E988" t="str">
        <f>+CONCATENATE("T",ROUNDUP(MONTH(Datos[[#This Row],[Fecha]])/3,0))</f>
        <v>T4</v>
      </c>
      <c r="F988" t="str">
        <f>+CONCATENATE("Sem"," ",ROUNDUP(MONTH(Datos[[#This Row],[Fecha]])/6,0))</f>
        <v>Sem 2</v>
      </c>
      <c r="G988" t="s">
        <v>169</v>
      </c>
      <c r="H988" t="s">
        <v>170</v>
      </c>
      <c r="I988" t="s">
        <v>68</v>
      </c>
      <c r="J988" t="s">
        <v>171</v>
      </c>
      <c r="K988" t="s">
        <v>128</v>
      </c>
      <c r="L988" t="s">
        <v>27</v>
      </c>
      <c r="M988">
        <v>0</v>
      </c>
      <c r="N988" s="1">
        <v>45267</v>
      </c>
      <c r="O988" s="1">
        <v>45273</v>
      </c>
      <c r="P988" t="s">
        <v>58</v>
      </c>
      <c r="Q988">
        <f>+IF(OR(Datos[[#This Row],[Diagnostico]]="Inservible",Datos[[#This Row],[Estatus]]="Preventivo"),0,Datos[[#This Row],[Fecha_Final]]-Datos[[#This Row],[Día_Inicio]])</f>
        <v>6</v>
      </c>
      <c r="R988" s="2">
        <v>792</v>
      </c>
      <c r="S988" s="2">
        <v>117</v>
      </c>
      <c r="T988" t="s">
        <v>91</v>
      </c>
    </row>
    <row r="989" spans="1:20" x14ac:dyDescent="0.25">
      <c r="A989" t="s">
        <v>1175</v>
      </c>
      <c r="B989" s="1">
        <v>45268</v>
      </c>
      <c r="C989" t="s">
        <v>1155</v>
      </c>
      <c r="D989">
        <v>12</v>
      </c>
      <c r="E989" t="str">
        <f>+CONCATENATE("T",ROUNDUP(MONTH(Datos[[#This Row],[Fecha]])/3,0))</f>
        <v>T4</v>
      </c>
      <c r="F989" t="str">
        <f>+CONCATENATE("Sem"," ",ROUNDUP(MONTH(Datos[[#This Row],[Fecha]])/6,0))</f>
        <v>Sem 2</v>
      </c>
      <c r="G989" t="s">
        <v>164</v>
      </c>
      <c r="H989" t="s">
        <v>165</v>
      </c>
      <c r="I989" t="s">
        <v>24</v>
      </c>
      <c r="J989" t="s">
        <v>166</v>
      </c>
      <c r="K989" t="s">
        <v>130</v>
      </c>
      <c r="L989" t="s">
        <v>27</v>
      </c>
      <c r="M989">
        <v>0</v>
      </c>
      <c r="N989" s="1">
        <v>45268</v>
      </c>
      <c r="O989" s="1">
        <v>45296</v>
      </c>
      <c r="P989" t="s">
        <v>58</v>
      </c>
      <c r="Q989">
        <f>+IF(OR(Datos[[#This Row],[Diagnostico]]="Inservible",Datos[[#This Row],[Estatus]]="Preventivo"),0,Datos[[#This Row],[Fecha_Final]]-Datos[[#This Row],[Día_Inicio]])</f>
        <v>28</v>
      </c>
      <c r="R989" s="2">
        <v>1008</v>
      </c>
      <c r="S989" s="2">
        <v>422</v>
      </c>
      <c r="T989" t="s">
        <v>91</v>
      </c>
    </row>
    <row r="990" spans="1:20" x14ac:dyDescent="0.25">
      <c r="A990" t="s">
        <v>1176</v>
      </c>
      <c r="B990" s="1">
        <v>45268</v>
      </c>
      <c r="C990" t="s">
        <v>1155</v>
      </c>
      <c r="D990">
        <v>12</v>
      </c>
      <c r="E990" t="str">
        <f>+CONCATENATE("T",ROUNDUP(MONTH(Datos[[#This Row],[Fecha]])/3,0))</f>
        <v>T4</v>
      </c>
      <c r="F990" t="str">
        <f>+CONCATENATE("Sem"," ",ROUNDUP(MONTH(Datos[[#This Row],[Fecha]])/6,0))</f>
        <v>Sem 2</v>
      </c>
      <c r="G990" t="s">
        <v>121</v>
      </c>
      <c r="H990" t="s">
        <v>122</v>
      </c>
      <c r="I990" t="s">
        <v>24</v>
      </c>
      <c r="J990" t="s">
        <v>102</v>
      </c>
      <c r="K990" t="s">
        <v>39</v>
      </c>
      <c r="L990" t="s">
        <v>40</v>
      </c>
      <c r="M990" t="s">
        <v>208</v>
      </c>
      <c r="N990" s="1">
        <v>45268</v>
      </c>
      <c r="O990" s="1">
        <v>45275</v>
      </c>
      <c r="P990" t="s">
        <v>29</v>
      </c>
      <c r="Q990">
        <f>+IF(OR(Datos[[#This Row],[Diagnostico]]="Inservible",Datos[[#This Row],[Estatus]]="Preventivo"),0,Datos[[#This Row],[Fecha_Final]]-Datos[[#This Row],[Día_Inicio]])</f>
        <v>0</v>
      </c>
      <c r="R990" s="2">
        <v>1026</v>
      </c>
      <c r="S990" s="2">
        <v>705</v>
      </c>
      <c r="T990" t="s">
        <v>42</v>
      </c>
    </row>
    <row r="991" spans="1:20" x14ac:dyDescent="0.25">
      <c r="A991" t="s">
        <v>1177</v>
      </c>
      <c r="B991" s="1">
        <v>45269</v>
      </c>
      <c r="C991" t="s">
        <v>1155</v>
      </c>
      <c r="D991">
        <v>12</v>
      </c>
      <c r="E991" t="str">
        <f>+CONCATENATE("T",ROUNDUP(MONTH(Datos[[#This Row],[Fecha]])/3,0))</f>
        <v>T4</v>
      </c>
      <c r="F991" t="str">
        <f>+CONCATENATE("Sem"," ",ROUNDUP(MONTH(Datos[[#This Row],[Fecha]])/6,0))</f>
        <v>Sem 2</v>
      </c>
      <c r="G991" t="s">
        <v>141</v>
      </c>
      <c r="H991" t="s">
        <v>142</v>
      </c>
      <c r="I991" t="s">
        <v>24</v>
      </c>
      <c r="J991" t="s">
        <v>143</v>
      </c>
      <c r="K991" t="s">
        <v>26</v>
      </c>
      <c r="L991" t="s">
        <v>27</v>
      </c>
      <c r="M991">
        <v>0</v>
      </c>
      <c r="N991" s="1">
        <v>45269</v>
      </c>
      <c r="O991" s="1">
        <v>45289</v>
      </c>
      <c r="P991" t="s">
        <v>58</v>
      </c>
      <c r="Q991">
        <f>+IF(OR(Datos[[#This Row],[Diagnostico]]="Inservible",Datos[[#This Row],[Estatus]]="Preventivo"),0,Datos[[#This Row],[Fecha_Final]]-Datos[[#This Row],[Día_Inicio]])</f>
        <v>20</v>
      </c>
      <c r="R991" s="2">
        <v>280</v>
      </c>
      <c r="S991" s="2">
        <v>398</v>
      </c>
      <c r="T991" t="s">
        <v>64</v>
      </c>
    </row>
    <row r="992" spans="1:20" x14ac:dyDescent="0.25">
      <c r="A992" t="s">
        <v>1178</v>
      </c>
      <c r="B992" s="1">
        <v>45269</v>
      </c>
      <c r="C992" t="s">
        <v>1155</v>
      </c>
      <c r="D992">
        <v>12</v>
      </c>
      <c r="E992" t="str">
        <f>+CONCATENATE("T",ROUNDUP(MONTH(Datos[[#This Row],[Fecha]])/3,0))</f>
        <v>T4</v>
      </c>
      <c r="F992" t="str">
        <f>+CONCATENATE("Sem"," ",ROUNDUP(MONTH(Datos[[#This Row],[Fecha]])/6,0))</f>
        <v>Sem 2</v>
      </c>
      <c r="G992" t="s">
        <v>215</v>
      </c>
      <c r="H992" t="s">
        <v>216</v>
      </c>
      <c r="I992" t="s">
        <v>24</v>
      </c>
      <c r="J992" t="s">
        <v>50</v>
      </c>
      <c r="K992" t="s">
        <v>39</v>
      </c>
      <c r="L992" t="s">
        <v>40</v>
      </c>
      <c r="M992" t="s">
        <v>196</v>
      </c>
      <c r="N992" s="1">
        <v>45269</v>
      </c>
      <c r="O992" s="1">
        <v>45299</v>
      </c>
      <c r="P992" t="s">
        <v>29</v>
      </c>
      <c r="Q992">
        <f>+IF(OR(Datos[[#This Row],[Diagnostico]]="Inservible",Datos[[#This Row],[Estatus]]="Preventivo"),0,Datos[[#This Row],[Fecha_Final]]-Datos[[#This Row],[Día_Inicio]])</f>
        <v>0</v>
      </c>
      <c r="R992" s="2">
        <v>836</v>
      </c>
      <c r="S992" s="2">
        <v>518</v>
      </c>
      <c r="T992" t="s">
        <v>42</v>
      </c>
    </row>
    <row r="993" spans="1:20" x14ac:dyDescent="0.25">
      <c r="A993" t="s">
        <v>1179</v>
      </c>
      <c r="B993" s="1">
        <v>45269</v>
      </c>
      <c r="C993" t="s">
        <v>1155</v>
      </c>
      <c r="D993">
        <v>12</v>
      </c>
      <c r="E993" t="str">
        <f>+CONCATENATE("T",ROUNDUP(MONTH(Datos[[#This Row],[Fecha]])/3,0))</f>
        <v>T4</v>
      </c>
      <c r="F993" t="str">
        <f>+CONCATENATE("Sem"," ",ROUNDUP(MONTH(Datos[[#This Row],[Fecha]])/6,0))</f>
        <v>Sem 2</v>
      </c>
      <c r="G993" t="s">
        <v>149</v>
      </c>
      <c r="H993" t="s">
        <v>150</v>
      </c>
      <c r="I993" t="s">
        <v>68</v>
      </c>
      <c r="J993" t="s">
        <v>151</v>
      </c>
      <c r="K993" t="s">
        <v>39</v>
      </c>
      <c r="L993" t="s">
        <v>27</v>
      </c>
      <c r="M993">
        <v>0</v>
      </c>
      <c r="N993" s="1">
        <v>45269</v>
      </c>
      <c r="O993" s="1">
        <v>45292</v>
      </c>
      <c r="P993" t="s">
        <v>58</v>
      </c>
      <c r="Q993">
        <f>+IF(OR(Datos[[#This Row],[Diagnostico]]="Inservible",Datos[[#This Row],[Estatus]]="Preventivo"),0,Datos[[#This Row],[Fecha_Final]]-Datos[[#This Row],[Día_Inicio]])</f>
        <v>23</v>
      </c>
      <c r="R993" s="2">
        <v>1097</v>
      </c>
      <c r="S993" s="2">
        <v>848</v>
      </c>
      <c r="T993" t="s">
        <v>91</v>
      </c>
    </row>
    <row r="994" spans="1:20" x14ac:dyDescent="0.25">
      <c r="A994" t="s">
        <v>1180</v>
      </c>
      <c r="B994" s="1">
        <v>45269</v>
      </c>
      <c r="C994" t="s">
        <v>1155</v>
      </c>
      <c r="D994">
        <v>12</v>
      </c>
      <c r="E994" t="str">
        <f>+CONCATENATE("T",ROUNDUP(MONTH(Datos[[#This Row],[Fecha]])/3,0))</f>
        <v>T4</v>
      </c>
      <c r="F994" t="str">
        <f>+CONCATENATE("Sem"," ",ROUNDUP(MONTH(Datos[[#This Row],[Fecha]])/6,0))</f>
        <v>Sem 2</v>
      </c>
      <c r="G994" t="s">
        <v>246</v>
      </c>
      <c r="H994" t="s">
        <v>247</v>
      </c>
      <c r="I994" t="s">
        <v>24</v>
      </c>
      <c r="J994" t="s">
        <v>156</v>
      </c>
      <c r="K994" t="s">
        <v>47</v>
      </c>
      <c r="L994" t="s">
        <v>27</v>
      </c>
      <c r="M994">
        <v>0</v>
      </c>
      <c r="N994" s="1">
        <v>45269</v>
      </c>
      <c r="O994" s="1">
        <v>45299</v>
      </c>
      <c r="P994" t="s">
        <v>28</v>
      </c>
      <c r="Q994">
        <f>+IF(OR(Datos[[#This Row],[Diagnostico]]="Inservible",Datos[[#This Row],[Estatus]]="Preventivo"),0,Datos[[#This Row],[Fecha_Final]]-Datos[[#This Row],[Día_Inicio]])</f>
        <v>0</v>
      </c>
      <c r="R994" s="2">
        <v>0</v>
      </c>
      <c r="S994" s="2">
        <v>0</v>
      </c>
      <c r="T994" t="s">
        <v>29</v>
      </c>
    </row>
    <row r="995" spans="1:20" x14ac:dyDescent="0.25">
      <c r="A995" t="s">
        <v>1181</v>
      </c>
      <c r="B995" s="1">
        <v>45269</v>
      </c>
      <c r="C995" t="s">
        <v>1155</v>
      </c>
      <c r="D995">
        <v>12</v>
      </c>
      <c r="E995" t="str">
        <f>+CONCATENATE("T",ROUNDUP(MONTH(Datos[[#This Row],[Fecha]])/3,0))</f>
        <v>T4</v>
      </c>
      <c r="F995" t="str">
        <f>+CONCATENATE("Sem"," ",ROUNDUP(MONTH(Datos[[#This Row],[Fecha]])/6,0))</f>
        <v>Sem 2</v>
      </c>
      <c r="G995" t="s">
        <v>260</v>
      </c>
      <c r="H995" t="s">
        <v>261</v>
      </c>
      <c r="I995" t="s">
        <v>24</v>
      </c>
      <c r="J995" t="s">
        <v>33</v>
      </c>
      <c r="K995" t="s">
        <v>147</v>
      </c>
      <c r="L995" t="s">
        <v>27</v>
      </c>
      <c r="M995">
        <v>0</v>
      </c>
      <c r="N995" s="1">
        <v>45269</v>
      </c>
      <c r="O995" s="1">
        <v>45292</v>
      </c>
      <c r="P995" t="s">
        <v>28</v>
      </c>
      <c r="Q995">
        <f>+IF(OR(Datos[[#This Row],[Diagnostico]]="Inservible",Datos[[#This Row],[Estatus]]="Preventivo"),0,Datos[[#This Row],[Fecha_Final]]-Datos[[#This Row],[Día_Inicio]])</f>
        <v>0</v>
      </c>
      <c r="R995" s="2">
        <v>0</v>
      </c>
      <c r="S995" s="2">
        <v>0</v>
      </c>
      <c r="T995" t="s">
        <v>29</v>
      </c>
    </row>
    <row r="996" spans="1:20" x14ac:dyDescent="0.25">
      <c r="A996" t="s">
        <v>1182</v>
      </c>
      <c r="B996" s="1">
        <v>45269</v>
      </c>
      <c r="C996" t="s">
        <v>1155</v>
      </c>
      <c r="D996">
        <v>12</v>
      </c>
      <c r="E996" t="str">
        <f>+CONCATENATE("T",ROUNDUP(MONTH(Datos[[#This Row],[Fecha]])/3,0))</f>
        <v>T4</v>
      </c>
      <c r="F996" t="str">
        <f>+CONCATENATE("Sem"," ",ROUNDUP(MONTH(Datos[[#This Row],[Fecha]])/6,0))</f>
        <v>Sem 2</v>
      </c>
      <c r="G996" t="s">
        <v>149</v>
      </c>
      <c r="H996" t="s">
        <v>150</v>
      </c>
      <c r="I996" t="s">
        <v>68</v>
      </c>
      <c r="J996" t="s">
        <v>151</v>
      </c>
      <c r="K996" t="s">
        <v>57</v>
      </c>
      <c r="L996" t="s">
        <v>27</v>
      </c>
      <c r="M996">
        <v>0</v>
      </c>
      <c r="N996" s="1">
        <v>45269</v>
      </c>
      <c r="O996" s="1">
        <v>45288</v>
      </c>
      <c r="P996" t="s">
        <v>28</v>
      </c>
      <c r="Q996">
        <f>+IF(OR(Datos[[#This Row],[Diagnostico]]="Inservible",Datos[[#This Row],[Estatus]]="Preventivo"),0,Datos[[#This Row],[Fecha_Final]]-Datos[[#This Row],[Día_Inicio]])</f>
        <v>0</v>
      </c>
      <c r="R996" s="2">
        <v>0</v>
      </c>
      <c r="S996" s="2">
        <v>0</v>
      </c>
      <c r="T996" t="s">
        <v>29</v>
      </c>
    </row>
    <row r="997" spans="1:20" x14ac:dyDescent="0.25">
      <c r="A997" t="s">
        <v>1183</v>
      </c>
      <c r="B997" s="1">
        <v>45270</v>
      </c>
      <c r="C997" t="s">
        <v>1155</v>
      </c>
      <c r="D997">
        <v>12</v>
      </c>
      <c r="E997" t="str">
        <f>+CONCATENATE("T",ROUNDUP(MONTH(Datos[[#This Row],[Fecha]])/3,0))</f>
        <v>T4</v>
      </c>
      <c r="F997" t="str">
        <f>+CONCATENATE("Sem"," ",ROUNDUP(MONTH(Datos[[#This Row],[Fecha]])/6,0))</f>
        <v>Sem 2</v>
      </c>
      <c r="G997" t="s">
        <v>112</v>
      </c>
      <c r="H997" t="s">
        <v>113</v>
      </c>
      <c r="I997" t="s">
        <v>24</v>
      </c>
      <c r="J997" t="s">
        <v>79</v>
      </c>
      <c r="K997" t="s">
        <v>63</v>
      </c>
      <c r="L997" t="s">
        <v>27</v>
      </c>
      <c r="M997">
        <v>0</v>
      </c>
      <c r="N997" s="1">
        <v>45270</v>
      </c>
      <c r="O997" s="1">
        <v>45298</v>
      </c>
      <c r="P997" t="s">
        <v>58</v>
      </c>
      <c r="Q997">
        <f>+IF(OR(Datos[[#This Row],[Diagnostico]]="Inservible",Datos[[#This Row],[Estatus]]="Preventivo"),0,Datos[[#This Row],[Fecha_Final]]-Datos[[#This Row],[Día_Inicio]])</f>
        <v>28</v>
      </c>
      <c r="R997" s="2">
        <v>582</v>
      </c>
      <c r="S997" s="2">
        <v>304</v>
      </c>
      <c r="T997" t="s">
        <v>91</v>
      </c>
    </row>
    <row r="998" spans="1:20" x14ac:dyDescent="0.25">
      <c r="A998" t="s">
        <v>1184</v>
      </c>
      <c r="B998" s="1">
        <v>45270</v>
      </c>
      <c r="C998" t="s">
        <v>1155</v>
      </c>
      <c r="D998">
        <v>12</v>
      </c>
      <c r="E998" t="str">
        <f>+CONCATENATE("T",ROUNDUP(MONTH(Datos[[#This Row],[Fecha]])/3,0))</f>
        <v>T4</v>
      </c>
      <c r="F998" t="str">
        <f>+CONCATENATE("Sem"," ",ROUNDUP(MONTH(Datos[[#This Row],[Fecha]])/6,0))</f>
        <v>Sem 2</v>
      </c>
      <c r="G998" t="s">
        <v>137</v>
      </c>
      <c r="H998" t="s">
        <v>138</v>
      </c>
      <c r="I998" t="s">
        <v>68</v>
      </c>
      <c r="J998" t="s">
        <v>139</v>
      </c>
      <c r="K998" t="s">
        <v>39</v>
      </c>
      <c r="L998" t="s">
        <v>40</v>
      </c>
      <c r="M998" t="s">
        <v>75</v>
      </c>
      <c r="N998" s="1">
        <v>45270</v>
      </c>
      <c r="O998" s="1">
        <v>45630</v>
      </c>
      <c r="P998" t="s">
        <v>29</v>
      </c>
      <c r="Q998">
        <f>+IF(OR(Datos[[#This Row],[Diagnostico]]="Inservible",Datos[[#This Row],[Estatus]]="Preventivo"),0,Datos[[#This Row],[Fecha_Final]]-Datos[[#This Row],[Día_Inicio]])</f>
        <v>0</v>
      </c>
      <c r="R998" s="2">
        <v>1089</v>
      </c>
      <c r="S998" s="2">
        <v>111</v>
      </c>
      <c r="T998" t="s">
        <v>42</v>
      </c>
    </row>
    <row r="999" spans="1:20" x14ac:dyDescent="0.25">
      <c r="A999" t="s">
        <v>1185</v>
      </c>
      <c r="B999" s="1">
        <v>45270</v>
      </c>
      <c r="C999" t="s">
        <v>1155</v>
      </c>
      <c r="D999">
        <v>12</v>
      </c>
      <c r="E999" t="str">
        <f>+CONCATENATE("T",ROUNDUP(MONTH(Datos[[#This Row],[Fecha]])/3,0))</f>
        <v>T4</v>
      </c>
      <c r="F999" t="str">
        <f>+CONCATENATE("Sem"," ",ROUNDUP(MONTH(Datos[[#This Row],[Fecha]])/6,0))</f>
        <v>Sem 2</v>
      </c>
      <c r="G999" t="s">
        <v>246</v>
      </c>
      <c r="H999" t="s">
        <v>247</v>
      </c>
      <c r="I999" t="s">
        <v>24</v>
      </c>
      <c r="J999" t="s">
        <v>156</v>
      </c>
      <c r="K999" t="s">
        <v>161</v>
      </c>
      <c r="L999" t="s">
        <v>27</v>
      </c>
      <c r="M999">
        <v>0</v>
      </c>
      <c r="N999" s="1">
        <v>45270</v>
      </c>
      <c r="O999" s="1">
        <v>45277</v>
      </c>
      <c r="P999" t="s">
        <v>58</v>
      </c>
      <c r="Q999">
        <f>+IF(OR(Datos[[#This Row],[Diagnostico]]="Inservible",Datos[[#This Row],[Estatus]]="Preventivo"),0,Datos[[#This Row],[Fecha_Final]]-Datos[[#This Row],[Día_Inicio]])</f>
        <v>7</v>
      </c>
      <c r="R999" s="2">
        <v>1039</v>
      </c>
      <c r="S999" s="2">
        <v>206</v>
      </c>
      <c r="T999" t="s">
        <v>42</v>
      </c>
    </row>
    <row r="1000" spans="1:20" x14ac:dyDescent="0.25">
      <c r="A1000" t="s">
        <v>1186</v>
      </c>
      <c r="B1000" s="1">
        <v>45271</v>
      </c>
      <c r="C1000" t="s">
        <v>1155</v>
      </c>
      <c r="D1000">
        <v>12</v>
      </c>
      <c r="E1000" t="str">
        <f>+CONCATENATE("T",ROUNDUP(MONTH(Datos[[#This Row],[Fecha]])/3,0))</f>
        <v>T4</v>
      </c>
      <c r="F1000" t="str">
        <f>+CONCATENATE("Sem"," ",ROUNDUP(MONTH(Datos[[#This Row],[Fecha]])/6,0))</f>
        <v>Sem 2</v>
      </c>
      <c r="G1000" t="s">
        <v>206</v>
      </c>
      <c r="H1000" t="s">
        <v>207</v>
      </c>
      <c r="I1000" t="s">
        <v>24</v>
      </c>
      <c r="J1000" t="s">
        <v>160</v>
      </c>
      <c r="K1000" t="s">
        <v>39</v>
      </c>
      <c r="L1000" t="s">
        <v>40</v>
      </c>
      <c r="M1000" t="s">
        <v>196</v>
      </c>
      <c r="N1000" s="1">
        <v>45271</v>
      </c>
      <c r="O1000" s="1">
        <v>45301</v>
      </c>
      <c r="P1000" t="s">
        <v>29</v>
      </c>
      <c r="Q1000">
        <f>+IF(OR(Datos[[#This Row],[Diagnostico]]="Inservible",Datos[[#This Row],[Estatus]]="Preventivo"),0,Datos[[#This Row],[Fecha_Final]]-Datos[[#This Row],[Día_Inicio]])</f>
        <v>0</v>
      </c>
      <c r="R1000" s="2">
        <v>290</v>
      </c>
      <c r="S1000" s="2">
        <v>565</v>
      </c>
      <c r="T1000" t="s">
        <v>42</v>
      </c>
    </row>
    <row r="1001" spans="1:20" x14ac:dyDescent="0.25">
      <c r="A1001" t="s">
        <v>1187</v>
      </c>
      <c r="B1001" s="1">
        <v>45271</v>
      </c>
      <c r="C1001" t="s">
        <v>1155</v>
      </c>
      <c r="D1001">
        <v>12</v>
      </c>
      <c r="E1001" t="str">
        <f>+CONCATENATE("T",ROUNDUP(MONTH(Datos[[#This Row],[Fecha]])/3,0))</f>
        <v>T4</v>
      </c>
      <c r="F1001" t="str">
        <f>+CONCATENATE("Sem"," ",ROUNDUP(MONTH(Datos[[#This Row],[Fecha]])/6,0))</f>
        <v>Sem 2</v>
      </c>
      <c r="G1001" t="s">
        <v>158</v>
      </c>
      <c r="H1001" t="s">
        <v>159</v>
      </c>
      <c r="I1001" t="s">
        <v>101</v>
      </c>
      <c r="J1001" t="s">
        <v>160</v>
      </c>
      <c r="K1001" t="s">
        <v>85</v>
      </c>
      <c r="L1001" t="s">
        <v>27</v>
      </c>
      <c r="M1001">
        <v>0</v>
      </c>
      <c r="N1001" s="1">
        <v>45271</v>
      </c>
      <c r="O1001" s="1">
        <v>45282</v>
      </c>
      <c r="P1001" t="s">
        <v>28</v>
      </c>
      <c r="Q1001">
        <f>+IF(OR(Datos[[#This Row],[Diagnostico]]="Inservible",Datos[[#This Row],[Estatus]]="Preventivo"),0,Datos[[#This Row],[Fecha_Final]]-Datos[[#This Row],[Día_Inicio]])</f>
        <v>0</v>
      </c>
      <c r="R1001" s="2">
        <v>0</v>
      </c>
      <c r="S1001" s="2">
        <v>0</v>
      </c>
      <c r="T1001" t="s">
        <v>29</v>
      </c>
    </row>
    <row r="1002" spans="1:20" x14ac:dyDescent="0.25">
      <c r="A1002" t="s">
        <v>1188</v>
      </c>
      <c r="B1002" s="1">
        <v>45271</v>
      </c>
      <c r="C1002" t="s">
        <v>1155</v>
      </c>
      <c r="D1002">
        <v>12</v>
      </c>
      <c r="E1002" t="str">
        <f>+CONCATENATE("T",ROUNDUP(MONTH(Datos[[#This Row],[Fecha]])/3,0))</f>
        <v>T4</v>
      </c>
      <c r="F1002" t="str">
        <f>+CONCATENATE("Sem"," ",ROUNDUP(MONTH(Datos[[#This Row],[Fecha]])/6,0))</f>
        <v>Sem 2</v>
      </c>
      <c r="G1002" t="s">
        <v>44</v>
      </c>
      <c r="H1002" t="s">
        <v>45</v>
      </c>
      <c r="I1002" t="s">
        <v>24</v>
      </c>
      <c r="J1002" t="s">
        <v>46</v>
      </c>
      <c r="K1002" t="s">
        <v>39</v>
      </c>
      <c r="L1002" t="s">
        <v>40</v>
      </c>
      <c r="M1002" t="s">
        <v>208</v>
      </c>
      <c r="N1002" s="1">
        <v>45271</v>
      </c>
      <c r="O1002" s="1">
        <v>45278</v>
      </c>
      <c r="P1002" t="s">
        <v>29</v>
      </c>
      <c r="Q1002">
        <f>+IF(OR(Datos[[#This Row],[Diagnostico]]="Inservible",Datos[[#This Row],[Estatus]]="Preventivo"),0,Datos[[#This Row],[Fecha_Final]]-Datos[[#This Row],[Día_Inicio]])</f>
        <v>0</v>
      </c>
      <c r="R1002" s="2">
        <v>1123</v>
      </c>
      <c r="S1002" s="2">
        <v>888</v>
      </c>
      <c r="T1002" t="s">
        <v>42</v>
      </c>
    </row>
    <row r="1003" spans="1:20" x14ac:dyDescent="0.25">
      <c r="A1003" t="s">
        <v>1189</v>
      </c>
      <c r="B1003" s="1">
        <v>45271</v>
      </c>
      <c r="C1003" t="s">
        <v>1155</v>
      </c>
      <c r="D1003">
        <v>12</v>
      </c>
      <c r="E1003" t="str">
        <f>+CONCATENATE("T",ROUNDUP(MONTH(Datos[[#This Row],[Fecha]])/3,0))</f>
        <v>T4</v>
      </c>
      <c r="F1003" t="str">
        <f>+CONCATENATE("Sem"," ",ROUNDUP(MONTH(Datos[[#This Row],[Fecha]])/6,0))</f>
        <v>Sem 2</v>
      </c>
      <c r="G1003" t="s">
        <v>237</v>
      </c>
      <c r="H1003" t="s">
        <v>238</v>
      </c>
      <c r="I1003" t="s">
        <v>24</v>
      </c>
      <c r="J1003" t="s">
        <v>177</v>
      </c>
      <c r="K1003" t="s">
        <v>172</v>
      </c>
      <c r="L1003" t="s">
        <v>27</v>
      </c>
      <c r="M1003">
        <v>0</v>
      </c>
      <c r="N1003" s="1">
        <v>45271</v>
      </c>
      <c r="O1003" s="1">
        <v>45290</v>
      </c>
      <c r="P1003" t="s">
        <v>28</v>
      </c>
      <c r="Q1003">
        <f>+IF(OR(Datos[[#This Row],[Diagnostico]]="Inservible",Datos[[#This Row],[Estatus]]="Preventivo"),0,Datos[[#This Row],[Fecha_Final]]-Datos[[#This Row],[Día_Inicio]])</f>
        <v>0</v>
      </c>
      <c r="R1003" s="2">
        <v>0</v>
      </c>
      <c r="S1003" s="2">
        <v>0</v>
      </c>
      <c r="T1003" t="s">
        <v>29</v>
      </c>
    </row>
    <row r="1004" spans="1:20" x14ac:dyDescent="0.25">
      <c r="A1004" t="s">
        <v>1190</v>
      </c>
      <c r="B1004" s="1">
        <v>45272</v>
      </c>
      <c r="C1004" t="s">
        <v>1155</v>
      </c>
      <c r="D1004">
        <v>12</v>
      </c>
      <c r="E1004" t="str">
        <f>+CONCATENATE("T",ROUNDUP(MONTH(Datos[[#This Row],[Fecha]])/3,0))</f>
        <v>T4</v>
      </c>
      <c r="F1004" t="str">
        <f>+CONCATENATE("Sem"," ",ROUNDUP(MONTH(Datos[[#This Row],[Fecha]])/6,0))</f>
        <v>Sem 2</v>
      </c>
      <c r="G1004" t="s">
        <v>206</v>
      </c>
      <c r="H1004" t="s">
        <v>207</v>
      </c>
      <c r="I1004" t="s">
        <v>24</v>
      </c>
      <c r="J1004" t="s">
        <v>160</v>
      </c>
      <c r="K1004" t="s">
        <v>39</v>
      </c>
      <c r="L1004" t="s">
        <v>40</v>
      </c>
      <c r="M1004" t="s">
        <v>188</v>
      </c>
      <c r="N1004" s="1">
        <v>45272</v>
      </c>
      <c r="O1004" s="1">
        <v>45452</v>
      </c>
      <c r="P1004" t="s">
        <v>29</v>
      </c>
      <c r="Q1004">
        <f>+IF(OR(Datos[[#This Row],[Diagnostico]]="Inservible",Datos[[#This Row],[Estatus]]="Preventivo"),0,Datos[[#This Row],[Fecha_Final]]-Datos[[#This Row],[Día_Inicio]])</f>
        <v>0</v>
      </c>
      <c r="R1004" s="2">
        <v>495</v>
      </c>
      <c r="S1004" s="2">
        <v>940</v>
      </c>
      <c r="T1004" t="s">
        <v>42</v>
      </c>
    </row>
    <row r="1005" spans="1:20" x14ac:dyDescent="0.25">
      <c r="A1005" t="s">
        <v>1191</v>
      </c>
      <c r="B1005" s="1">
        <v>45273</v>
      </c>
      <c r="C1005" t="s">
        <v>1155</v>
      </c>
      <c r="D1005">
        <v>12</v>
      </c>
      <c r="E1005" t="str">
        <f>+CONCATENATE("T",ROUNDUP(MONTH(Datos[[#This Row],[Fecha]])/3,0))</f>
        <v>T4</v>
      </c>
      <c r="F1005" t="str">
        <f>+CONCATENATE("Sem"," ",ROUNDUP(MONTH(Datos[[#This Row],[Fecha]])/6,0))</f>
        <v>Sem 2</v>
      </c>
      <c r="G1005" t="s">
        <v>125</v>
      </c>
      <c r="H1005" t="s">
        <v>126</v>
      </c>
      <c r="I1005" t="s">
        <v>24</v>
      </c>
      <c r="J1005" t="s">
        <v>127</v>
      </c>
      <c r="K1005" t="s">
        <v>178</v>
      </c>
      <c r="L1005" t="s">
        <v>27</v>
      </c>
      <c r="M1005">
        <v>0</v>
      </c>
      <c r="N1005" s="1">
        <v>45273</v>
      </c>
      <c r="O1005" s="1">
        <v>45301</v>
      </c>
      <c r="P1005" t="s">
        <v>58</v>
      </c>
      <c r="Q1005">
        <f>+IF(OR(Datos[[#This Row],[Diagnostico]]="Inservible",Datos[[#This Row],[Estatus]]="Preventivo"),0,Datos[[#This Row],[Fecha_Final]]-Datos[[#This Row],[Día_Inicio]])</f>
        <v>28</v>
      </c>
      <c r="R1005" s="2">
        <v>738</v>
      </c>
      <c r="S1005" s="2">
        <v>210</v>
      </c>
      <c r="T1005" t="s">
        <v>64</v>
      </c>
    </row>
    <row r="1006" spans="1:20" x14ac:dyDescent="0.25">
      <c r="A1006" t="s">
        <v>1192</v>
      </c>
      <c r="B1006" s="1">
        <v>45273</v>
      </c>
      <c r="C1006" t="s">
        <v>1155</v>
      </c>
      <c r="D1006">
        <v>12</v>
      </c>
      <c r="E1006" t="str">
        <f>+CONCATENATE("T",ROUNDUP(MONTH(Datos[[#This Row],[Fecha]])/3,0))</f>
        <v>T4</v>
      </c>
      <c r="F1006" t="str">
        <f>+CONCATENATE("Sem"," ",ROUNDUP(MONTH(Datos[[#This Row],[Fecha]])/6,0))</f>
        <v>Sem 2</v>
      </c>
      <c r="G1006" t="s">
        <v>22</v>
      </c>
      <c r="H1006" t="s">
        <v>23</v>
      </c>
      <c r="I1006" t="s">
        <v>24</v>
      </c>
      <c r="J1006" t="s">
        <v>25</v>
      </c>
      <c r="K1006" t="s">
        <v>108</v>
      </c>
      <c r="L1006" t="s">
        <v>27</v>
      </c>
      <c r="M1006">
        <v>0</v>
      </c>
      <c r="N1006" s="1">
        <v>45273</v>
      </c>
      <c r="O1006" s="1">
        <v>45293</v>
      </c>
      <c r="P1006" t="s">
        <v>58</v>
      </c>
      <c r="Q1006">
        <f>+IF(OR(Datos[[#This Row],[Diagnostico]]="Inservible",Datos[[#This Row],[Estatus]]="Preventivo"),0,Datos[[#This Row],[Fecha_Final]]-Datos[[#This Row],[Día_Inicio]])</f>
        <v>20</v>
      </c>
      <c r="R1006" s="2">
        <v>376</v>
      </c>
      <c r="S1006" s="2">
        <v>933</v>
      </c>
      <c r="T1006" t="s">
        <v>64</v>
      </c>
    </row>
    <row r="1007" spans="1:20" x14ac:dyDescent="0.25">
      <c r="A1007" t="s">
        <v>1193</v>
      </c>
      <c r="B1007" s="1">
        <v>45273</v>
      </c>
      <c r="C1007" t="s">
        <v>1155</v>
      </c>
      <c r="D1007">
        <v>12</v>
      </c>
      <c r="E1007" t="str">
        <f>+CONCATENATE("T",ROUNDUP(MONTH(Datos[[#This Row],[Fecha]])/3,0))</f>
        <v>T4</v>
      </c>
      <c r="F1007" t="str">
        <f>+CONCATENATE("Sem"," ",ROUNDUP(MONTH(Datos[[#This Row],[Fecha]])/6,0))</f>
        <v>Sem 2</v>
      </c>
      <c r="G1007" t="s">
        <v>260</v>
      </c>
      <c r="H1007" t="s">
        <v>261</v>
      </c>
      <c r="I1007" t="s">
        <v>24</v>
      </c>
      <c r="J1007" t="s">
        <v>33</v>
      </c>
      <c r="K1007" t="s">
        <v>110</v>
      </c>
      <c r="L1007" t="s">
        <v>27</v>
      </c>
      <c r="M1007">
        <v>0</v>
      </c>
      <c r="N1007" s="1">
        <v>45273</v>
      </c>
      <c r="O1007" s="1">
        <v>45288</v>
      </c>
      <c r="P1007" t="s">
        <v>28</v>
      </c>
      <c r="Q1007">
        <f>+IF(OR(Datos[[#This Row],[Diagnostico]]="Inservible",Datos[[#This Row],[Estatus]]="Preventivo"),0,Datos[[#This Row],[Fecha_Final]]-Datos[[#This Row],[Día_Inicio]])</f>
        <v>0</v>
      </c>
      <c r="R1007" s="2">
        <v>0</v>
      </c>
      <c r="S1007" s="2">
        <v>0</v>
      </c>
      <c r="T1007" t="s">
        <v>29</v>
      </c>
    </row>
    <row r="1008" spans="1:20" x14ac:dyDescent="0.25">
      <c r="A1008" t="s">
        <v>1194</v>
      </c>
      <c r="B1008" s="1">
        <v>45274</v>
      </c>
      <c r="C1008" t="s">
        <v>1155</v>
      </c>
      <c r="D1008">
        <v>12</v>
      </c>
      <c r="E1008" t="str">
        <f>+CONCATENATE("T",ROUNDUP(MONTH(Datos[[#This Row],[Fecha]])/3,0))</f>
        <v>T4</v>
      </c>
      <c r="F1008" t="str">
        <f>+CONCATENATE("Sem"," ",ROUNDUP(MONTH(Datos[[#This Row],[Fecha]])/6,0))</f>
        <v>Sem 2</v>
      </c>
      <c r="G1008" t="s">
        <v>169</v>
      </c>
      <c r="H1008" t="s">
        <v>170</v>
      </c>
      <c r="I1008" t="s">
        <v>68</v>
      </c>
      <c r="J1008" t="s">
        <v>171</v>
      </c>
      <c r="K1008" t="s">
        <v>39</v>
      </c>
      <c r="L1008" t="s">
        <v>40</v>
      </c>
      <c r="M1008" t="s">
        <v>208</v>
      </c>
      <c r="N1008" s="1">
        <v>45274</v>
      </c>
      <c r="O1008" s="1">
        <v>45281</v>
      </c>
      <c r="P1008" t="s">
        <v>29</v>
      </c>
      <c r="Q1008">
        <f>+IF(OR(Datos[[#This Row],[Diagnostico]]="Inservible",Datos[[#This Row],[Estatus]]="Preventivo"),0,Datos[[#This Row],[Fecha_Final]]-Datos[[#This Row],[Día_Inicio]])</f>
        <v>0</v>
      </c>
      <c r="R1008" s="2">
        <v>255</v>
      </c>
      <c r="S1008" s="2">
        <v>623</v>
      </c>
      <c r="T1008" t="s">
        <v>42</v>
      </c>
    </row>
    <row r="1009" spans="1:20" x14ac:dyDescent="0.25">
      <c r="A1009" t="s">
        <v>1195</v>
      </c>
      <c r="B1009" s="1">
        <v>45274</v>
      </c>
      <c r="C1009" t="s">
        <v>1155</v>
      </c>
      <c r="D1009">
        <v>12</v>
      </c>
      <c r="E1009" t="str">
        <f>+CONCATENATE("T",ROUNDUP(MONTH(Datos[[#This Row],[Fecha]])/3,0))</f>
        <v>T4</v>
      </c>
      <c r="F1009" t="str">
        <f>+CONCATENATE("Sem"," ",ROUNDUP(MONTH(Datos[[#This Row],[Fecha]])/6,0))</f>
        <v>Sem 2</v>
      </c>
      <c r="G1009" t="s">
        <v>335</v>
      </c>
      <c r="H1009" t="s">
        <v>336</v>
      </c>
      <c r="I1009" t="s">
        <v>24</v>
      </c>
      <c r="J1009" t="s">
        <v>118</v>
      </c>
      <c r="K1009" t="s">
        <v>119</v>
      </c>
      <c r="L1009" t="s">
        <v>27</v>
      </c>
      <c r="M1009">
        <v>0</v>
      </c>
      <c r="N1009" s="1">
        <v>45274</v>
      </c>
      <c r="O1009" s="1">
        <v>45276</v>
      </c>
      <c r="P1009" t="s">
        <v>28</v>
      </c>
      <c r="Q1009">
        <f>+IF(OR(Datos[[#This Row],[Diagnostico]]="Inservible",Datos[[#This Row],[Estatus]]="Preventivo"),0,Datos[[#This Row],[Fecha_Final]]-Datos[[#This Row],[Día_Inicio]])</f>
        <v>0</v>
      </c>
      <c r="R1009" s="2">
        <v>0</v>
      </c>
      <c r="S1009" s="2">
        <v>0</v>
      </c>
      <c r="T1009" t="s">
        <v>29</v>
      </c>
    </row>
    <row r="1010" spans="1:20" x14ac:dyDescent="0.25">
      <c r="A1010" t="s">
        <v>1196</v>
      </c>
      <c r="B1010" s="1">
        <v>45274</v>
      </c>
      <c r="C1010" t="s">
        <v>1155</v>
      </c>
      <c r="D1010">
        <v>12</v>
      </c>
      <c r="E1010" t="str">
        <f>+CONCATENATE("T",ROUNDUP(MONTH(Datos[[#This Row],[Fecha]])/3,0))</f>
        <v>T4</v>
      </c>
      <c r="F1010" t="str">
        <f>+CONCATENATE("Sem"," ",ROUNDUP(MONTH(Datos[[#This Row],[Fecha]])/6,0))</f>
        <v>Sem 2</v>
      </c>
      <c r="G1010" t="s">
        <v>331</v>
      </c>
      <c r="H1010" t="s">
        <v>332</v>
      </c>
      <c r="I1010" t="s">
        <v>68</v>
      </c>
      <c r="J1010" t="s">
        <v>74</v>
      </c>
      <c r="K1010" t="s">
        <v>39</v>
      </c>
      <c r="L1010" t="s">
        <v>40</v>
      </c>
      <c r="M1010" t="s">
        <v>41</v>
      </c>
      <c r="N1010" s="1">
        <v>45274</v>
      </c>
      <c r="O1010" s="1">
        <v>45364</v>
      </c>
      <c r="P1010" t="s">
        <v>29</v>
      </c>
      <c r="Q1010">
        <f>+IF(OR(Datos[[#This Row],[Diagnostico]]="Inservible",Datos[[#This Row],[Estatus]]="Preventivo"),0,Datos[[#This Row],[Fecha_Final]]-Datos[[#This Row],[Día_Inicio]])</f>
        <v>0</v>
      </c>
      <c r="R1010" s="2">
        <v>679</v>
      </c>
      <c r="S1010" s="2">
        <v>495</v>
      </c>
      <c r="T1010" t="s">
        <v>42</v>
      </c>
    </row>
    <row r="1011" spans="1:20" x14ac:dyDescent="0.25">
      <c r="A1011" t="s">
        <v>1197</v>
      </c>
      <c r="B1011" s="1">
        <v>45274</v>
      </c>
      <c r="C1011" t="s">
        <v>1155</v>
      </c>
      <c r="D1011">
        <v>12</v>
      </c>
      <c r="E1011" t="str">
        <f>+CONCATENATE("T",ROUNDUP(MONTH(Datos[[#This Row],[Fecha]])/3,0))</f>
        <v>T4</v>
      </c>
      <c r="F1011" t="str">
        <f>+CONCATENATE("Sem"," ",ROUNDUP(MONTH(Datos[[#This Row],[Fecha]])/6,0))</f>
        <v>Sem 2</v>
      </c>
      <c r="G1011" t="s">
        <v>202</v>
      </c>
      <c r="H1011" t="s">
        <v>203</v>
      </c>
      <c r="I1011" t="s">
        <v>24</v>
      </c>
      <c r="J1011" t="s">
        <v>204</v>
      </c>
      <c r="K1011" t="s">
        <v>128</v>
      </c>
      <c r="L1011" t="s">
        <v>27</v>
      </c>
      <c r="M1011">
        <v>0</v>
      </c>
      <c r="N1011" s="1">
        <v>45274</v>
      </c>
      <c r="O1011" s="1">
        <v>45299</v>
      </c>
      <c r="P1011" t="s">
        <v>28</v>
      </c>
      <c r="Q1011">
        <f>+IF(OR(Datos[[#This Row],[Diagnostico]]="Inservible",Datos[[#This Row],[Estatus]]="Preventivo"),0,Datos[[#This Row],[Fecha_Final]]-Datos[[#This Row],[Día_Inicio]])</f>
        <v>0</v>
      </c>
      <c r="R1011" s="2">
        <v>0</v>
      </c>
      <c r="S1011" s="2">
        <v>0</v>
      </c>
      <c r="T1011" t="s">
        <v>29</v>
      </c>
    </row>
    <row r="1012" spans="1:20" x14ac:dyDescent="0.25">
      <c r="A1012" t="s">
        <v>1198</v>
      </c>
      <c r="B1012" s="1">
        <v>45274</v>
      </c>
      <c r="C1012" t="s">
        <v>1155</v>
      </c>
      <c r="D1012">
        <v>12</v>
      </c>
      <c r="E1012" t="str">
        <f>+CONCATENATE("T",ROUNDUP(MONTH(Datos[[#This Row],[Fecha]])/3,0))</f>
        <v>T4</v>
      </c>
      <c r="F1012" t="str">
        <f>+CONCATENATE("Sem"," ",ROUNDUP(MONTH(Datos[[#This Row],[Fecha]])/6,0))</f>
        <v>Sem 2</v>
      </c>
      <c r="G1012" t="s">
        <v>257</v>
      </c>
      <c r="H1012" t="s">
        <v>258</v>
      </c>
      <c r="I1012" t="s">
        <v>24</v>
      </c>
      <c r="J1012" t="s">
        <v>204</v>
      </c>
      <c r="K1012" t="s">
        <v>39</v>
      </c>
      <c r="L1012" t="s">
        <v>40</v>
      </c>
      <c r="M1012" t="s">
        <v>196</v>
      </c>
      <c r="N1012" s="1">
        <v>45274</v>
      </c>
      <c r="O1012" s="1">
        <v>45304</v>
      </c>
      <c r="P1012" t="s">
        <v>29</v>
      </c>
      <c r="Q1012">
        <f>+IF(OR(Datos[[#This Row],[Diagnostico]]="Inservible",Datos[[#This Row],[Estatus]]="Preventivo"),0,Datos[[#This Row],[Fecha_Final]]-Datos[[#This Row],[Día_Inicio]])</f>
        <v>0</v>
      </c>
      <c r="R1012" s="2">
        <v>494</v>
      </c>
      <c r="S1012" s="2">
        <v>195</v>
      </c>
      <c r="T1012" t="s">
        <v>42</v>
      </c>
    </row>
    <row r="1013" spans="1:20" x14ac:dyDescent="0.25">
      <c r="A1013" t="s">
        <v>1199</v>
      </c>
      <c r="B1013" s="1">
        <v>45274</v>
      </c>
      <c r="C1013" t="s">
        <v>1155</v>
      </c>
      <c r="D1013">
        <v>12</v>
      </c>
      <c r="E1013" t="str">
        <f>+CONCATENATE("T",ROUNDUP(MONTH(Datos[[#This Row],[Fecha]])/3,0))</f>
        <v>T4</v>
      </c>
      <c r="F1013" t="str">
        <f>+CONCATENATE("Sem"," ",ROUNDUP(MONTH(Datos[[#This Row],[Fecha]])/6,0))</f>
        <v>Sem 2</v>
      </c>
      <c r="G1013" t="s">
        <v>87</v>
      </c>
      <c r="H1013" t="s">
        <v>88</v>
      </c>
      <c r="I1013" t="s">
        <v>68</v>
      </c>
      <c r="J1013" t="s">
        <v>89</v>
      </c>
      <c r="K1013" t="s">
        <v>135</v>
      </c>
      <c r="L1013" t="s">
        <v>27</v>
      </c>
      <c r="M1013">
        <v>0</v>
      </c>
      <c r="N1013" s="1">
        <v>45274</v>
      </c>
      <c r="O1013" s="1">
        <v>45275</v>
      </c>
      <c r="P1013" t="s">
        <v>58</v>
      </c>
      <c r="Q1013">
        <f>+IF(OR(Datos[[#This Row],[Diagnostico]]="Inservible",Datos[[#This Row],[Estatus]]="Preventivo"),0,Datos[[#This Row],[Fecha_Final]]-Datos[[#This Row],[Día_Inicio]])</f>
        <v>1</v>
      </c>
      <c r="R1013" s="2">
        <v>346</v>
      </c>
      <c r="S1013" s="2">
        <v>304</v>
      </c>
      <c r="T1013" t="s">
        <v>42</v>
      </c>
    </row>
    <row r="1014" spans="1:20" x14ac:dyDescent="0.25">
      <c r="A1014" t="s">
        <v>1200</v>
      </c>
      <c r="B1014" s="1">
        <v>45275</v>
      </c>
      <c r="C1014" t="s">
        <v>1155</v>
      </c>
      <c r="D1014">
        <v>12</v>
      </c>
      <c r="E1014" t="str">
        <f>+CONCATENATE("T",ROUNDUP(MONTH(Datos[[#This Row],[Fecha]])/3,0))</f>
        <v>T4</v>
      </c>
      <c r="F1014" t="str">
        <f>+CONCATENATE("Sem"," ",ROUNDUP(MONTH(Datos[[#This Row],[Fecha]])/6,0))</f>
        <v>Sem 2</v>
      </c>
      <c r="G1014" t="s">
        <v>66</v>
      </c>
      <c r="H1014" t="s">
        <v>67</v>
      </c>
      <c r="I1014" t="s">
        <v>68</v>
      </c>
      <c r="J1014" t="s">
        <v>69</v>
      </c>
      <c r="K1014" t="s">
        <v>26</v>
      </c>
      <c r="L1014" t="s">
        <v>27</v>
      </c>
      <c r="M1014">
        <v>0</v>
      </c>
      <c r="N1014" s="1">
        <v>45275</v>
      </c>
      <c r="O1014" s="1">
        <v>45290</v>
      </c>
      <c r="P1014" t="s">
        <v>28</v>
      </c>
      <c r="Q1014">
        <f>+IF(OR(Datos[[#This Row],[Diagnostico]]="Inservible",Datos[[#This Row],[Estatus]]="Preventivo"),0,Datos[[#This Row],[Fecha_Final]]-Datos[[#This Row],[Día_Inicio]])</f>
        <v>0</v>
      </c>
      <c r="R1014" s="2">
        <v>0</v>
      </c>
      <c r="S1014" s="2">
        <v>0</v>
      </c>
      <c r="T1014" t="s">
        <v>29</v>
      </c>
    </row>
    <row r="1015" spans="1:20" x14ac:dyDescent="0.25">
      <c r="A1015" t="s">
        <v>1201</v>
      </c>
      <c r="B1015" s="1">
        <v>45276</v>
      </c>
      <c r="C1015" t="s">
        <v>1155</v>
      </c>
      <c r="D1015">
        <v>12</v>
      </c>
      <c r="E1015" t="str">
        <f>+CONCATENATE("T",ROUNDUP(MONTH(Datos[[#This Row],[Fecha]])/3,0))</f>
        <v>T4</v>
      </c>
      <c r="F1015" t="str">
        <f>+CONCATENATE("Sem"," ",ROUNDUP(MONTH(Datos[[#This Row],[Fecha]])/6,0))</f>
        <v>Sem 2</v>
      </c>
      <c r="G1015" t="s">
        <v>121</v>
      </c>
      <c r="H1015" t="s">
        <v>122</v>
      </c>
      <c r="I1015" t="s">
        <v>24</v>
      </c>
      <c r="J1015" t="s">
        <v>102</v>
      </c>
      <c r="K1015" t="s">
        <v>34</v>
      </c>
      <c r="L1015" t="s">
        <v>27</v>
      </c>
      <c r="M1015">
        <v>0</v>
      </c>
      <c r="N1015" s="1">
        <v>45276</v>
      </c>
      <c r="O1015" s="1">
        <v>45289</v>
      </c>
      <c r="P1015" t="s">
        <v>28</v>
      </c>
      <c r="Q1015">
        <f>+IF(OR(Datos[[#This Row],[Diagnostico]]="Inservible",Datos[[#This Row],[Estatus]]="Preventivo"),0,Datos[[#This Row],[Fecha_Final]]-Datos[[#This Row],[Día_Inicio]])</f>
        <v>0</v>
      </c>
      <c r="R1015" s="2">
        <v>0</v>
      </c>
      <c r="S1015" s="2">
        <v>0</v>
      </c>
      <c r="T1015" t="s">
        <v>29</v>
      </c>
    </row>
    <row r="1016" spans="1:20" x14ac:dyDescent="0.25">
      <c r="A1016" t="s">
        <v>1202</v>
      </c>
      <c r="B1016" s="1">
        <v>45278</v>
      </c>
      <c r="C1016" t="s">
        <v>1155</v>
      </c>
      <c r="D1016">
        <v>12</v>
      </c>
      <c r="E1016" t="str">
        <f>+CONCATENATE("T",ROUNDUP(MONTH(Datos[[#This Row],[Fecha]])/3,0))</f>
        <v>T4</v>
      </c>
      <c r="F1016" t="str">
        <f>+CONCATENATE("Sem"," ",ROUNDUP(MONTH(Datos[[#This Row],[Fecha]])/6,0))</f>
        <v>Sem 2</v>
      </c>
      <c r="G1016" t="s">
        <v>183</v>
      </c>
      <c r="H1016" t="s">
        <v>184</v>
      </c>
      <c r="I1016" t="s">
        <v>24</v>
      </c>
      <c r="J1016" t="s">
        <v>139</v>
      </c>
      <c r="K1016" t="s">
        <v>39</v>
      </c>
      <c r="L1016" t="s">
        <v>40</v>
      </c>
      <c r="M1016" t="s">
        <v>208</v>
      </c>
      <c r="N1016" s="1">
        <v>45278</v>
      </c>
      <c r="O1016" s="1">
        <v>45285</v>
      </c>
      <c r="P1016" t="s">
        <v>29</v>
      </c>
      <c r="Q1016">
        <f>+IF(OR(Datos[[#This Row],[Diagnostico]]="Inservible",Datos[[#This Row],[Estatus]]="Preventivo"),0,Datos[[#This Row],[Fecha_Final]]-Datos[[#This Row],[Día_Inicio]])</f>
        <v>0</v>
      </c>
      <c r="R1016" s="2">
        <v>1110</v>
      </c>
      <c r="S1016" s="2">
        <v>700</v>
      </c>
      <c r="T1016" t="s">
        <v>42</v>
      </c>
    </row>
    <row r="1017" spans="1:20" x14ac:dyDescent="0.25">
      <c r="A1017" t="s">
        <v>1203</v>
      </c>
      <c r="B1017" s="1">
        <v>45280</v>
      </c>
      <c r="C1017" t="s">
        <v>1155</v>
      </c>
      <c r="D1017">
        <v>12</v>
      </c>
      <c r="E1017" t="str">
        <f>+CONCATENATE("T",ROUNDUP(MONTH(Datos[[#This Row],[Fecha]])/3,0))</f>
        <v>T4</v>
      </c>
      <c r="F1017" t="str">
        <f>+CONCATENATE("Sem"," ",ROUNDUP(MONTH(Datos[[#This Row],[Fecha]])/6,0))</f>
        <v>Sem 2</v>
      </c>
      <c r="G1017" t="s">
        <v>137</v>
      </c>
      <c r="H1017" t="s">
        <v>138</v>
      </c>
      <c r="I1017" t="s">
        <v>68</v>
      </c>
      <c r="J1017" t="s">
        <v>139</v>
      </c>
      <c r="K1017" t="s">
        <v>47</v>
      </c>
      <c r="L1017" t="s">
        <v>27</v>
      </c>
      <c r="M1017">
        <v>0</v>
      </c>
      <c r="N1017" s="1">
        <v>45280</v>
      </c>
      <c r="O1017" s="1">
        <v>45283</v>
      </c>
      <c r="P1017" t="s">
        <v>28</v>
      </c>
      <c r="Q1017">
        <f>+IF(OR(Datos[[#This Row],[Diagnostico]]="Inservible",Datos[[#This Row],[Estatus]]="Preventivo"),0,Datos[[#This Row],[Fecha_Final]]-Datos[[#This Row],[Día_Inicio]])</f>
        <v>0</v>
      </c>
      <c r="R1017" s="2">
        <v>0</v>
      </c>
      <c r="S1017" s="2">
        <v>0</v>
      </c>
      <c r="T1017" t="s">
        <v>29</v>
      </c>
    </row>
    <row r="1018" spans="1:20" x14ac:dyDescent="0.25">
      <c r="A1018" t="s">
        <v>1204</v>
      </c>
      <c r="B1018" s="1">
        <v>45280</v>
      </c>
      <c r="C1018" t="s">
        <v>1155</v>
      </c>
      <c r="D1018">
        <v>12</v>
      </c>
      <c r="E1018" t="str">
        <f>+CONCATENATE("T",ROUNDUP(MONTH(Datos[[#This Row],[Fecha]])/3,0))</f>
        <v>T4</v>
      </c>
      <c r="F1018" t="str">
        <f>+CONCATENATE("Sem"," ",ROUNDUP(MONTH(Datos[[#This Row],[Fecha]])/6,0))</f>
        <v>Sem 2</v>
      </c>
      <c r="G1018" t="s">
        <v>61</v>
      </c>
      <c r="H1018" t="s">
        <v>62</v>
      </c>
      <c r="I1018" t="s">
        <v>24</v>
      </c>
      <c r="J1018" t="s">
        <v>46</v>
      </c>
      <c r="K1018" t="s">
        <v>39</v>
      </c>
      <c r="L1018" t="s">
        <v>40</v>
      </c>
      <c r="M1018" t="s">
        <v>75</v>
      </c>
      <c r="N1018" s="1">
        <v>45280</v>
      </c>
      <c r="O1018" s="1">
        <v>45640</v>
      </c>
      <c r="P1018" t="s">
        <v>29</v>
      </c>
      <c r="Q1018">
        <f>+IF(OR(Datos[[#This Row],[Diagnostico]]="Inservible",Datos[[#This Row],[Estatus]]="Preventivo"),0,Datos[[#This Row],[Fecha_Final]]-Datos[[#This Row],[Día_Inicio]])</f>
        <v>0</v>
      </c>
      <c r="R1018" s="2">
        <v>405</v>
      </c>
      <c r="S1018" s="2">
        <v>124</v>
      </c>
      <c r="T1018" t="s">
        <v>42</v>
      </c>
    </row>
    <row r="1019" spans="1:20" x14ac:dyDescent="0.25">
      <c r="A1019" t="s">
        <v>1205</v>
      </c>
      <c r="B1019" s="1">
        <v>45280</v>
      </c>
      <c r="C1019" t="s">
        <v>1155</v>
      </c>
      <c r="D1019">
        <v>12</v>
      </c>
      <c r="E1019" t="str">
        <f>+CONCATENATE("T",ROUNDUP(MONTH(Datos[[#This Row],[Fecha]])/3,0))</f>
        <v>T4</v>
      </c>
      <c r="F1019" t="str">
        <f>+CONCATENATE("Sem"," ",ROUNDUP(MONTH(Datos[[#This Row],[Fecha]])/6,0))</f>
        <v>Sem 2</v>
      </c>
      <c r="G1019" t="s">
        <v>202</v>
      </c>
      <c r="H1019" t="s">
        <v>203</v>
      </c>
      <c r="I1019" t="s">
        <v>24</v>
      </c>
      <c r="J1019" t="s">
        <v>204</v>
      </c>
      <c r="K1019" t="s">
        <v>57</v>
      </c>
      <c r="L1019" t="s">
        <v>27</v>
      </c>
      <c r="M1019">
        <v>0</v>
      </c>
      <c r="N1019" s="1">
        <v>45280</v>
      </c>
      <c r="O1019" s="1">
        <v>45281</v>
      </c>
      <c r="P1019" t="s">
        <v>58</v>
      </c>
      <c r="Q1019">
        <f>+IF(OR(Datos[[#This Row],[Diagnostico]]="Inservible",Datos[[#This Row],[Estatus]]="Preventivo"),0,Datos[[#This Row],[Fecha_Final]]-Datos[[#This Row],[Día_Inicio]])</f>
        <v>1</v>
      </c>
      <c r="R1019" s="2">
        <v>863</v>
      </c>
      <c r="S1019" s="2">
        <v>901</v>
      </c>
      <c r="T1019" t="s">
        <v>42</v>
      </c>
    </row>
    <row r="1020" spans="1:20" x14ac:dyDescent="0.25">
      <c r="A1020" t="s">
        <v>1206</v>
      </c>
      <c r="B1020" s="1">
        <v>45280</v>
      </c>
      <c r="C1020" t="s">
        <v>1155</v>
      </c>
      <c r="D1020">
        <v>12</v>
      </c>
      <c r="E1020" t="str">
        <f>+CONCATENATE("T",ROUNDUP(MONTH(Datos[[#This Row],[Fecha]])/3,0))</f>
        <v>T4</v>
      </c>
      <c r="F1020" t="str">
        <f>+CONCATENATE("Sem"," ",ROUNDUP(MONTH(Datos[[#This Row],[Fecha]])/6,0))</f>
        <v>Sem 2</v>
      </c>
      <c r="G1020" t="s">
        <v>331</v>
      </c>
      <c r="H1020" t="s">
        <v>332</v>
      </c>
      <c r="I1020" t="s">
        <v>68</v>
      </c>
      <c r="J1020" t="s">
        <v>74</v>
      </c>
      <c r="K1020" t="s">
        <v>63</v>
      </c>
      <c r="L1020" t="s">
        <v>27</v>
      </c>
      <c r="M1020">
        <v>0</v>
      </c>
      <c r="N1020" s="1">
        <v>45280</v>
      </c>
      <c r="O1020" s="1">
        <v>45300</v>
      </c>
      <c r="P1020" t="s">
        <v>58</v>
      </c>
      <c r="Q1020">
        <f>+IF(OR(Datos[[#This Row],[Diagnostico]]="Inservible",Datos[[#This Row],[Estatus]]="Preventivo"),0,Datos[[#This Row],[Fecha_Final]]-Datos[[#This Row],[Día_Inicio]])</f>
        <v>20</v>
      </c>
      <c r="R1020" s="2">
        <v>659</v>
      </c>
      <c r="S1020" s="2">
        <v>960</v>
      </c>
      <c r="T1020" t="s">
        <v>42</v>
      </c>
    </row>
    <row r="1021" spans="1:20" x14ac:dyDescent="0.25">
      <c r="A1021" t="s">
        <v>1207</v>
      </c>
      <c r="B1021" s="1">
        <v>45281</v>
      </c>
      <c r="C1021" t="s">
        <v>1155</v>
      </c>
      <c r="D1021">
        <v>12</v>
      </c>
      <c r="E1021" t="str">
        <f>+CONCATENATE("T",ROUNDUP(MONTH(Datos[[#This Row],[Fecha]])/3,0))</f>
        <v>T4</v>
      </c>
      <c r="F1021" t="str">
        <f>+CONCATENATE("Sem"," ",ROUNDUP(MONTH(Datos[[#This Row],[Fecha]])/6,0))</f>
        <v>Sem 2</v>
      </c>
      <c r="G1021" t="s">
        <v>77</v>
      </c>
      <c r="H1021" t="s">
        <v>78</v>
      </c>
      <c r="I1021" t="s">
        <v>24</v>
      </c>
      <c r="J1021" t="s">
        <v>79</v>
      </c>
      <c r="K1021" t="s">
        <v>70</v>
      </c>
      <c r="L1021" t="s">
        <v>27</v>
      </c>
      <c r="M1021">
        <v>0</v>
      </c>
      <c r="N1021" s="1">
        <v>45281</v>
      </c>
      <c r="O1021" s="1">
        <v>45302</v>
      </c>
      <c r="P1021" t="s">
        <v>28</v>
      </c>
      <c r="Q1021">
        <f>+IF(OR(Datos[[#This Row],[Diagnostico]]="Inservible",Datos[[#This Row],[Estatus]]="Preventivo"),0,Datos[[#This Row],[Fecha_Final]]-Datos[[#This Row],[Día_Inicio]])</f>
        <v>0</v>
      </c>
      <c r="R1021" s="2">
        <v>0</v>
      </c>
      <c r="S1021" s="2">
        <v>0</v>
      </c>
      <c r="T1021" t="s">
        <v>29</v>
      </c>
    </row>
    <row r="1022" spans="1:20" x14ac:dyDescent="0.25">
      <c r="A1022" t="s">
        <v>1208</v>
      </c>
      <c r="B1022" s="1">
        <v>45281</v>
      </c>
      <c r="C1022" t="s">
        <v>1155</v>
      </c>
      <c r="D1022">
        <v>12</v>
      </c>
      <c r="E1022" t="str">
        <f>+CONCATENATE("T",ROUNDUP(MONTH(Datos[[#This Row],[Fecha]])/3,0))</f>
        <v>T4</v>
      </c>
      <c r="F1022" t="str">
        <f>+CONCATENATE("Sem"," ",ROUNDUP(MONTH(Datos[[#This Row],[Fecha]])/6,0))</f>
        <v>Sem 2</v>
      </c>
      <c r="G1022" t="s">
        <v>154</v>
      </c>
      <c r="H1022" t="s">
        <v>155</v>
      </c>
      <c r="I1022" t="s">
        <v>68</v>
      </c>
      <c r="J1022" t="s">
        <v>156</v>
      </c>
      <c r="K1022" t="s">
        <v>39</v>
      </c>
      <c r="L1022" t="s">
        <v>40</v>
      </c>
      <c r="M1022" t="s">
        <v>41</v>
      </c>
      <c r="N1022" s="1">
        <v>45281</v>
      </c>
      <c r="O1022" s="1">
        <v>45371</v>
      </c>
      <c r="P1022" t="s">
        <v>29</v>
      </c>
      <c r="Q1022">
        <f>+IF(OR(Datos[[#This Row],[Diagnostico]]="Inservible",Datos[[#This Row],[Estatus]]="Preventivo"),0,Datos[[#This Row],[Fecha_Final]]-Datos[[#This Row],[Día_Inicio]])</f>
        <v>0</v>
      </c>
      <c r="R1022" s="2">
        <v>268</v>
      </c>
      <c r="S1022" s="2">
        <v>733</v>
      </c>
      <c r="T1022" t="s">
        <v>42</v>
      </c>
    </row>
    <row r="1023" spans="1:20" x14ac:dyDescent="0.25">
      <c r="A1023" t="s">
        <v>1209</v>
      </c>
      <c r="B1023" s="1">
        <v>45281</v>
      </c>
      <c r="C1023" t="s">
        <v>1155</v>
      </c>
      <c r="D1023">
        <v>12</v>
      </c>
      <c r="E1023" t="str">
        <f>+CONCATENATE("T",ROUNDUP(MONTH(Datos[[#This Row],[Fecha]])/3,0))</f>
        <v>T4</v>
      </c>
      <c r="F1023" t="str">
        <f>+CONCATENATE("Sem"," ",ROUNDUP(MONTH(Datos[[#This Row],[Fecha]])/6,0))</f>
        <v>Sem 2</v>
      </c>
      <c r="G1023" t="s">
        <v>202</v>
      </c>
      <c r="H1023" t="s">
        <v>203</v>
      </c>
      <c r="I1023" t="s">
        <v>24</v>
      </c>
      <c r="J1023" t="s">
        <v>204</v>
      </c>
      <c r="K1023" t="s">
        <v>80</v>
      </c>
      <c r="L1023" t="s">
        <v>27</v>
      </c>
      <c r="M1023">
        <v>0</v>
      </c>
      <c r="N1023" s="1">
        <v>45281</v>
      </c>
      <c r="O1023" s="1">
        <v>45283</v>
      </c>
      <c r="P1023" t="s">
        <v>28</v>
      </c>
      <c r="Q1023">
        <f>+IF(OR(Datos[[#This Row],[Diagnostico]]="Inservible",Datos[[#This Row],[Estatus]]="Preventivo"),0,Datos[[#This Row],[Fecha_Final]]-Datos[[#This Row],[Día_Inicio]])</f>
        <v>0</v>
      </c>
      <c r="R1023" s="2">
        <v>0</v>
      </c>
      <c r="S1023" s="2">
        <v>0</v>
      </c>
      <c r="T1023" t="s">
        <v>29</v>
      </c>
    </row>
    <row r="1024" spans="1:20" x14ac:dyDescent="0.25">
      <c r="A1024" t="s">
        <v>1210</v>
      </c>
      <c r="B1024" s="1">
        <v>45281</v>
      </c>
      <c r="C1024" t="s">
        <v>1155</v>
      </c>
      <c r="D1024">
        <v>12</v>
      </c>
      <c r="E1024" t="str">
        <f>+CONCATENATE("T",ROUNDUP(MONTH(Datos[[#This Row],[Fecha]])/3,0))</f>
        <v>T4</v>
      </c>
      <c r="F1024" t="str">
        <f>+CONCATENATE("Sem"," ",ROUNDUP(MONTH(Datos[[#This Row],[Fecha]])/6,0))</f>
        <v>Sem 2</v>
      </c>
      <c r="G1024" t="s">
        <v>141</v>
      </c>
      <c r="H1024" t="s">
        <v>142</v>
      </c>
      <c r="I1024" t="s">
        <v>24</v>
      </c>
      <c r="J1024" t="s">
        <v>143</v>
      </c>
      <c r="K1024" t="s">
        <v>85</v>
      </c>
      <c r="L1024" t="s">
        <v>27</v>
      </c>
      <c r="M1024">
        <v>0</v>
      </c>
      <c r="N1024" s="1">
        <v>45281</v>
      </c>
      <c r="O1024" s="1">
        <v>45283</v>
      </c>
      <c r="P1024" t="s">
        <v>58</v>
      </c>
      <c r="Q1024">
        <f>+IF(OR(Datos[[#This Row],[Diagnostico]]="Inservible",Datos[[#This Row],[Estatus]]="Preventivo"),0,Datos[[#This Row],[Fecha_Final]]-Datos[[#This Row],[Día_Inicio]])</f>
        <v>2</v>
      </c>
      <c r="R1024" s="2">
        <v>533</v>
      </c>
      <c r="S1024" s="2">
        <v>767</v>
      </c>
      <c r="T1024" t="s">
        <v>91</v>
      </c>
    </row>
    <row r="1025" spans="1:20" x14ac:dyDescent="0.25">
      <c r="A1025" t="s">
        <v>1211</v>
      </c>
      <c r="B1025" s="1">
        <v>45281</v>
      </c>
      <c r="C1025" t="s">
        <v>1155</v>
      </c>
      <c r="D1025">
        <v>12</v>
      </c>
      <c r="E1025" t="str">
        <f>+CONCATENATE("T",ROUNDUP(MONTH(Datos[[#This Row],[Fecha]])/3,0))</f>
        <v>T4</v>
      </c>
      <c r="F1025" t="str">
        <f>+CONCATENATE("Sem"," ",ROUNDUP(MONTH(Datos[[#This Row],[Fecha]])/6,0))</f>
        <v>Sem 2</v>
      </c>
      <c r="G1025" t="s">
        <v>183</v>
      </c>
      <c r="H1025" t="s">
        <v>184</v>
      </c>
      <c r="I1025" t="s">
        <v>24</v>
      </c>
      <c r="J1025" t="s">
        <v>139</v>
      </c>
      <c r="K1025" t="s">
        <v>90</v>
      </c>
      <c r="L1025" t="s">
        <v>27</v>
      </c>
      <c r="M1025">
        <v>0</v>
      </c>
      <c r="N1025" s="1">
        <v>45281</v>
      </c>
      <c r="O1025" s="1">
        <v>45300</v>
      </c>
      <c r="P1025" t="s">
        <v>28</v>
      </c>
      <c r="Q1025">
        <f>+IF(OR(Datos[[#This Row],[Diagnostico]]="Inservible",Datos[[#This Row],[Estatus]]="Preventivo"),0,Datos[[#This Row],[Fecha_Final]]-Datos[[#This Row],[Día_Inicio]])</f>
        <v>0</v>
      </c>
      <c r="R1025" s="2">
        <v>0</v>
      </c>
      <c r="S1025" s="2">
        <v>0</v>
      </c>
      <c r="T1025" t="s">
        <v>29</v>
      </c>
    </row>
    <row r="1026" spans="1:20" x14ac:dyDescent="0.25">
      <c r="A1026" t="s">
        <v>1212</v>
      </c>
      <c r="B1026" s="1">
        <v>45281</v>
      </c>
      <c r="C1026" t="s">
        <v>1155</v>
      </c>
      <c r="D1026">
        <v>12</v>
      </c>
      <c r="E1026" t="str">
        <f>+CONCATENATE("T",ROUNDUP(MONTH(Datos[[#This Row],[Fecha]])/3,0))</f>
        <v>T4</v>
      </c>
      <c r="F1026" t="str">
        <f>+CONCATENATE("Sem"," ",ROUNDUP(MONTH(Datos[[#This Row],[Fecha]])/6,0))</f>
        <v>Sem 2</v>
      </c>
      <c r="G1026" t="s">
        <v>180</v>
      </c>
      <c r="H1026" t="s">
        <v>181</v>
      </c>
      <c r="I1026" t="s">
        <v>24</v>
      </c>
      <c r="J1026" t="s">
        <v>127</v>
      </c>
      <c r="K1026" t="s">
        <v>172</v>
      </c>
      <c r="L1026" t="s">
        <v>27</v>
      </c>
      <c r="M1026">
        <v>0</v>
      </c>
      <c r="N1026" s="1">
        <v>45281</v>
      </c>
      <c r="O1026" s="1">
        <v>45309</v>
      </c>
      <c r="P1026" t="s">
        <v>58</v>
      </c>
      <c r="Q1026">
        <f>+IF(OR(Datos[[#This Row],[Diagnostico]]="Inservible",Datos[[#This Row],[Estatus]]="Preventivo"),0,Datos[[#This Row],[Fecha_Final]]-Datos[[#This Row],[Día_Inicio]])</f>
        <v>28</v>
      </c>
      <c r="R1026" s="2">
        <v>1061</v>
      </c>
      <c r="S1026" s="2">
        <v>700</v>
      </c>
      <c r="T1026" t="s">
        <v>42</v>
      </c>
    </row>
    <row r="1027" spans="1:20" x14ac:dyDescent="0.25">
      <c r="A1027" t="s">
        <v>1213</v>
      </c>
      <c r="B1027" s="1">
        <v>45281</v>
      </c>
      <c r="C1027" t="s">
        <v>1155</v>
      </c>
      <c r="D1027">
        <v>12</v>
      </c>
      <c r="E1027" t="str">
        <f>+CONCATENATE("T",ROUNDUP(MONTH(Datos[[#This Row],[Fecha]])/3,0))</f>
        <v>T4</v>
      </c>
      <c r="F1027" t="str">
        <f>+CONCATENATE("Sem"," ",ROUNDUP(MONTH(Datos[[#This Row],[Fecha]])/6,0))</f>
        <v>Sem 2</v>
      </c>
      <c r="G1027" t="s">
        <v>202</v>
      </c>
      <c r="H1027" t="s">
        <v>203</v>
      </c>
      <c r="I1027" t="s">
        <v>24</v>
      </c>
      <c r="J1027" t="s">
        <v>204</v>
      </c>
      <c r="K1027" t="s">
        <v>97</v>
      </c>
      <c r="L1027" t="s">
        <v>27</v>
      </c>
      <c r="M1027">
        <v>0</v>
      </c>
      <c r="N1027" s="1">
        <v>45281</v>
      </c>
      <c r="O1027" s="1">
        <v>45311</v>
      </c>
      <c r="P1027" t="s">
        <v>58</v>
      </c>
      <c r="Q1027">
        <f>+IF(OR(Datos[[#This Row],[Diagnostico]]="Inservible",Datos[[#This Row],[Estatus]]="Preventivo"),0,Datos[[#This Row],[Fecha_Final]]-Datos[[#This Row],[Día_Inicio]])</f>
        <v>30</v>
      </c>
      <c r="R1027" s="2">
        <v>1176</v>
      </c>
      <c r="S1027" s="2">
        <v>588</v>
      </c>
      <c r="T1027" t="s">
        <v>64</v>
      </c>
    </row>
    <row r="1028" spans="1:20" x14ac:dyDescent="0.25">
      <c r="A1028" t="s">
        <v>1214</v>
      </c>
      <c r="B1028" s="1">
        <v>45282</v>
      </c>
      <c r="C1028" t="s">
        <v>1155</v>
      </c>
      <c r="D1028">
        <v>12</v>
      </c>
      <c r="E1028" t="str">
        <f>+CONCATENATE("T",ROUNDUP(MONTH(Datos[[#This Row],[Fecha]])/3,0))</f>
        <v>T4</v>
      </c>
      <c r="F1028" t="str">
        <f>+CONCATENATE("Sem"," ",ROUNDUP(MONTH(Datos[[#This Row],[Fecha]])/6,0))</f>
        <v>Sem 2</v>
      </c>
      <c r="G1028" t="s">
        <v>225</v>
      </c>
      <c r="H1028" t="s">
        <v>226</v>
      </c>
      <c r="I1028" t="s">
        <v>227</v>
      </c>
      <c r="J1028" t="s">
        <v>89</v>
      </c>
      <c r="K1028" t="s">
        <v>178</v>
      </c>
      <c r="L1028" t="s">
        <v>27</v>
      </c>
      <c r="M1028">
        <v>0</v>
      </c>
      <c r="N1028" s="1">
        <v>45282</v>
      </c>
      <c r="O1028" s="1">
        <v>45309</v>
      </c>
      <c r="P1028" t="s">
        <v>58</v>
      </c>
      <c r="Q1028">
        <f>+IF(OR(Datos[[#This Row],[Diagnostico]]="Inservible",Datos[[#This Row],[Estatus]]="Preventivo"),0,Datos[[#This Row],[Fecha_Final]]-Datos[[#This Row],[Día_Inicio]])</f>
        <v>27</v>
      </c>
      <c r="R1028" s="2">
        <v>658</v>
      </c>
      <c r="S1028" s="2">
        <v>940</v>
      </c>
      <c r="T1028" t="s">
        <v>91</v>
      </c>
    </row>
    <row r="1029" spans="1:20" x14ac:dyDescent="0.25">
      <c r="A1029" t="s">
        <v>1215</v>
      </c>
      <c r="B1029" s="1">
        <v>45283</v>
      </c>
      <c r="C1029" t="s">
        <v>1155</v>
      </c>
      <c r="D1029">
        <v>12</v>
      </c>
      <c r="E1029" t="str">
        <f>+CONCATENATE("T",ROUNDUP(MONTH(Datos[[#This Row],[Fecha]])/3,0))</f>
        <v>T4</v>
      </c>
      <c r="F1029" t="str">
        <f>+CONCATENATE("Sem"," ",ROUNDUP(MONTH(Datos[[#This Row],[Fecha]])/6,0))</f>
        <v>Sem 2</v>
      </c>
      <c r="G1029" t="s">
        <v>61</v>
      </c>
      <c r="H1029" t="s">
        <v>62</v>
      </c>
      <c r="I1029" t="s">
        <v>24</v>
      </c>
      <c r="J1029" t="s">
        <v>46</v>
      </c>
      <c r="K1029" t="s">
        <v>108</v>
      </c>
      <c r="L1029" t="s">
        <v>27</v>
      </c>
      <c r="M1029">
        <v>0</v>
      </c>
      <c r="N1029" s="1">
        <v>45283</v>
      </c>
      <c r="O1029" s="1">
        <v>45303</v>
      </c>
      <c r="P1029" t="s">
        <v>58</v>
      </c>
      <c r="Q1029">
        <f>+IF(OR(Datos[[#This Row],[Diagnostico]]="Inservible",Datos[[#This Row],[Estatus]]="Preventivo"),0,Datos[[#This Row],[Fecha_Final]]-Datos[[#This Row],[Día_Inicio]])</f>
        <v>20</v>
      </c>
      <c r="R1029" s="2">
        <v>1035</v>
      </c>
      <c r="S1029" s="2">
        <v>714</v>
      </c>
      <c r="T1029" t="s">
        <v>91</v>
      </c>
    </row>
    <row r="1030" spans="1:20" x14ac:dyDescent="0.25">
      <c r="A1030" t="s">
        <v>1216</v>
      </c>
      <c r="B1030" s="1">
        <v>45283</v>
      </c>
      <c r="C1030" t="s">
        <v>1155</v>
      </c>
      <c r="D1030">
        <v>12</v>
      </c>
      <c r="E1030" t="str">
        <f>+CONCATENATE("T",ROUNDUP(MONTH(Datos[[#This Row],[Fecha]])/3,0))</f>
        <v>T4</v>
      </c>
      <c r="F1030" t="str">
        <f>+CONCATENATE("Sem"," ",ROUNDUP(MONTH(Datos[[#This Row],[Fecha]])/6,0))</f>
        <v>Sem 2</v>
      </c>
      <c r="G1030" t="s">
        <v>202</v>
      </c>
      <c r="H1030" t="s">
        <v>203</v>
      </c>
      <c r="I1030" t="s">
        <v>24</v>
      </c>
      <c r="J1030" t="s">
        <v>204</v>
      </c>
      <c r="K1030" t="s">
        <v>39</v>
      </c>
      <c r="L1030" t="s">
        <v>40</v>
      </c>
      <c r="M1030" t="s">
        <v>103</v>
      </c>
      <c r="N1030" s="1">
        <v>45283</v>
      </c>
      <c r="O1030" s="1">
        <v>45298</v>
      </c>
      <c r="P1030" t="s">
        <v>29</v>
      </c>
      <c r="Q1030">
        <f>+IF(OR(Datos[[#This Row],[Diagnostico]]="Inservible",Datos[[#This Row],[Estatus]]="Preventivo"),0,Datos[[#This Row],[Fecha_Final]]-Datos[[#This Row],[Día_Inicio]])</f>
        <v>0</v>
      </c>
      <c r="R1030" s="2">
        <v>481</v>
      </c>
      <c r="S1030" s="2">
        <v>422</v>
      </c>
      <c r="T1030" t="s">
        <v>42</v>
      </c>
    </row>
    <row r="1031" spans="1:20" x14ac:dyDescent="0.25">
      <c r="A1031" t="s">
        <v>1217</v>
      </c>
      <c r="B1031" s="1">
        <v>45284</v>
      </c>
      <c r="C1031" t="s">
        <v>1155</v>
      </c>
      <c r="D1031">
        <v>12</v>
      </c>
      <c r="E1031" t="str">
        <f>+CONCATENATE("T",ROUNDUP(MONTH(Datos[[#This Row],[Fecha]])/3,0))</f>
        <v>T4</v>
      </c>
      <c r="F1031" t="str">
        <f>+CONCATENATE("Sem"," ",ROUNDUP(MONTH(Datos[[#This Row],[Fecha]])/6,0))</f>
        <v>Sem 2</v>
      </c>
      <c r="G1031" t="s">
        <v>22</v>
      </c>
      <c r="H1031" t="s">
        <v>23</v>
      </c>
      <c r="I1031" t="s">
        <v>24</v>
      </c>
      <c r="J1031" t="s">
        <v>25</v>
      </c>
      <c r="K1031" t="s">
        <v>114</v>
      </c>
      <c r="L1031" t="s">
        <v>27</v>
      </c>
      <c r="M1031">
        <v>0</v>
      </c>
      <c r="N1031" s="1">
        <v>45284</v>
      </c>
      <c r="O1031" s="1">
        <v>45295</v>
      </c>
      <c r="P1031" t="s">
        <v>28</v>
      </c>
      <c r="Q1031">
        <f>+IF(OR(Datos[[#This Row],[Diagnostico]]="Inservible",Datos[[#This Row],[Estatus]]="Preventivo"),0,Datos[[#This Row],[Fecha_Final]]-Datos[[#This Row],[Día_Inicio]])</f>
        <v>0</v>
      </c>
      <c r="R1031" s="2">
        <v>0</v>
      </c>
      <c r="S1031" s="2">
        <v>0</v>
      </c>
      <c r="T1031" t="s">
        <v>29</v>
      </c>
    </row>
    <row r="1032" spans="1:20" x14ac:dyDescent="0.25">
      <c r="A1032" t="s">
        <v>1218</v>
      </c>
      <c r="B1032" s="1">
        <v>45284</v>
      </c>
      <c r="C1032" t="s">
        <v>1155</v>
      </c>
      <c r="D1032">
        <v>12</v>
      </c>
      <c r="E1032" t="str">
        <f>+CONCATENATE("T",ROUNDUP(MONTH(Datos[[#This Row],[Fecha]])/3,0))</f>
        <v>T4</v>
      </c>
      <c r="F1032" t="str">
        <f>+CONCATENATE("Sem"," ",ROUNDUP(MONTH(Datos[[#This Row],[Fecha]])/6,0))</f>
        <v>Sem 2</v>
      </c>
      <c r="G1032" t="s">
        <v>190</v>
      </c>
      <c r="H1032" t="s">
        <v>191</v>
      </c>
      <c r="I1032" t="s">
        <v>24</v>
      </c>
      <c r="J1032" t="s">
        <v>192</v>
      </c>
      <c r="K1032" t="s">
        <v>39</v>
      </c>
      <c r="L1032" t="s">
        <v>40</v>
      </c>
      <c r="M1032" t="s">
        <v>208</v>
      </c>
      <c r="N1032" s="1">
        <v>45284</v>
      </c>
      <c r="O1032" s="1">
        <v>45291</v>
      </c>
      <c r="P1032" t="s">
        <v>29</v>
      </c>
      <c r="Q1032">
        <f>+IF(OR(Datos[[#This Row],[Diagnostico]]="Inservible",Datos[[#This Row],[Estatus]]="Preventivo"),0,Datos[[#This Row],[Fecha_Final]]-Datos[[#This Row],[Día_Inicio]])</f>
        <v>0</v>
      </c>
      <c r="R1032" s="2">
        <v>351</v>
      </c>
      <c r="S1032" s="2">
        <v>217</v>
      </c>
      <c r="T1032" t="s">
        <v>42</v>
      </c>
    </row>
    <row r="1033" spans="1:20" x14ac:dyDescent="0.25">
      <c r="A1033" t="s">
        <v>1219</v>
      </c>
      <c r="B1033" s="1">
        <v>45284</v>
      </c>
      <c r="C1033" t="s">
        <v>1155</v>
      </c>
      <c r="D1033">
        <v>12</v>
      </c>
      <c r="E1033" t="str">
        <f>+CONCATENATE("T",ROUNDUP(MONTH(Datos[[#This Row],[Fecha]])/3,0))</f>
        <v>T4</v>
      </c>
      <c r="F1033" t="str">
        <f>+CONCATENATE("Sem"," ",ROUNDUP(MONTH(Datos[[#This Row],[Fecha]])/6,0))</f>
        <v>Sem 2</v>
      </c>
      <c r="G1033" t="s">
        <v>237</v>
      </c>
      <c r="H1033" t="s">
        <v>238</v>
      </c>
      <c r="I1033" t="s">
        <v>24</v>
      </c>
      <c r="J1033" t="s">
        <v>177</v>
      </c>
      <c r="K1033" t="s">
        <v>123</v>
      </c>
      <c r="L1033" t="s">
        <v>27</v>
      </c>
      <c r="M1033">
        <v>0</v>
      </c>
      <c r="N1033" s="1">
        <v>45284</v>
      </c>
      <c r="O1033" s="1">
        <v>45285</v>
      </c>
      <c r="P1033" t="s">
        <v>58</v>
      </c>
      <c r="Q1033">
        <f>+IF(OR(Datos[[#This Row],[Diagnostico]]="Inservible",Datos[[#This Row],[Estatus]]="Preventivo"),0,Datos[[#This Row],[Fecha_Final]]-Datos[[#This Row],[Día_Inicio]])</f>
        <v>1</v>
      </c>
      <c r="R1033" s="2">
        <v>655</v>
      </c>
      <c r="S1033" s="2">
        <v>927</v>
      </c>
      <c r="T1033" t="s">
        <v>91</v>
      </c>
    </row>
    <row r="1034" spans="1:20" x14ac:dyDescent="0.25">
      <c r="A1034" t="s">
        <v>1220</v>
      </c>
      <c r="B1034" s="1">
        <v>45284</v>
      </c>
      <c r="C1034" t="s">
        <v>1155</v>
      </c>
      <c r="D1034">
        <v>12</v>
      </c>
      <c r="E1034" t="str">
        <f>+CONCATENATE("T",ROUNDUP(MONTH(Datos[[#This Row],[Fecha]])/3,0))</f>
        <v>T4</v>
      </c>
      <c r="F1034" t="str">
        <f>+CONCATENATE("Sem"," ",ROUNDUP(MONTH(Datos[[#This Row],[Fecha]])/6,0))</f>
        <v>Sem 2</v>
      </c>
      <c r="G1034" t="s">
        <v>125</v>
      </c>
      <c r="H1034" t="s">
        <v>126</v>
      </c>
      <c r="I1034" t="s">
        <v>24</v>
      </c>
      <c r="J1034" t="s">
        <v>127</v>
      </c>
      <c r="K1034" t="s">
        <v>39</v>
      </c>
      <c r="L1034" t="s">
        <v>40</v>
      </c>
      <c r="M1034" t="s">
        <v>41</v>
      </c>
      <c r="N1034" s="1">
        <v>45284</v>
      </c>
      <c r="O1034" s="1">
        <v>45374</v>
      </c>
      <c r="P1034" t="s">
        <v>29</v>
      </c>
      <c r="Q1034">
        <f>+IF(OR(Datos[[#This Row],[Diagnostico]]="Inservible",Datos[[#This Row],[Estatus]]="Preventivo"),0,Datos[[#This Row],[Fecha_Final]]-Datos[[#This Row],[Día_Inicio]])</f>
        <v>0</v>
      </c>
      <c r="R1034" s="2">
        <v>217</v>
      </c>
      <c r="S1034" s="2">
        <v>862</v>
      </c>
      <c r="T1034" t="s">
        <v>42</v>
      </c>
    </row>
    <row r="1035" spans="1:20" x14ac:dyDescent="0.25">
      <c r="A1035" t="s">
        <v>1221</v>
      </c>
      <c r="B1035" s="1">
        <v>45284</v>
      </c>
      <c r="C1035" t="s">
        <v>1155</v>
      </c>
      <c r="D1035">
        <v>12</v>
      </c>
      <c r="E1035" t="str">
        <f>+CONCATENATE("T",ROUNDUP(MONTH(Datos[[#This Row],[Fecha]])/3,0))</f>
        <v>T4</v>
      </c>
      <c r="F1035" t="str">
        <f>+CONCATENATE("Sem"," ",ROUNDUP(MONTH(Datos[[#This Row],[Fecha]])/6,0))</f>
        <v>Sem 2</v>
      </c>
      <c r="G1035" t="s">
        <v>283</v>
      </c>
      <c r="H1035" t="s">
        <v>284</v>
      </c>
      <c r="I1035" t="s">
        <v>24</v>
      </c>
      <c r="J1035" t="s">
        <v>192</v>
      </c>
      <c r="K1035" t="s">
        <v>130</v>
      </c>
      <c r="L1035" t="s">
        <v>27</v>
      </c>
      <c r="M1035">
        <v>0</v>
      </c>
      <c r="N1035" s="1">
        <v>45284</v>
      </c>
      <c r="O1035" s="1">
        <v>45294</v>
      </c>
      <c r="P1035" t="s">
        <v>58</v>
      </c>
      <c r="Q1035">
        <f>+IF(OR(Datos[[#This Row],[Diagnostico]]="Inservible",Datos[[#This Row],[Estatus]]="Preventivo"),0,Datos[[#This Row],[Fecha_Final]]-Datos[[#This Row],[Día_Inicio]])</f>
        <v>10</v>
      </c>
      <c r="R1035" s="2">
        <v>875</v>
      </c>
      <c r="S1035" s="2">
        <v>404</v>
      </c>
      <c r="T1035" t="s">
        <v>91</v>
      </c>
    </row>
    <row r="1036" spans="1:20" x14ac:dyDescent="0.25">
      <c r="A1036" t="s">
        <v>1222</v>
      </c>
      <c r="B1036" s="1">
        <v>45285</v>
      </c>
      <c r="C1036" t="s">
        <v>1155</v>
      </c>
      <c r="D1036">
        <v>12</v>
      </c>
      <c r="E1036" t="str">
        <f>+CONCATENATE("T",ROUNDUP(MONTH(Datos[[#This Row],[Fecha]])/3,0))</f>
        <v>T4</v>
      </c>
      <c r="F1036" t="str">
        <f>+CONCATENATE("Sem"," ",ROUNDUP(MONTH(Datos[[#This Row],[Fecha]])/6,0))</f>
        <v>Sem 2</v>
      </c>
      <c r="G1036" t="s">
        <v>94</v>
      </c>
      <c r="H1036" t="s">
        <v>95</v>
      </c>
      <c r="I1036" t="s">
        <v>68</v>
      </c>
      <c r="J1036" t="s">
        <v>96</v>
      </c>
      <c r="K1036" t="s">
        <v>39</v>
      </c>
      <c r="L1036" t="s">
        <v>40</v>
      </c>
      <c r="M1036" t="s">
        <v>75</v>
      </c>
      <c r="N1036" s="1">
        <v>45285</v>
      </c>
      <c r="O1036" s="1">
        <v>45645</v>
      </c>
      <c r="P1036" t="s">
        <v>29</v>
      </c>
      <c r="Q1036">
        <f>+IF(OR(Datos[[#This Row],[Diagnostico]]="Inservible",Datos[[#This Row],[Estatus]]="Preventivo"),0,Datos[[#This Row],[Fecha_Final]]-Datos[[#This Row],[Día_Inicio]])</f>
        <v>0</v>
      </c>
      <c r="R1036" s="2">
        <v>924</v>
      </c>
      <c r="S1036" s="2">
        <v>114</v>
      </c>
      <c r="T1036" t="s">
        <v>42</v>
      </c>
    </row>
    <row r="1037" spans="1:20" x14ac:dyDescent="0.25">
      <c r="A1037" t="s">
        <v>1223</v>
      </c>
      <c r="B1037" s="1">
        <v>45285</v>
      </c>
      <c r="C1037" t="s">
        <v>1155</v>
      </c>
      <c r="D1037">
        <v>12</v>
      </c>
      <c r="E1037" t="str">
        <f>+CONCATENATE("T",ROUNDUP(MONTH(Datos[[#This Row],[Fecha]])/3,0))</f>
        <v>T4</v>
      </c>
      <c r="F1037" t="str">
        <f>+CONCATENATE("Sem"," ",ROUNDUP(MONTH(Datos[[#This Row],[Fecha]])/6,0))</f>
        <v>Sem 2</v>
      </c>
      <c r="G1037" t="s">
        <v>116</v>
      </c>
      <c r="H1037" t="s">
        <v>117</v>
      </c>
      <c r="I1037" t="s">
        <v>24</v>
      </c>
      <c r="J1037" t="s">
        <v>118</v>
      </c>
      <c r="K1037" t="s">
        <v>26</v>
      </c>
      <c r="L1037" t="s">
        <v>27</v>
      </c>
      <c r="M1037">
        <v>0</v>
      </c>
      <c r="N1037" s="1">
        <v>45285</v>
      </c>
      <c r="O1037" s="1">
        <v>45288</v>
      </c>
      <c r="P1037" t="s">
        <v>28</v>
      </c>
      <c r="Q1037">
        <f>+IF(OR(Datos[[#This Row],[Diagnostico]]="Inservible",Datos[[#This Row],[Estatus]]="Preventivo"),0,Datos[[#This Row],[Fecha_Final]]-Datos[[#This Row],[Día_Inicio]])</f>
        <v>0</v>
      </c>
      <c r="R1037" s="2">
        <v>0</v>
      </c>
      <c r="S1037" s="2">
        <v>0</v>
      </c>
      <c r="T1037" t="s">
        <v>29</v>
      </c>
    </row>
    <row r="1038" spans="1:20" x14ac:dyDescent="0.25">
      <c r="A1038" t="s">
        <v>1224</v>
      </c>
      <c r="B1038" s="1">
        <v>45285</v>
      </c>
      <c r="C1038" t="s">
        <v>1155</v>
      </c>
      <c r="D1038">
        <v>12</v>
      </c>
      <c r="E1038" t="str">
        <f>+CONCATENATE("T",ROUNDUP(MONTH(Datos[[#This Row],[Fecha]])/3,0))</f>
        <v>T4</v>
      </c>
      <c r="F1038" t="str">
        <f>+CONCATENATE("Sem"," ",ROUNDUP(MONTH(Datos[[#This Row],[Fecha]])/6,0))</f>
        <v>Sem 2</v>
      </c>
      <c r="G1038" t="s">
        <v>237</v>
      </c>
      <c r="H1038" t="s">
        <v>238</v>
      </c>
      <c r="I1038" t="s">
        <v>24</v>
      </c>
      <c r="J1038" t="s">
        <v>177</v>
      </c>
      <c r="K1038" t="s">
        <v>34</v>
      </c>
      <c r="L1038" t="s">
        <v>27</v>
      </c>
      <c r="M1038">
        <v>0</v>
      </c>
      <c r="N1038" s="1">
        <v>45285</v>
      </c>
      <c r="O1038" s="1">
        <v>45304</v>
      </c>
      <c r="P1038" t="s">
        <v>28</v>
      </c>
      <c r="Q1038">
        <f>+IF(OR(Datos[[#This Row],[Diagnostico]]="Inservible",Datos[[#This Row],[Estatus]]="Preventivo"),0,Datos[[#This Row],[Fecha_Final]]-Datos[[#This Row],[Día_Inicio]])</f>
        <v>0</v>
      </c>
      <c r="R1038" s="2">
        <v>0</v>
      </c>
      <c r="S1038" s="2">
        <v>0</v>
      </c>
      <c r="T1038" t="s">
        <v>29</v>
      </c>
    </row>
    <row r="1039" spans="1:20" x14ac:dyDescent="0.25">
      <c r="A1039" t="s">
        <v>1225</v>
      </c>
      <c r="B1039" s="1">
        <v>45286</v>
      </c>
      <c r="C1039" t="s">
        <v>1155</v>
      </c>
      <c r="D1039">
        <v>12</v>
      </c>
      <c r="E1039" t="str">
        <f>+CONCATENATE("T",ROUNDUP(MONTH(Datos[[#This Row],[Fecha]])/3,0))</f>
        <v>T4</v>
      </c>
      <c r="F1039" t="str">
        <f>+CONCATENATE("Sem"," ",ROUNDUP(MONTH(Datos[[#This Row],[Fecha]])/6,0))</f>
        <v>Sem 2</v>
      </c>
      <c r="G1039" t="s">
        <v>164</v>
      </c>
      <c r="H1039" t="s">
        <v>165</v>
      </c>
      <c r="I1039" t="s">
        <v>24</v>
      </c>
      <c r="J1039" t="s">
        <v>166</v>
      </c>
      <c r="K1039" t="s">
        <v>39</v>
      </c>
      <c r="L1039" t="s">
        <v>27</v>
      </c>
      <c r="M1039">
        <v>0</v>
      </c>
      <c r="N1039" s="1">
        <v>45286</v>
      </c>
      <c r="O1039" s="1">
        <v>45299</v>
      </c>
      <c r="P1039" t="s">
        <v>28</v>
      </c>
      <c r="Q1039">
        <f>+IF(OR(Datos[[#This Row],[Diagnostico]]="Inservible",Datos[[#This Row],[Estatus]]="Preventivo"),0,Datos[[#This Row],[Fecha_Final]]-Datos[[#This Row],[Día_Inicio]])</f>
        <v>0</v>
      </c>
      <c r="R1039" s="2">
        <v>0</v>
      </c>
      <c r="S1039" s="2">
        <v>0</v>
      </c>
      <c r="T1039" t="s">
        <v>29</v>
      </c>
    </row>
    <row r="1040" spans="1:20" x14ac:dyDescent="0.25">
      <c r="A1040" t="s">
        <v>1226</v>
      </c>
      <c r="B1040" s="1">
        <v>45286</v>
      </c>
      <c r="C1040" t="s">
        <v>1155</v>
      </c>
      <c r="D1040">
        <v>12</v>
      </c>
      <c r="E1040" t="str">
        <f>+CONCATENATE("T",ROUNDUP(MONTH(Datos[[#This Row],[Fecha]])/3,0))</f>
        <v>T4</v>
      </c>
      <c r="F1040" t="str">
        <f>+CONCATENATE("Sem"," ",ROUNDUP(MONTH(Datos[[#This Row],[Fecha]])/6,0))</f>
        <v>Sem 2</v>
      </c>
      <c r="G1040" t="s">
        <v>154</v>
      </c>
      <c r="H1040" t="s">
        <v>155</v>
      </c>
      <c r="I1040" t="s">
        <v>68</v>
      </c>
      <c r="J1040" t="s">
        <v>156</v>
      </c>
      <c r="K1040" t="s">
        <v>47</v>
      </c>
      <c r="L1040" t="s">
        <v>27</v>
      </c>
      <c r="M1040">
        <v>0</v>
      </c>
      <c r="N1040" s="1">
        <v>45286</v>
      </c>
      <c r="O1040" s="1">
        <v>45293</v>
      </c>
      <c r="P1040" t="s">
        <v>28</v>
      </c>
      <c r="Q1040">
        <f>+IF(OR(Datos[[#This Row],[Diagnostico]]="Inservible",Datos[[#This Row],[Estatus]]="Preventivo"),0,Datos[[#This Row],[Fecha_Final]]-Datos[[#This Row],[Día_Inicio]])</f>
        <v>0</v>
      </c>
      <c r="R1040" s="2">
        <v>0</v>
      </c>
      <c r="S1040" s="2">
        <v>0</v>
      </c>
      <c r="T1040" t="s">
        <v>29</v>
      </c>
    </row>
    <row r="1041" spans="1:20" x14ac:dyDescent="0.25">
      <c r="A1041" t="s">
        <v>1227</v>
      </c>
      <c r="B1041" s="1">
        <v>45286</v>
      </c>
      <c r="C1041" t="s">
        <v>1155</v>
      </c>
      <c r="D1041">
        <v>12</v>
      </c>
      <c r="E1041" t="str">
        <f>+CONCATENATE("T",ROUNDUP(MONTH(Datos[[#This Row],[Fecha]])/3,0))</f>
        <v>T4</v>
      </c>
      <c r="F1041" t="str">
        <f>+CONCATENATE("Sem"," ",ROUNDUP(MONTH(Datos[[#This Row],[Fecha]])/6,0))</f>
        <v>Sem 2</v>
      </c>
      <c r="G1041" t="s">
        <v>22</v>
      </c>
      <c r="H1041" t="s">
        <v>23</v>
      </c>
      <c r="I1041" t="s">
        <v>24</v>
      </c>
      <c r="J1041" t="s">
        <v>25</v>
      </c>
      <c r="K1041" t="s">
        <v>147</v>
      </c>
      <c r="L1041" t="s">
        <v>27</v>
      </c>
      <c r="M1041">
        <v>0</v>
      </c>
      <c r="N1041" s="1">
        <v>45286</v>
      </c>
      <c r="O1041" s="1">
        <v>45303</v>
      </c>
      <c r="P1041" t="s">
        <v>28</v>
      </c>
      <c r="Q1041">
        <f>+IF(OR(Datos[[#This Row],[Diagnostico]]="Inservible",Datos[[#This Row],[Estatus]]="Preventivo"),0,Datos[[#This Row],[Fecha_Final]]-Datos[[#This Row],[Día_Inicio]])</f>
        <v>0</v>
      </c>
      <c r="R1041" s="2">
        <v>0</v>
      </c>
      <c r="S1041" s="2">
        <v>0</v>
      </c>
      <c r="T1041" t="s">
        <v>29</v>
      </c>
    </row>
    <row r="1042" spans="1:20" x14ac:dyDescent="0.25">
      <c r="A1042" t="s">
        <v>1228</v>
      </c>
      <c r="B1042" s="1">
        <v>45287</v>
      </c>
      <c r="C1042" t="s">
        <v>1155</v>
      </c>
      <c r="D1042">
        <v>12</v>
      </c>
      <c r="E1042" t="str">
        <f>+CONCATENATE("T",ROUNDUP(MONTH(Datos[[#This Row],[Fecha]])/3,0))</f>
        <v>T4</v>
      </c>
      <c r="F1042" t="str">
        <f>+CONCATENATE("Sem"," ",ROUNDUP(MONTH(Datos[[#This Row],[Fecha]])/6,0))</f>
        <v>Sem 2</v>
      </c>
      <c r="G1042" t="s">
        <v>36</v>
      </c>
      <c r="H1042" t="s">
        <v>37</v>
      </c>
      <c r="I1042" t="s">
        <v>24</v>
      </c>
      <c r="J1042" t="s">
        <v>38</v>
      </c>
      <c r="K1042" t="s">
        <v>57</v>
      </c>
      <c r="L1042" t="s">
        <v>27</v>
      </c>
      <c r="M1042">
        <v>0</v>
      </c>
      <c r="N1042" s="1">
        <v>45287</v>
      </c>
      <c r="O1042" s="1">
        <v>45303</v>
      </c>
      <c r="P1042" t="s">
        <v>58</v>
      </c>
      <c r="Q1042">
        <f>+IF(OR(Datos[[#This Row],[Diagnostico]]="Inservible",Datos[[#This Row],[Estatus]]="Preventivo"),0,Datos[[#This Row],[Fecha_Final]]-Datos[[#This Row],[Día_Inicio]])</f>
        <v>16</v>
      </c>
      <c r="R1042" s="2">
        <v>1127</v>
      </c>
      <c r="S1042" s="2">
        <v>733</v>
      </c>
      <c r="T1042" t="s">
        <v>64</v>
      </c>
    </row>
    <row r="1043" spans="1:20" x14ac:dyDescent="0.25">
      <c r="A1043" t="s">
        <v>1229</v>
      </c>
      <c r="B1043" s="1">
        <v>45288</v>
      </c>
      <c r="C1043" t="s">
        <v>1155</v>
      </c>
      <c r="D1043">
        <v>12</v>
      </c>
      <c r="E1043" t="str">
        <f>+CONCATENATE("T",ROUNDUP(MONTH(Datos[[#This Row],[Fecha]])/3,0))</f>
        <v>T4</v>
      </c>
      <c r="F1043" t="str">
        <f>+CONCATENATE("Sem"," ",ROUNDUP(MONTH(Datos[[#This Row],[Fecha]])/6,0))</f>
        <v>Sem 2</v>
      </c>
      <c r="G1043" t="s">
        <v>246</v>
      </c>
      <c r="H1043" t="s">
        <v>247</v>
      </c>
      <c r="I1043" t="s">
        <v>24</v>
      </c>
      <c r="J1043" t="s">
        <v>156</v>
      </c>
      <c r="K1043" t="s">
        <v>63</v>
      </c>
      <c r="L1043" t="s">
        <v>27</v>
      </c>
      <c r="M1043">
        <v>0</v>
      </c>
      <c r="N1043" s="1">
        <v>45288</v>
      </c>
      <c r="O1043" s="1">
        <v>45308</v>
      </c>
      <c r="P1043" t="s">
        <v>28</v>
      </c>
      <c r="Q1043">
        <f>+IF(OR(Datos[[#This Row],[Diagnostico]]="Inservible",Datos[[#This Row],[Estatus]]="Preventivo"),0,Datos[[#This Row],[Fecha_Final]]-Datos[[#This Row],[Día_Inicio]])</f>
        <v>0</v>
      </c>
      <c r="R1043" s="2">
        <v>0</v>
      </c>
      <c r="S1043" s="2">
        <v>0</v>
      </c>
      <c r="T1043" t="s">
        <v>29</v>
      </c>
    </row>
    <row r="1044" spans="1:20" x14ac:dyDescent="0.25">
      <c r="A1044" t="s">
        <v>1230</v>
      </c>
      <c r="B1044" s="1">
        <v>45288</v>
      </c>
      <c r="C1044" t="s">
        <v>1155</v>
      </c>
      <c r="D1044">
        <v>12</v>
      </c>
      <c r="E1044" t="str">
        <f>+CONCATENATE("T",ROUNDUP(MONTH(Datos[[#This Row],[Fecha]])/3,0))</f>
        <v>T4</v>
      </c>
      <c r="F1044" t="str">
        <f>+CONCATENATE("Sem"," ",ROUNDUP(MONTH(Datos[[#This Row],[Fecha]])/6,0))</f>
        <v>Sem 2</v>
      </c>
      <c r="G1044" t="s">
        <v>132</v>
      </c>
      <c r="H1044" t="s">
        <v>133</v>
      </c>
      <c r="I1044" t="s">
        <v>24</v>
      </c>
      <c r="J1044" t="s">
        <v>134</v>
      </c>
      <c r="K1044" t="s">
        <v>70</v>
      </c>
      <c r="L1044" t="s">
        <v>27</v>
      </c>
      <c r="M1044">
        <v>0</v>
      </c>
      <c r="N1044" s="1">
        <v>45288</v>
      </c>
      <c r="O1044" s="1">
        <v>45300</v>
      </c>
      <c r="P1044" t="s">
        <v>28</v>
      </c>
      <c r="Q1044">
        <f>+IF(OR(Datos[[#This Row],[Diagnostico]]="Inservible",Datos[[#This Row],[Estatus]]="Preventivo"),0,Datos[[#This Row],[Fecha_Final]]-Datos[[#This Row],[Día_Inicio]])</f>
        <v>0</v>
      </c>
      <c r="R1044" s="2">
        <v>0</v>
      </c>
      <c r="S1044" s="2">
        <v>0</v>
      </c>
      <c r="T1044" t="s">
        <v>29</v>
      </c>
    </row>
    <row r="1045" spans="1:20" x14ac:dyDescent="0.25">
      <c r="A1045" t="s">
        <v>1231</v>
      </c>
      <c r="B1045" s="1">
        <v>45288</v>
      </c>
      <c r="C1045" t="s">
        <v>1155</v>
      </c>
      <c r="D1045">
        <v>12</v>
      </c>
      <c r="E1045" t="str">
        <f>+CONCATENATE("T",ROUNDUP(MONTH(Datos[[#This Row],[Fecha]])/3,0))</f>
        <v>T4</v>
      </c>
      <c r="F1045" t="str">
        <f>+CONCATENATE("Sem"," ",ROUNDUP(MONTH(Datos[[#This Row],[Fecha]])/6,0))</f>
        <v>Sem 2</v>
      </c>
      <c r="G1045" t="s">
        <v>154</v>
      </c>
      <c r="H1045" t="s">
        <v>155</v>
      </c>
      <c r="I1045" t="s">
        <v>68</v>
      </c>
      <c r="J1045" t="s">
        <v>156</v>
      </c>
      <c r="K1045" t="s">
        <v>161</v>
      </c>
      <c r="L1045" t="s">
        <v>27</v>
      </c>
      <c r="M1045">
        <v>0</v>
      </c>
      <c r="N1045" s="1">
        <v>45288</v>
      </c>
      <c r="O1045" s="1">
        <v>45305</v>
      </c>
      <c r="P1045" t="s">
        <v>58</v>
      </c>
      <c r="Q1045">
        <f>+IF(OR(Datos[[#This Row],[Diagnostico]]="Inservible",Datos[[#This Row],[Estatus]]="Preventivo"),0,Datos[[#This Row],[Fecha_Final]]-Datos[[#This Row],[Día_Inicio]])</f>
        <v>17</v>
      </c>
      <c r="R1045" s="2">
        <v>348</v>
      </c>
      <c r="S1045" s="2">
        <v>513</v>
      </c>
      <c r="T1045" t="s">
        <v>42</v>
      </c>
    </row>
    <row r="1046" spans="1:20" x14ac:dyDescent="0.25">
      <c r="A1046" t="s">
        <v>1232</v>
      </c>
      <c r="B1046" s="1">
        <v>45288</v>
      </c>
      <c r="C1046" t="s">
        <v>1155</v>
      </c>
      <c r="D1046">
        <v>12</v>
      </c>
      <c r="E1046" t="str">
        <f>+CONCATENATE("T",ROUNDUP(MONTH(Datos[[#This Row],[Fecha]])/3,0))</f>
        <v>T4</v>
      </c>
      <c r="F1046" t="str">
        <f>+CONCATENATE("Sem"," ",ROUNDUP(MONTH(Datos[[#This Row],[Fecha]])/6,0))</f>
        <v>Sem 2</v>
      </c>
      <c r="G1046" t="s">
        <v>99</v>
      </c>
      <c r="H1046" t="s">
        <v>100</v>
      </c>
      <c r="I1046" t="s">
        <v>101</v>
      </c>
      <c r="J1046" t="s">
        <v>102</v>
      </c>
      <c r="K1046" t="s">
        <v>80</v>
      </c>
      <c r="L1046" t="s">
        <v>27</v>
      </c>
      <c r="M1046">
        <v>0</v>
      </c>
      <c r="N1046" s="1">
        <v>45288</v>
      </c>
      <c r="O1046" s="1">
        <v>45297</v>
      </c>
      <c r="P1046" t="s">
        <v>28</v>
      </c>
      <c r="Q1046">
        <f>+IF(OR(Datos[[#This Row],[Diagnostico]]="Inservible",Datos[[#This Row],[Estatus]]="Preventivo"),0,Datos[[#This Row],[Fecha_Final]]-Datos[[#This Row],[Día_Inicio]])</f>
        <v>0</v>
      </c>
      <c r="R1046" s="2">
        <v>0</v>
      </c>
      <c r="S1046" s="2">
        <v>0</v>
      </c>
      <c r="T1046" t="s">
        <v>29</v>
      </c>
    </row>
    <row r="1047" spans="1:20" x14ac:dyDescent="0.25">
      <c r="A1047" t="s">
        <v>1233</v>
      </c>
      <c r="B1047" s="1">
        <v>45288</v>
      </c>
      <c r="C1047" t="s">
        <v>1155</v>
      </c>
      <c r="D1047">
        <v>12</v>
      </c>
      <c r="E1047" t="str">
        <f>+CONCATENATE("T",ROUNDUP(MONTH(Datos[[#This Row],[Fecha]])/3,0))</f>
        <v>T4</v>
      </c>
      <c r="F1047" t="str">
        <f>+CONCATENATE("Sem"," ",ROUNDUP(MONTH(Datos[[#This Row],[Fecha]])/6,0))</f>
        <v>Sem 2</v>
      </c>
      <c r="G1047" t="s">
        <v>260</v>
      </c>
      <c r="H1047" t="s">
        <v>261</v>
      </c>
      <c r="I1047" t="s">
        <v>24</v>
      </c>
      <c r="J1047" t="s">
        <v>33</v>
      </c>
      <c r="K1047" t="s">
        <v>85</v>
      </c>
      <c r="L1047" t="s">
        <v>27</v>
      </c>
      <c r="M1047">
        <v>0</v>
      </c>
      <c r="N1047" s="1">
        <v>45288</v>
      </c>
      <c r="O1047" s="1">
        <v>45313</v>
      </c>
      <c r="P1047" t="s">
        <v>28</v>
      </c>
      <c r="Q1047">
        <f>+IF(OR(Datos[[#This Row],[Diagnostico]]="Inservible",Datos[[#This Row],[Estatus]]="Preventivo"),0,Datos[[#This Row],[Fecha_Final]]-Datos[[#This Row],[Día_Inicio]])</f>
        <v>0</v>
      </c>
      <c r="R1047" s="2">
        <v>0</v>
      </c>
      <c r="S1047" s="2">
        <v>0</v>
      </c>
      <c r="T1047" t="s">
        <v>29</v>
      </c>
    </row>
    <row r="1048" spans="1:20" x14ac:dyDescent="0.25">
      <c r="A1048" t="s">
        <v>1234</v>
      </c>
      <c r="B1048" s="1">
        <v>45288</v>
      </c>
      <c r="C1048" t="s">
        <v>1155</v>
      </c>
      <c r="D1048">
        <v>12</v>
      </c>
      <c r="E1048" t="str">
        <f>+CONCATENATE("T",ROUNDUP(MONTH(Datos[[#This Row],[Fecha]])/3,0))</f>
        <v>T4</v>
      </c>
      <c r="F1048" t="str">
        <f>+CONCATENATE("Sem"," ",ROUNDUP(MONTH(Datos[[#This Row],[Fecha]])/6,0))</f>
        <v>Sem 2</v>
      </c>
      <c r="G1048" t="s">
        <v>190</v>
      </c>
      <c r="H1048" t="s">
        <v>191</v>
      </c>
      <c r="I1048" t="s">
        <v>24</v>
      </c>
      <c r="J1048" t="s">
        <v>192</v>
      </c>
      <c r="K1048" t="s">
        <v>39</v>
      </c>
      <c r="L1048" t="s">
        <v>40</v>
      </c>
      <c r="M1048" t="s">
        <v>208</v>
      </c>
      <c r="N1048" s="1">
        <v>45288</v>
      </c>
      <c r="O1048" s="1">
        <v>45295</v>
      </c>
      <c r="P1048" t="s">
        <v>29</v>
      </c>
      <c r="Q1048">
        <f>+IF(OR(Datos[[#This Row],[Diagnostico]]="Inservible",Datos[[#This Row],[Estatus]]="Preventivo"),0,Datos[[#This Row],[Fecha_Final]]-Datos[[#This Row],[Día_Inicio]])</f>
        <v>0</v>
      </c>
      <c r="R1048" s="2">
        <v>605</v>
      </c>
      <c r="S1048" s="2">
        <v>669</v>
      </c>
      <c r="T1048" t="s">
        <v>42</v>
      </c>
    </row>
    <row r="1049" spans="1:20" x14ac:dyDescent="0.25">
      <c r="A1049" t="s">
        <v>1235</v>
      </c>
      <c r="B1049" s="1">
        <v>45289</v>
      </c>
      <c r="C1049" t="s">
        <v>1155</v>
      </c>
      <c r="D1049">
        <v>12</v>
      </c>
      <c r="E1049" t="str">
        <f>+CONCATENATE("T",ROUNDUP(MONTH(Datos[[#This Row],[Fecha]])/3,0))</f>
        <v>T4</v>
      </c>
      <c r="F1049" t="str">
        <f>+CONCATENATE("Sem"," ",ROUNDUP(MONTH(Datos[[#This Row],[Fecha]])/6,0))</f>
        <v>Sem 2</v>
      </c>
      <c r="G1049" t="s">
        <v>125</v>
      </c>
      <c r="H1049" t="s">
        <v>126</v>
      </c>
      <c r="I1049" t="s">
        <v>24</v>
      </c>
      <c r="J1049" t="s">
        <v>127</v>
      </c>
      <c r="K1049" t="s">
        <v>172</v>
      </c>
      <c r="L1049" t="s">
        <v>27</v>
      </c>
      <c r="M1049">
        <v>0</v>
      </c>
      <c r="N1049" s="1">
        <v>45289</v>
      </c>
      <c r="O1049" s="1">
        <v>45291</v>
      </c>
      <c r="P1049" t="s">
        <v>28</v>
      </c>
      <c r="Q1049">
        <f>+IF(OR(Datos[[#This Row],[Diagnostico]]="Inservible",Datos[[#This Row],[Estatus]]="Preventivo"),0,Datos[[#This Row],[Fecha_Final]]-Datos[[#This Row],[Día_Inicio]])</f>
        <v>0</v>
      </c>
      <c r="R1049" s="2">
        <v>0</v>
      </c>
      <c r="S1049" s="2">
        <v>0</v>
      </c>
      <c r="T1049" t="s">
        <v>29</v>
      </c>
    </row>
    <row r="1050" spans="1:20" x14ac:dyDescent="0.25">
      <c r="A1050" t="s">
        <v>1236</v>
      </c>
      <c r="B1050" s="1">
        <v>45289</v>
      </c>
      <c r="C1050" t="s">
        <v>1155</v>
      </c>
      <c r="D1050">
        <v>12</v>
      </c>
      <c r="E1050" t="str">
        <f>+CONCATENATE("T",ROUNDUP(MONTH(Datos[[#This Row],[Fecha]])/3,0))</f>
        <v>T4</v>
      </c>
      <c r="F1050" t="str">
        <f>+CONCATENATE("Sem"," ",ROUNDUP(MONTH(Datos[[#This Row],[Fecha]])/6,0))</f>
        <v>Sem 2</v>
      </c>
      <c r="G1050" t="s">
        <v>164</v>
      </c>
      <c r="H1050" t="s">
        <v>165</v>
      </c>
      <c r="I1050" t="s">
        <v>24</v>
      </c>
      <c r="J1050" t="s">
        <v>166</v>
      </c>
      <c r="K1050" t="s">
        <v>39</v>
      </c>
      <c r="L1050" t="s">
        <v>40</v>
      </c>
      <c r="M1050" t="s">
        <v>75</v>
      </c>
      <c r="N1050" s="1">
        <v>45289</v>
      </c>
      <c r="O1050" s="1">
        <v>45649</v>
      </c>
      <c r="P1050" t="s">
        <v>29</v>
      </c>
      <c r="Q1050">
        <f>+IF(OR(Datos[[#This Row],[Diagnostico]]="Inservible",Datos[[#This Row],[Estatus]]="Preventivo"),0,Datos[[#This Row],[Fecha_Final]]-Datos[[#This Row],[Día_Inicio]])</f>
        <v>0</v>
      </c>
      <c r="R1050" s="2">
        <v>695</v>
      </c>
      <c r="S1050" s="2">
        <v>870</v>
      </c>
      <c r="T1050" t="s">
        <v>42</v>
      </c>
    </row>
    <row r="1051" spans="1:20" x14ac:dyDescent="0.25">
      <c r="A1051" t="s">
        <v>1237</v>
      </c>
      <c r="B1051" s="1">
        <v>45289</v>
      </c>
      <c r="C1051" t="s">
        <v>1155</v>
      </c>
      <c r="D1051">
        <v>12</v>
      </c>
      <c r="E1051" t="str">
        <f>+CONCATENATE("T",ROUNDUP(MONTH(Datos[[#This Row],[Fecha]])/3,0))</f>
        <v>T4</v>
      </c>
      <c r="F1051" t="str">
        <f>+CONCATENATE("Sem"," ",ROUNDUP(MONTH(Datos[[#This Row],[Fecha]])/6,0))</f>
        <v>Sem 2</v>
      </c>
      <c r="G1051" t="s">
        <v>175</v>
      </c>
      <c r="H1051" t="s">
        <v>176</v>
      </c>
      <c r="I1051" t="s">
        <v>24</v>
      </c>
      <c r="J1051" t="s">
        <v>177</v>
      </c>
      <c r="K1051" t="s">
        <v>178</v>
      </c>
      <c r="L1051" t="s">
        <v>27</v>
      </c>
      <c r="M1051">
        <v>0</v>
      </c>
      <c r="N1051" s="1">
        <v>45289</v>
      </c>
      <c r="O1051" s="1">
        <v>45311</v>
      </c>
      <c r="P1051" t="s">
        <v>58</v>
      </c>
      <c r="Q1051">
        <f>+IF(OR(Datos[[#This Row],[Diagnostico]]="Inservible",Datos[[#This Row],[Estatus]]="Preventivo"),0,Datos[[#This Row],[Fecha_Final]]-Datos[[#This Row],[Día_Inicio]])</f>
        <v>22</v>
      </c>
      <c r="R1051" s="2">
        <v>1193</v>
      </c>
      <c r="S1051" s="2">
        <v>686</v>
      </c>
      <c r="T1051" t="s">
        <v>42</v>
      </c>
    </row>
    <row r="1052" spans="1:20" x14ac:dyDescent="0.25">
      <c r="A1052" t="s">
        <v>1238</v>
      </c>
      <c r="B1052" s="1">
        <v>45289</v>
      </c>
      <c r="C1052" t="s">
        <v>1155</v>
      </c>
      <c r="D1052">
        <v>12</v>
      </c>
      <c r="E1052" t="str">
        <f>+CONCATENATE("T",ROUNDUP(MONTH(Datos[[#This Row],[Fecha]])/3,0))</f>
        <v>T4</v>
      </c>
      <c r="F1052" t="str">
        <f>+CONCATENATE("Sem"," ",ROUNDUP(MONTH(Datos[[#This Row],[Fecha]])/6,0))</f>
        <v>Sem 2</v>
      </c>
      <c r="G1052" t="s">
        <v>331</v>
      </c>
      <c r="H1052" t="s">
        <v>332</v>
      </c>
      <c r="I1052" t="s">
        <v>68</v>
      </c>
      <c r="J1052" t="s">
        <v>74</v>
      </c>
      <c r="K1052" t="s">
        <v>108</v>
      </c>
      <c r="L1052" t="s">
        <v>27</v>
      </c>
      <c r="M1052">
        <v>0</v>
      </c>
      <c r="N1052" s="1">
        <v>45289</v>
      </c>
      <c r="O1052" s="1">
        <v>45294</v>
      </c>
      <c r="P1052" t="s">
        <v>28</v>
      </c>
      <c r="Q1052">
        <f>+IF(OR(Datos[[#This Row],[Diagnostico]]="Inservible",Datos[[#This Row],[Estatus]]="Preventivo"),0,Datos[[#This Row],[Fecha_Final]]-Datos[[#This Row],[Día_Inicio]])</f>
        <v>0</v>
      </c>
      <c r="R1052" s="2">
        <v>0</v>
      </c>
      <c r="S1052" s="2">
        <v>0</v>
      </c>
      <c r="T1052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Analisis</vt:lpstr>
      <vt:lpstr>Datos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2026-02-26T04:51:57Z</dcterms:created>
  <dcterms:modified xsi:type="dcterms:W3CDTF">2026-02-26T17:45:26Z</dcterms:modified>
</cp:coreProperties>
</file>